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Best settings" sheetId="2" state="visible" r:id="rId4"/>
    <sheet name="Summary" sheetId="3" state="visible" r:id="rId5"/>
    <sheet name="M1 default" sheetId="4" state="visible" r:id="rId6"/>
    <sheet name="M1 best" sheetId="5" state="visible" r:id="rId7"/>
    <sheet name="M1 low-streak" sheetId="6" state="visible" r:id="rId8"/>
    <sheet name="M5 default" sheetId="7" state="visible" r:id="rId9"/>
    <sheet name="M5 best" sheetId="8" state="visible" r:id="rId10"/>
    <sheet name="M5 low-streak" sheetId="9" state="visible" r:id="rId11"/>
    <sheet name="M15 default" sheetId="10" state="visible" r:id="rId12"/>
    <sheet name="M15 best" sheetId="11" state="visible" r:id="rId13"/>
    <sheet name="M15 low-streak" sheetId="12" state="visible" r:id="rId14"/>
    <sheet name="H1 default" sheetId="13" state="visible" r:id="rId15"/>
    <sheet name="H1 best" sheetId="14" state="visible" r:id="rId16"/>
    <sheet name="H1 low-streak" sheetId="15" state="visible" r:id="rId17"/>
    <sheet name="TP1-TP4" sheetId="16" state="visible" r:id="rId18"/>
    <sheet name="Settings sweep" sheetId="17" state="visible" r:id="rId19"/>
    <sheet name="Combinations" sheetId="18" state="visible" r:id="rId20"/>
    <sheet name="Exits" sheetId="19" state="visible" r:id="rId21"/>
    <sheet name="Recovery rules" sheetId="20" state="visible" r:id="rId22"/>
    <sheet name="Rule C split test" sheetId="21" state="visible" r:id="rId23"/>
    <sheet name="Robustness" sheetId="22" state="visible" r:id="rId24"/>
    <sheet name="Hours" sheetId="23" state="visible" r:id="rId25"/>
    <sheet name="Streak math" sheetId="24" state="visible" r:id="rId2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<sst xmlns="http://schemas.openxmlformats.org/spreadsheetml/2006/main" count="10088" uniqueCount="801">
  <si>
    <t xml:space="preserve">Auction Retest indicator on FxPro MT5 GOLD, 4 Jan 2021 - 2 Oct 2026 (your 1-minute data): accuracy, TP1-TP4, streaks, best settings, recovery rules</t>
  </si>
  <si>
    <t xml:space="preserve">DATA: 2,037,975 one-minute bars from your MT5 export; 441 fake 00:00 "daily summary" bars removed. M5 / M15 / H1 were built from M1 on the broker clock (EET, UTC+2 / UTC+3 in summer).</t>
  </si>
  <si>
    <t xml:space="preserve">ENGINE: the same signal engine as the TradingView indicator / strategy and the MT5 EA (Python twin, checked trade-for-trade against the EA). VWAP and sessions reset at broker midnight; VWAP weights = tick volume.</t>
  </si>
  <si>
    <t xml:space="preserve">COSTS: the spread recorded in the MT5 data at each fill bar, as a share of the stop distance ("after spread"). On M1 / M5 the stop is small, so the spread eats a large part of every trade.</t>
  </si>
  <si>
    <t xml:space="preserve">DEFINITIONS: R = result in units of the stop distance. TPk hit = price reached that target after the fill bar and before the stop. Win = closed at the final target.</t>
  </si>
  <si>
    <t xml:space="preserve">  Profitable = result above 0 (with a partial close at TP1 a trade that reached TP1 is profitable). A breakeven exit is neither a win nor a loss and ends both streaks.</t>
  </si>
  <si>
    <t xml:space="preserve">  Longest win / losing streak = most consecutive profitable / losing trades. Months and years use the IST date of the fill.</t>
  </si>
  <si>
    <t xml:space="preserve">HOW THE SETTINGS WERE SEARCHED (choose on 2021-23, check on 2024-26):</t>
  </si>
  <si>
    <t xml:space="preserve">  1. Every setting changed alone, all others default: 146 versions per timeframe (sheet Settings sweep).</t>
  </si>
  <si>
    <t xml:space="preserve">  2. Every combination of 1-4 of the 8 settings that helped most alone: ~160 per timeframe for H1, M15, M5 (sheet Combinations, part 1).</t>
  </si>
  <si>
    <t xml:space="preserve">  3. Exit choices (each TP, breakeven moves, partial) for the best candidates on H1 and M15 (sheet Exits).</t>
  </si>
  <si>
    <t xml:space="preserve">  4. Step-by-step search: each step tries every single change (~170: all settings incl. extra values, TP levels, stop moves, resets; M5 109 and M1 61 to keep run time sane)</t>
  </si>
  <si>
    <t xml:space="preserve">     on top of the current settings and keeps the one that helps 2021-23 most (sheet Combinations, part 2).</t>
  </si>
  <si>
    <t xml:space="preserve">  5. Every version was also scored with 30 / 50 / 70% closed at TP1 (partial close: strategy and EA only).</t>
  </si>
  <si>
    <t xml:space="preserve">  Settings scored in total: M1 1,301, M5 2,701, M15 5,251, H1 7,156. Literally every combination is impossible (~60 settings: more than 10^40 combinations).</t>
  </si>
  <si>
    <t xml:space="preserve">PICK RULE: profitable after spread in BOTH 2021-23 and 2024-26, at least 4 of 6 years positive, enough trades; ranked by the weaker half; then the version with the fewest changes</t>
  </si>
  <si>
    <t xml:space="preserve">  within 10% of the best. Low-streak pick = the shortest longest-losing-streak among settings that pass the same rule and keep a reasonable profit.</t>
  </si>
  <si>
    <t xml:space="preserve">  Because both halves were used to pick, expect live results to be weaker than these tables. Sheet Robustness shows how the picks behave when any one setting is changed again.</t>
  </si>
  <si>
    <t xml:space="preserve">COLOURS: blue = backtest results, black = formulas, green = links to another sheet. Partial close and recovery rules exist in the strategy and the EA only (not in the indicator).</t>
  </si>
  <si>
    <t xml:space="preserve">SHEETS: Best settings | Summary | &lt;TF&gt; default / best / low-streak (year x month) | TP1-TP4 | Settings sweep | Combinations | Exits | Recovery rules | Rule C split test | Robustness | Hours | Streak math</t>
  </si>
  <si>
    <t xml:space="preserve">Recommended settings per timeframe (FxPro MT5 GOLD, 2021-2026)</t>
  </si>
  <si>
    <t xml:space="preserve">Picked from every configuration tested (one-at-a-time sweep, combinations, step-by-step search; thousands per timeframe). Rule: profitable after spread in BOTH 2021-23 and 2024-26, at least 4 of 6 years positive, enough trades; ranked by the weaker half. Because both halves were used to pick, expect live results to be weaker than shown (the step-by-step search chosen on 2021-23 alone shows how much tuning gains fade out of sample).</t>
  </si>
  <si>
    <t xml:space="preserve">Recovery rules: across all timeframes fixed risk (Off) gave the best profit per unit of drawdown on average - the line per setting below shows the single best rule for that setting (never risking more than $500 on one trade, never falling more than 40%). See the Recovery rules sheet. With the best (profit) settings, Rule C split at split 3 with the $500 cap made 5.8x (H1) and 9.2x (M15) the profit of fixed risk with about the same loss per $ staked, but its drawdowns were 20% and 33% instead of 3% and 9%, and without the cap it blew the account on M15 - see Rule C split test.</t>
  </si>
  <si>
    <t xml:space="preserve">M1</t>
  </si>
  <si>
    <t xml:space="preserve">Best settings (profit)</t>
  </si>
  <si>
    <t xml:space="preserve">Group</t>
  </si>
  <si>
    <t xml:space="preserve">Indicator / strategy input</t>
  </si>
  <si>
    <t xml:space="preserve">Set to</t>
  </si>
  <si>
    <t xml:space="preserve">Default</t>
  </si>
  <si>
    <t xml:space="preserve">MT5 EA input</t>
  </si>
  <si>
    <t xml:space="preserve">SIGNAL MODEL</t>
  </si>
  <si>
    <t xml:space="preserve">Stop Distance (x ATR)</t>
  </si>
  <si>
    <t xml:space="preserve">4</t>
  </si>
  <si>
    <t xml:space="preserve">1.8</t>
  </si>
  <si>
    <t xml:space="preserve">InpStopAtr</t>
  </si>
  <si>
    <t xml:space="preserve">Cooldown After Exit (bars)</t>
  </si>
  <si>
    <t xml:space="preserve">8</t>
  </si>
  <si>
    <t xml:space="preserve">1</t>
  </si>
  <si>
    <t xml:space="preserve">InpCooldown</t>
  </si>
  <si>
    <t xml:space="preserve">VWAP</t>
  </si>
  <si>
    <t xml:space="preserve">Anchor</t>
  </si>
  <si>
    <t xml:space="preserve">Month</t>
  </si>
  <si>
    <t xml:space="preserve">Session</t>
  </si>
  <si>
    <t xml:space="preserve">InpVwapAnchor = VW_MONTH</t>
  </si>
  <si>
    <t xml:space="preserve">DAYS AND HOURS</t>
  </si>
  <si>
    <t xml:space="preserve">Trade Only In Kill Zones (Indian time)</t>
  </si>
  <si>
    <t xml:space="preserve">On: London Close 19:30-21:30</t>
  </si>
  <si>
    <t xml:space="preserve">Off</t>
  </si>
  <si>
    <t xml:space="preserve">InpKzOn = true; InpKzAsia = false, InpKzLon = false, InpKzNy = false, InpKzLc = true</t>
  </si>
  <si>
    <t xml:space="preserve">Trades 2021-2026</t>
  </si>
  <si>
    <t xml:space="preserve">Trades per day</t>
  </si>
  <si>
    <t xml:space="preserve">Win % (closed at final target)</t>
  </si>
  <si>
    <t xml:space="preserve">Profitable trades %</t>
  </si>
  <si>
    <t xml:space="preserve">TP1 / TP2 / TP3 / TP4 reached</t>
  </si>
  <si>
    <t xml:space="preserve">R per trade after spread</t>
  </si>
  <si>
    <t xml:space="preserve">Total R after spread</t>
  </si>
  <si>
    <t xml:space="preserve">Longest win / losing streak</t>
  </si>
  <si>
    <t xml:space="preserve">Best recovery rule</t>
  </si>
  <si>
    <t xml:space="preserve">Rule C: carry the losses + $500 cap: net $17,975, max drawdown $4,689 (25%), largest single risk $500 - vs Off: net $5,442, max drawdown $1,481 (13%).</t>
  </si>
  <si>
    <t xml:space="preserve">Best settings with short losing streaks</t>
  </si>
  <si>
    <t xml:space="preserve">30</t>
  </si>
  <si>
    <t xml:space="preserve">Rule C: carry the losses + $500 cap: net $16,914, max drawdown $3,178 (27%), largest single risk $500 - vs Off: net $4,561, max drawdown $1,467 (14%).</t>
  </si>
  <si>
    <t xml:space="preserve">M5</t>
  </si>
  <si>
    <t xml:space="preserve">2.4</t>
  </si>
  <si>
    <t xml:space="preserve">TARGETS, EXIT AND STOP MOVES</t>
  </si>
  <si>
    <t xml:space="preserve">TP4 (R)</t>
  </si>
  <si>
    <t xml:space="preserve">2.5</t>
  </si>
  <si>
    <t xml:space="preserve">2</t>
  </si>
  <si>
    <t xml:space="preserve">InpTp4R</t>
  </si>
  <si>
    <t xml:space="preserve">ENTRY PRICE</t>
  </si>
  <si>
    <t xml:space="preserve">Entry Price</t>
  </si>
  <si>
    <t xml:space="preserve">Market (next bar open)</t>
  </si>
  <si>
    <t xml:space="preserve">Model</t>
  </si>
  <si>
    <t xml:space="preserve">InpEntryMode = ENTRY_MARKET</t>
  </si>
  <si>
    <t xml:space="preserve">ACCURACY FILTERS</t>
  </si>
  <si>
    <t xml:space="preserve">Skip Choppy Sessions: Max VWAP Crosses Per 100 Bars</t>
  </si>
  <si>
    <t xml:space="preserve">On, 8</t>
  </si>
  <si>
    <t xml:space="preserve">Off (12)</t>
  </si>
  <si>
    <t xml:space="preserve">InpChopOn = true, InpChopMax = 8</t>
  </si>
  <si>
    <t xml:space="preserve">Trade Only Between (Time Zone = Asia/Kolkata)</t>
  </si>
  <si>
    <t xml:space="preserve">On, 1830-2230</t>
  </si>
  <si>
    <t xml:space="preserve">InpHoursOn = true, 18:30 to 22:30, InpUserGMT = 5.5</t>
  </si>
  <si>
    <t xml:space="preserve">Off (fixed $50 risk) gives the best profit for the drawdown: net $6,136, max drawdown $1,831 (17%) on $10,000 - no recovery rule beat it.</t>
  </si>
  <si>
    <t xml:space="preserve">When TP2 Hits, Move Stop To (R)</t>
  </si>
  <si>
    <t xml:space="preserve">On, 0.6 R</t>
  </si>
  <si>
    <t xml:space="preserve">InpMv2On = true, InpMv2R = 0.6</t>
  </si>
  <si>
    <t xml:space="preserve">Off (fixed $50 risk) gives the best profit for the drawdown: net $3,667, max drawdown $1,261 (9%) on $10,000 - no recovery rule beat it.</t>
  </si>
  <si>
    <t xml:space="preserve">M15</t>
  </si>
  <si>
    <t xml:space="preserve">Half Stop (x ATR)</t>
  </si>
  <si>
    <t xml:space="preserve">1.2</t>
  </si>
  <si>
    <t xml:space="preserve">0.9</t>
  </si>
  <si>
    <t xml:space="preserve">InpHalfStopAtr</t>
  </si>
  <si>
    <t xml:space="preserve">When TP3 Hits, Move Stop To (R)</t>
  </si>
  <si>
    <t xml:space="preserve">On, 1 R</t>
  </si>
  <si>
    <t xml:space="preserve">InpMv3On = true, InpMv3R = 1</t>
  </si>
  <si>
    <t xml:space="preserve">Oscar's Grind: net $23,940, max drawdown $2,913 (17%), largest single risk $500 - vs Off: net $9,077, max drawdown $1,110 (9%).</t>
  </si>
  <si>
    <t xml:space="preserve">Min CMO (clean move)</t>
  </si>
  <si>
    <t xml:space="preserve">20</t>
  </si>
  <si>
    <t xml:space="preserve">InpCmoMin</t>
  </si>
  <si>
    <t xml:space="preserve">Skip When The 1h EMA20 Moved More Than ... ATR In 3 Hours</t>
  </si>
  <si>
    <t xml:space="preserve">On, 1.2</t>
  </si>
  <si>
    <t xml:space="preserve">Off (1.65)</t>
  </si>
  <si>
    <t xml:space="preserve">InpEmaOn = true, InpEmaMax = 1.2</t>
  </si>
  <si>
    <t xml:space="preserve">PARTIAL PROFITS (strategy / EA only)</t>
  </si>
  <si>
    <t xml:space="preserve">Close % At TP1</t>
  </si>
  <si>
    <t xml:space="preserve">70</t>
  </si>
  <si>
    <t xml:space="preserve">0</t>
  </si>
  <si>
    <t xml:space="preserve">InpP1 = 70</t>
  </si>
  <si>
    <t xml:space="preserve">Oscar's Grind + $500 cap: net $13,207, max drawdown $3,001 (25%), largest single risk $500 - vs Off: net $3,704, max drawdown $1,050 (9%).</t>
  </si>
  <si>
    <t xml:space="preserve">H1</t>
  </si>
  <si>
    <t xml:space="preserve">Min Displacement Range (x ATR)</t>
  </si>
  <si>
    <t xml:space="preserve">0.65</t>
  </si>
  <si>
    <t xml:space="preserve">0.8</t>
  </si>
  <si>
    <t xml:space="preserve">InpDispAtr</t>
  </si>
  <si>
    <t xml:space="preserve">Momentum Lookback (bars)</t>
  </si>
  <si>
    <t xml:space="preserve">5</t>
  </si>
  <si>
    <t xml:space="preserve">10</t>
  </si>
  <si>
    <t xml:space="preserve">InpMomLen</t>
  </si>
  <si>
    <t xml:space="preserve">12</t>
  </si>
  <si>
    <t xml:space="preserve">Don't Chase: Skip Signals Beyond ... sigma From VWAP</t>
  </si>
  <si>
    <t xml:space="preserve">On, 2</t>
  </si>
  <si>
    <t xml:space="preserve">Off (2.4)</t>
  </si>
  <si>
    <t xml:space="preserve">InpNoChase = true, InpNoChaseSig = 2</t>
  </si>
  <si>
    <t xml:space="preserve">Paroli: net $5,797, max drawdown $710 (5%), largest single risk $200 - vs Off: net $3,087, max drawdown $400 (3%).</t>
  </si>
  <si>
    <t xml:space="preserve">Structure Lookback (bars)</t>
  </si>
  <si>
    <t xml:space="preserve">InpStructLen</t>
  </si>
  <si>
    <t xml:space="preserve">2.2</t>
  </si>
  <si>
    <t xml:space="preserve">Max Fills Per Day</t>
  </si>
  <si>
    <t xml:space="preserve">InpMaxFills</t>
  </si>
  <si>
    <t xml:space="preserve">On, 1.25</t>
  </si>
  <si>
    <t xml:space="preserve">InpNoChase = true, InpNoChaseSig = 1.25</t>
  </si>
  <si>
    <t xml:space="preserve">Off (fixed $50 risk) gives the best profit for the drawdown: net $1,683, max drawdown $289 (2%) on $10,000 - no recovery rule beat it.</t>
  </si>
  <si>
    <t xml:space="preserve">Accuracy per timeframe, settings and year (FxPro MT5 GOLD, 2021-2026)</t>
  </si>
  <si>
    <t xml:space="preserve">Every value links to the year-total rows of the year x month sheets (green).</t>
  </si>
  <si>
    <t xml:space="preserve">Trades per day = trades / trading days in the data (2026 = 2 Jan - 2 Oct). Year rows: 2021: 258 days, 2022: 258 days, 2023: 257 days, 2024: 259 days, 2025: 258 days, 2026: 195 days.</t>
  </si>
  <si>
    <t xml:space="preserve">Timeframe</t>
  </si>
  <si>
    <t xml:space="preserve">Settings</t>
  </si>
  <si>
    <t xml:space="preserve">Year</t>
  </si>
  <si>
    <t xml:space="preserve">Trades</t>
  </si>
  <si>
    <t xml:space="preserve">Win %</t>
  </si>
  <si>
    <t xml:space="preserve">Profitable %</t>
  </si>
  <si>
    <t xml:space="preserve">TP1 %</t>
  </si>
  <si>
    <t xml:space="preserve">TP2 %</t>
  </si>
  <si>
    <t xml:space="preserve">TP3 %</t>
  </si>
  <si>
    <t xml:space="preserve">TP4 %</t>
  </si>
  <si>
    <t xml:space="preserve">R per trade</t>
  </si>
  <si>
    <t xml:space="preserve">Longest win streak</t>
  </si>
  <si>
    <t xml:space="preserve">Longest losing streak</t>
  </si>
  <si>
    <t xml:space="preserve">Default settings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</si>
  <si>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</si>
  <si>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</si>
  <si>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</si>
  <si>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</si>
  <si>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</si>
  <si>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</si>
  <si>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2021-2026</t>
  </si>
  <si>
    <t xml:space="preserve">M1 - Default settings - accuracy per year and month</t>
  </si>
  <si>
    <t xml:space="preserve">Settings: default settings</t>
  </si>
  <si>
    <t xml:space="preserve">Blue = backtest counts / R / streaks; black = formulas. Month = IST date of the fill. Monthly streaks are counted inside the month; year and 2021-2026 streaks use the full trade sequence (a breakeven exit ends a streak).</t>
  </si>
  <si>
    <t xml:space="preserve">Wins (closed at final target)</t>
  </si>
  <si>
    <t xml:space="preserve">Profitable trades</t>
  </si>
  <si>
    <t xml:space="preserve">TP1 hits</t>
  </si>
  <si>
    <t xml:space="preserve">TP2 hits</t>
  </si>
  <si>
    <t xml:space="preserve">TP3 hits</t>
  </si>
  <si>
    <t xml:space="preserve">TP4 hits</t>
  </si>
  <si>
    <t xml:space="preserve">Breakeven exits</t>
  </si>
  <si>
    <t xml:space="preserve">Total R</t>
  </si>
  <si>
    <t xml:space="preserve">Spread cost (R)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</si>
  <si>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</si>
  <si>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</si>
  <si>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</si>
  <si>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</si>
  <si>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</si>
  <si>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</si>
  <si>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</si>
  <si>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</si>
  <si>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</si>
  <si>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</si>
  <si>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</si>
  <si>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</si>
  <si>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2021 total</t>
  </si>
  <si>
    <t xml:space="preserve">All</t>
  </si>
  <si>
    <t xml:space="preserve">2022 total</t>
  </si>
  <si>
    <t xml:space="preserve">2023 total</t>
  </si>
  <si>
    <t xml:space="preserve">2024 total</t>
  </si>
  <si>
    <t xml:space="preserve">2025 total</t>
  </si>
  <si>
    <t xml:space="preserve">2026 total</t>
  </si>
  <si>
    <t xml:space="preserve">M1 - Best settings (profit) - accuracy per year and month</t>
  </si>
  <si>
    <t xml:space="preserve">Settings: Stop Distance (x ATR) = 4 | Cooldown After Exit (bars) = 8 | Anchor = Month | Trade Only In Kill Zones (Indian time) = On: London Close 19:30-21:30</t>
  </si>
  <si>
    <t xml:space="preserve">M1 - Best settings with short losing streaks - accuracy per year and month</t>
  </si>
  <si>
    <t xml:space="preserve">Settings: Stop Distance (x ATR) = 4 | Cooldown After Exit (bars) = 30 | Anchor = Month | Trade Only In Kill Zones (Indian time) = On: London Close 19:30-21:30</t>
  </si>
  <si>
    <t xml:space="preserve">M5 - Default settings - accuracy per year and month</t>
  </si>
  <si>
    <t xml:space="preserve">M5 - Best settings (profit) - accuracy per year and month</t>
  </si>
  <si>
    <t xml:space="preserve">Settings: Stop Distance (x ATR) = 2.4 | TP4 (R) = 2.5 | Anchor = Month | Entry Price = Market (next bar open) | Skip Choppy Sessions: Max VWAP Crosses Per 100 Bars = On, 8 | Trade Only Between (Time Zone = Asia/Kolkata) = On, 1830-2230</t>
  </si>
  <si>
    <t xml:space="preserve">M5 - Best settings with short losing streaks - accuracy per year and month</t>
  </si>
  <si>
    <t xml:space="preserve">Settings: Stop Distance (x ATR) = 2.4 | Anchor = Month | Entry Price = Market (next bar open) | When TP2 Hits, Move Stop To (R) = On, 0.6 R | Skip Choppy Sessions: Max VWAP Crosses Per 100 Bars = On, 8 | Trade Only Between (Time Zone = Asia/Kolkata) = On, 1830-2230</t>
  </si>
  <si>
    <t xml:space="preserve">M15 - Default settings - accuracy per year and month</t>
  </si>
  <si>
    <t xml:space="preserve">M15 - Best settings (profit) - accuracy per year and month</t>
  </si>
  <si>
    <t xml:space="preserve">Settings: Stop Distance (x ATR) = 4 | Half Stop (x ATR) = 1.2 | When TP3 Hits, Move Stop To (R) = On, 1 R</t>
  </si>
  <si>
    <t xml:space="preserve">M15 - Best settings with short losing streaks - accuracy per year and month</t>
  </si>
  <si>
    <t xml:space="preserve">Settings: Min CMO (clean move) = 30 | Stop Distance (x ATR) = 4 | Half Stop (x ATR) = 1.2 | When TP3 Hits, Move Stop To (R) = On, 1 R | Skip When The 1h EMA20 Moved More Than ... ATR In 3 Hours = On, 1.2 | Close % At TP1 = 70</t>
  </si>
  <si>
    <t xml:space="preserve">H1 - Default settings - accuracy per year and month</t>
  </si>
  <si>
    <t xml:space="preserve">H1 - Best settings (profit) - accuracy per year and month</t>
  </si>
  <si>
    <t xml:space="preserve">Settings: Min Displacement Range (x ATR) = 0.65 | Momentum Lookback (bars) = 5 | Stop Distance (x ATR) = 2.4 | Cooldown After Exit (bars) = 12 | Don't Chase: Skip Signals Beyond ... sigma From VWAP = On, 2</t>
  </si>
  <si>
    <t xml:space="preserve">H1 - Best settings with short losing streaks - accuracy per year and month</t>
  </si>
  <si>
    <t xml:space="preserve">Settings: Structure Lookback (bars) = 20 | Stop Distance (x ATR) = 2.2 | Max Fills Per Day = 1 | Anchor = Month | Don't Chase: Skip Signals Beyond ... sigma From VWAP = On, 1.25 | Close % At TP1 = 70</t>
  </si>
  <si>
    <t xml:space="preserve">TP1, TP2, TP3 and TP4 individually: accuracy and win / losing streaks</t>
  </si>
  <si>
    <t xml:space="preserve">Part 1: with the settings as they are, how often each target was reached before the stop, and the longest run of trades that did / did not reach it. Part 2: each target used as the real final exit (TP1 = 0.6R, TP2 = 1R, TP3 = 1.5R, TP4 = 2R), same signals, no stop moves, no partials.</t>
  </si>
  <si>
    <t xml:space="preserve">PART 1 - targets reached (with the final exit of each setting)</t>
  </si>
  <si>
    <t xml:space="preserve">TP1 longest run reached</t>
  </si>
  <si>
    <t xml:space="preserve">TP1 longest run not reached</t>
  </si>
  <si>
    <t xml:space="preserve">TP2 longest run reached</t>
  </si>
  <si>
    <t xml:space="preserve">TP2 longest run not reached</t>
  </si>
  <si>
    <t xml:space="preserve">TP3 longest run reached</t>
  </si>
  <si>
    <t xml:space="preserve">TP3 longest run not reached</t>
  </si>
  <si>
    <t xml:space="preserve">TP4 longest run reached</t>
  </si>
  <si>
    <t xml:space="preserve">TP4 longest run not reached</t>
  </si>
  <si>
    <t xml:space="preserve">PART 2 - each target as the real final exit (2021-2026, after spread)</t>
  </si>
  <si>
    <t xml:space="preserve">Signals from</t>
  </si>
  <si>
    <t xml:space="preserve">Final exit</t>
  </si>
  <si>
    <t xml:space="preserve">Wins</t>
  </si>
  <si>
    <t xml:space="preserve">2021-23 R per trade after spread</t>
  </si>
  <si>
    <t xml:space="preserve">2024-26 R per trade after spread</t>
  </si>
  <si>
    <t xml:space="preserve">Years positive (of 6)</t>
  </si>
  <si>
    <t xml:space="preserve">Worst single-year losing streak</t>
  </si>
  <si>
    <t xml:space="preserve">TP1 (0.6R)</t>
  </si>
  <si>
    <t xml:space="preserve">TP2 (1R)</t>
  </si>
  <si>
    <t xml:space="preserve">TP3 (1.5R)</t>
  </si>
  <si>
    <t xml:space="preserve">TP4 (2R)</t>
  </si>
  <si>
    <t xml:space="preserve">TP4 (2.5R)</t>
  </si>
  <si>
    <t xml:space="preserve">Every indicator setting changed one at a time (all others default), final exit TP4, after spread</t>
  </si>
  <si>
    <t xml:space="preserve">Sorted by 2021-23 result. 2021-23 = where settings were judged; 2024-26 = the check. Blue = backtest results; R per trade = formula.</t>
  </si>
  <si>
    <t xml:space="preserve">Setting changed</t>
  </si>
  <si>
    <t xml:space="preserve">2021-23 trades</t>
  </si>
  <si>
    <t xml:space="preserve">2021-23 total R after spread</t>
  </si>
  <si>
    <t xml:space="preserve">2021-23 R per trade</t>
  </si>
  <si>
    <t xml:space="preserve">2024-26 trades</t>
  </si>
  <si>
    <t xml:space="preserve">2024-26 total R after spread</t>
  </si>
  <si>
    <t xml:space="preserve">2024-26 R per trade</t>
  </si>
  <si>
    <t xml:space="preserve">Years positive</t>
  </si>
  <si>
    <t xml:space="preserve">default</t>
  </si>
  <si>
    <t xml:space="preserve">Kill zones: London close</t>
  </si>
  <si>
    <t xml:space="preserve">Hours: New York 18:30-22:30 IST</t>
  </si>
  <si>
    <t xml:space="preserve">Kill zones: New York</t>
  </si>
  <si>
    <t xml:space="preserve">Kill zones: London</t>
  </si>
  <si>
    <t xml:space="preserve">Hours: London 12:30-16:30 IST</t>
  </si>
  <si>
    <t xml:space="preserve">Kill zones: London+New York+London close</t>
  </si>
  <si>
    <t xml:space="preserve">Kill zones: London+New York</t>
  </si>
  <si>
    <t xml:space="preserve">Hours: London+NY 12:30-22:30 IST</t>
  </si>
  <si>
    <t xml:space="preserve">Hours: Europe+US 12:30-02:30 IST</t>
  </si>
  <si>
    <t xml:space="preserve">stopAtr = 3.0</t>
  </si>
  <si>
    <t xml:space="preserve">Kill zones: Asia+London</t>
  </si>
  <si>
    <t xml:space="preserve">Kill zones: Asia+London+New York</t>
  </si>
  <si>
    <t xml:space="preserve">Kill zones: Asia+London+New York+London close</t>
  </si>
  <si>
    <t xml:space="preserve">Kill zones: all four, shift +1 h</t>
  </si>
  <si>
    <t xml:space="preserve">Kill zones: Asia+New York</t>
  </si>
  <si>
    <t xml:space="preserve">Kill zones: Asia</t>
  </si>
  <si>
    <t xml:space="preserve">stopAtr = 2.5</t>
  </si>
  <si>
    <t xml:space="preserve">Longs only</t>
  </si>
  <si>
    <t xml:space="preserve">stopAtr = 2.2</t>
  </si>
  <si>
    <t xml:space="preserve">Kill zones: all four, shift -1 h</t>
  </si>
  <si>
    <t xml:space="preserve">Shorts only</t>
  </si>
  <si>
    <t xml:space="preserve">Hours: Asia 04:30-12:30 IST</t>
  </si>
  <si>
    <t xml:space="preserve">1h EMA20 speed cap = 1.65</t>
  </si>
  <si>
    <t xml:space="preserve">maxFills = 10</t>
  </si>
  <si>
    <t xml:space="preserve">1h EMA20 speed cap = 2.00</t>
  </si>
  <si>
    <t xml:space="preserve">1h EMA20 speed cap = 1.20</t>
  </si>
  <si>
    <t xml:space="preserve">VWAP anchor = month</t>
  </si>
  <si>
    <t xml:space="preserve">Days: no Wed</t>
  </si>
  <si>
    <t xml:space="preserve">Don't Chase = 1.5 sigma</t>
  </si>
  <si>
    <t xml:space="preserve">cooldownBars = 12</t>
  </si>
  <si>
    <t xml:space="preserve">Choppy sessions max crosses = 8</t>
  </si>
  <si>
    <t xml:space="preserve">Entry = 70% of signal candle</t>
  </si>
  <si>
    <t xml:space="preserve">dispBodyPct = 70.0</t>
  </si>
  <si>
    <t xml:space="preserve">Stop mode = swing (10 bars + 0.22 ATR)</t>
  </si>
  <si>
    <t xml:space="preserve">dispAtr = 1.2</t>
  </si>
  <si>
    <t xml:space="preserve">Half stop = off</t>
  </si>
  <si>
    <t xml:space="preserve">Days: no Fri</t>
  </si>
  <si>
    <t xml:space="preserve">Days: no Tue</t>
  </si>
  <si>
    <t xml:space="preserve">slopeBars = 10</t>
  </si>
  <si>
    <t xml:space="preserve">Choppy sessions max crosses = 12</t>
  </si>
  <si>
    <t xml:space="preserve">momLen = 20</t>
  </si>
  <si>
    <t xml:space="preserve">Don't Chase = 2.0 sigma</t>
  </si>
  <si>
    <t xml:space="preserve">cooldownBars = 6</t>
  </si>
  <si>
    <t xml:space="preserve">Stop mode = swing (6 bars + 0.22 ATR)</t>
  </si>
  <si>
    <t xml:space="preserve">VWAP anchor = week</t>
  </si>
  <si>
    <t xml:space="preserve">cmoMin = 40.0</t>
  </si>
  <si>
    <t xml:space="preserve">Entry = 50% of signal candle</t>
  </si>
  <si>
    <t xml:space="preserve">TP4 = 2.5R</t>
  </si>
  <si>
    <t xml:space="preserve">Days: no Thu</t>
  </si>
  <si>
    <t xml:space="preserve">cooldownBars = 3</t>
  </si>
  <si>
    <t xml:space="preserve">Don't Chase = 2.4 sigma</t>
  </si>
  <si>
    <t xml:space="preserve">momLen = 15</t>
  </si>
  <si>
    <t xml:space="preserve">After a loss no same-direction trade = on</t>
  </si>
  <si>
    <t xml:space="preserve">dispAtr = 1.0</t>
  </si>
  <si>
    <t xml:space="preserve">Min distance from VWAP = 1.5 ATR</t>
  </si>
  <si>
    <t xml:space="preserve">retestBars = 2</t>
  </si>
  <si>
    <t xml:space="preserve">dispClosePct = 15.0</t>
  </si>
  <si>
    <t xml:space="preserve">TP4 = 3.0R</t>
  </si>
  <si>
    <t xml:space="preserve">Choppy sessions max crosses = 16</t>
  </si>
  <si>
    <t xml:space="preserve">minOpenBars = 12</t>
  </si>
  <si>
    <t xml:space="preserve">minOpenBars = 6</t>
  </si>
  <si>
    <t xml:space="preserve">halfStopAtr = 1.2</t>
  </si>
  <si>
    <t xml:space="preserve">slopeBars = 5</t>
  </si>
  <si>
    <t xml:space="preserve">slopeBars = 0</t>
  </si>
  <si>
    <t xml:space="preserve">momAtr = 1.5</t>
  </si>
  <si>
    <t xml:space="preserve">cmoMin = 30.0</t>
  </si>
  <si>
    <t xml:space="preserve">dispBodyPct = 60.0</t>
  </si>
  <si>
    <t xml:space="preserve">Stop to +1R at TP3</t>
  </si>
  <si>
    <t xml:space="preserve">Don't Chase = 3.0 sigma</t>
  </si>
  <si>
    <t xml:space="preserve">VWAP source = close</t>
  </si>
  <si>
    <t xml:space="preserve">minOpenBars = 3</t>
  </si>
  <si>
    <t xml:space="preserve">atrLen = 30</t>
  </si>
  <si>
    <t xml:space="preserve">retestBars = 3</t>
  </si>
  <si>
    <t xml:space="preserve">dispClosePct = 20.0</t>
  </si>
  <si>
    <t xml:space="preserve">BE at TP1, +0.6R at TP2, +1R at TP3</t>
  </si>
  <si>
    <t xml:space="preserve">retestBars = 8</t>
  </si>
  <si>
    <t xml:space="preserve">entryLen = 4</t>
  </si>
  <si>
    <t xml:space="preserve">dispBodyPct = 50.0</t>
  </si>
  <si>
    <t xml:space="preserve">Min distance from VWAP = 1.0 ATR</t>
  </si>
  <si>
    <t xml:space="preserve">Stop to +0.6R at TP2</t>
  </si>
  <si>
    <t xml:space="preserve">structLen = 6</t>
  </si>
  <si>
    <t xml:space="preserve">slopeBars = 2</t>
  </si>
  <si>
    <t xml:space="preserve">biasNet = 5</t>
  </si>
  <si>
    <t xml:space="preserve">dispBodyPct = 45.0</t>
  </si>
  <si>
    <t xml:space="preserve">Deep pullback signal = on</t>
  </si>
  <si>
    <t xml:space="preserve">Stop to breakeven at TP1</t>
  </si>
  <si>
    <t xml:space="preserve">biasNet = 4</t>
  </si>
  <si>
    <t xml:space="preserve">Stop to breakeven at TP2</t>
  </si>
  <si>
    <t xml:space="preserve">entryLen = 3</t>
  </si>
  <si>
    <t xml:space="preserve">atrLen = 21</t>
  </si>
  <si>
    <t xml:space="preserve">structLen = 8</t>
  </si>
  <si>
    <t xml:space="preserve">Strict bias check = on</t>
  </si>
  <si>
    <t xml:space="preserve">retestBars = 12</t>
  </si>
  <si>
    <t xml:space="preserve">impBodyPct = 40.0</t>
  </si>
  <si>
    <t xml:space="preserve">Min distance from VWAP = 0.5 ATR</t>
  </si>
  <si>
    <t xml:space="preserve">Slope across session start = off</t>
  </si>
  <si>
    <t xml:space="preserve">slopeBars = 1</t>
  </si>
  <si>
    <t xml:space="preserve">Half stop when opening outside prev range = off</t>
  </si>
  <si>
    <t xml:space="preserve">Longs above VWAP / shorts below = off</t>
  </si>
  <si>
    <t xml:space="preserve">Half stop never wider than normal = on</t>
  </si>
  <si>
    <t xml:space="preserve">biasNet = 2</t>
  </si>
  <si>
    <t xml:space="preserve">Re-anchor breakout after a trade = off</t>
  </si>
  <si>
    <t xml:space="preserve">impBodyPct = 60.0</t>
  </si>
  <si>
    <t xml:space="preserve">VWAP source = ohlc4</t>
  </si>
  <si>
    <t xml:space="preserve">momAtr = 0.5</t>
  </si>
  <si>
    <t xml:space="preserve">momAtr = 0.0</t>
  </si>
  <si>
    <t xml:space="preserve">entryLen = 8</t>
  </si>
  <si>
    <t xml:space="preserve">momAtr = 1.2</t>
  </si>
  <si>
    <t xml:space="preserve">brkLen = 8</t>
  </si>
  <si>
    <t xml:space="preserve">cmoMin = 10.0</t>
  </si>
  <si>
    <t xml:space="preserve">VWAP source = hl2</t>
  </si>
  <si>
    <t xml:space="preserve">cmoMin = 0.0</t>
  </si>
  <si>
    <t xml:space="preserve">entryLen = 10</t>
  </si>
  <si>
    <t xml:space="preserve">structLen = 12</t>
  </si>
  <si>
    <t xml:space="preserve">dispClosePct = 35.0</t>
  </si>
  <si>
    <t xml:space="preserve">dispClosePct = 30.0</t>
  </si>
  <si>
    <t xml:space="preserve">structLen = 15</t>
  </si>
  <si>
    <t xml:space="preserve">atrLen = 7</t>
  </si>
  <si>
    <t xml:space="preserve">brkLen = 10</t>
  </si>
  <si>
    <t xml:space="preserve">momLen = 8</t>
  </si>
  <si>
    <t xml:space="preserve">brkLen = 4</t>
  </si>
  <si>
    <t xml:space="preserve">dispAtr = 0.65</t>
  </si>
  <si>
    <t xml:space="preserve">dispAtr = 0.5</t>
  </si>
  <si>
    <t xml:space="preserve">Entry = 30% of signal candle</t>
  </si>
  <si>
    <t xml:space="preserve">Re-arm = replace with newer</t>
  </si>
  <si>
    <t xml:space="preserve">dayStopR = 3.0</t>
  </si>
  <si>
    <t xml:space="preserve">halfStopAtr = 0.6</t>
  </si>
  <si>
    <t xml:space="preserve">Entry = market (next bar)</t>
  </si>
  <si>
    <t xml:space="preserve">TP4 = 1.5R</t>
  </si>
  <si>
    <t xml:space="preserve">Final exit at TP3</t>
  </si>
  <si>
    <t xml:space="preserve">structLen = 20</t>
  </si>
  <si>
    <t xml:space="preserve">momLen = 5</t>
  </si>
  <si>
    <t xml:space="preserve">dayStopR = 2.0</t>
  </si>
  <si>
    <t xml:space="preserve">Skip Sunday = off</t>
  </si>
  <si>
    <t xml:space="preserve">Count fill-bar stops in daily stop = on</t>
  </si>
  <si>
    <t xml:space="preserve">brkLen = 3</t>
  </si>
  <si>
    <t xml:space="preserve">Final exit at TP1</t>
  </si>
  <si>
    <t xml:space="preserve">Final exit at TP2</t>
  </si>
  <si>
    <t xml:space="preserve">Days: no Mon</t>
  </si>
  <si>
    <t xml:space="preserve">dayStopR = 1.0</t>
  </si>
  <si>
    <t xml:space="preserve">maxFills = 3</t>
  </si>
  <si>
    <t xml:space="preserve">stopAtr = 1.5</t>
  </si>
  <si>
    <t xml:space="preserve">maxFills = 2</t>
  </si>
  <si>
    <t xml:space="preserve">maxFills = 1</t>
  </si>
  <si>
    <t xml:space="preserve">stopAtr = 1.2</t>
  </si>
  <si>
    <t xml:space="preserve">Settings in combination: the best pairs / triples / quadruples, and the step-by-step search over every setting</t>
  </si>
  <si>
    <t xml:space="preserve">Part 1: combinations (size 1-4) of the settings that helped alone. Part 2: the search - each step adds the one change (of ~170) that most improves 2021-23; 2024-26 is only reported.</t>
  </si>
  <si>
    <t xml:space="preserve">PART 1 - combinations (final exit TP4), top 25 per timeframe by 2021-23</t>
  </si>
  <si>
    <t xml:space="preserve">Combination</t>
  </si>
  <si>
    <t xml:space="preserve">Hours: New York 18:30-22:30 IST + dispAtr = 1.2 + Count fill-bar stops in daily stop = on</t>
  </si>
  <si>
    <t xml:space="preserve">Hours: New York 18:30-22:30 IST + dispAtr = 1.2 + dayStopR = 2.0 + Count fill-bar stops in daily stop = on</t>
  </si>
  <si>
    <t xml:space="preserve">Hours: New York 18:30-22:30 IST + dispAtr = 1.2</t>
  </si>
  <si>
    <t xml:space="preserve">Hours: New York 18:30-22:30 IST + dispAtr = 1.2 + dayStopR = 2.0</t>
  </si>
  <si>
    <t xml:space="preserve">Hours: New York 18:30-22:30 IST + Choppy sessions max crosses = 8 + VWAP anchor = week</t>
  </si>
  <si>
    <t xml:space="preserve">Hours: New York 18:30-22:30 IST + Choppy sessions max crosses = 8 + dayStopR = 2.0 + VWAP anchor = week</t>
  </si>
  <si>
    <t xml:space="preserve">Hours: New York 18:30-22:30 IST + Choppy sessions max crosses = 8 + Count fill-bar stops in daily stop = on + VWAP anchor = week</t>
  </si>
  <si>
    <t xml:space="preserve">Hours: New York 18:30-22:30 IST + VWAP anchor = week</t>
  </si>
  <si>
    <t xml:space="preserve">Hours: New York 18:30-22:30 IST + Count fill-bar stops in daily stop = on</t>
  </si>
  <si>
    <t xml:space="preserve">Hours: New York 18:30-22:30 IST + dayStopR = 2.0 + Count fill-bar stops in daily stop = on</t>
  </si>
  <si>
    <t xml:space="preserve">Hours: New York 18:30-22:30 IST + dayStopR = 2.0</t>
  </si>
  <si>
    <t xml:space="preserve">Hours: New York 18:30-22:30 IST + stopAtr = 3.0</t>
  </si>
  <si>
    <t xml:space="preserve">Hours: New York 18:30-22:30 IST + dayStopR = 2.0 + VWAP anchor = week</t>
  </si>
  <si>
    <t xml:space="preserve">Hours: New York 18:30-22:30 IST + stopAtr = 3.0 + dayStopR = 2.0</t>
  </si>
  <si>
    <t xml:space="preserve">Hours: New York 18:30-22:30 IST + stopAtr = 3.0 + Count fill-bar stops in daily stop = on</t>
  </si>
  <si>
    <t xml:space="preserve">Hours: New York 18:30-22:30 IST + stopAtr = 3.0 + dayStopR = 2.0 + Count fill-bar stops in daily stop = on</t>
  </si>
  <si>
    <t xml:space="preserve">Hours: New York 18:30-22:30 IST + Count fill-bar stops in daily stop = on + VWAP anchor = week</t>
  </si>
  <si>
    <t xml:space="preserve">Hours: New York 18:30-22:30 IST + dayStopR = 2.0 + Count fill-bar stops in daily stop = on + VWAP anchor = week</t>
  </si>
  <si>
    <t xml:space="preserve">Hours: New York 18:30-22:30 IST + Choppy sessions max crosses = 8 + stopAtr = 3.0 + VWAP anchor = week</t>
  </si>
  <si>
    <t xml:space="preserve">Hours: New York 18:30-22:30 IST + stopAtr = 3.0 + VWAP anchor = week</t>
  </si>
  <si>
    <t xml:space="preserve">Hours: New York 18:30-22:30 IST + stopAtr = 3.0 + dayStopR = 2.0 + VWAP anchor = week</t>
  </si>
  <si>
    <t xml:space="preserve">Hours: New York 18:30-22:30 IST + stopAtr = 3.0 + Count fill-bar stops in daily stop = on + VWAP anchor = week</t>
  </si>
  <si>
    <t xml:space="preserve">Hours: New York 18:30-22:30 IST + slopeBars = 10 + Count fill-bar stops in daily stop = on</t>
  </si>
  <si>
    <t xml:space="preserve">Hours: New York 18:30-22:30 IST + slopeBars = 10 + dayStopR = 2.0 + Count fill-bar stops in daily stop = on</t>
  </si>
  <si>
    <t xml:space="preserve">M5: 11 of 140 combinations positive in 2021-23 after spread; 3 of those also positive in 2024-26.</t>
  </si>
  <si>
    <t xml:space="preserve">Kill zones: New York + cooldownBars = 12 + retestBars = 2 + VWAP anchor = month</t>
  </si>
  <si>
    <t xml:space="preserve">Kill zones: New York + retestBars = 2 + VWAP anchor = month</t>
  </si>
  <si>
    <t xml:space="preserve">Don't Chase = 1.5 sigma + stopAtr = 3.0 + momLen = 15 + VWAP anchor = month</t>
  </si>
  <si>
    <t xml:space="preserve">stopAtr = 3.0 + momLen = 15 + cooldownBars = 12 + VWAP anchor = month</t>
  </si>
  <si>
    <t xml:space="preserve">Kill zones: New York + cooldownBars = 12 + VWAP anchor = month</t>
  </si>
  <si>
    <t xml:space="preserve">stopAtr = 3.0 + momLen = 15 + VWAP anchor = month</t>
  </si>
  <si>
    <t xml:space="preserve">stopAtr = 3.0 + VWAP anchor = month</t>
  </si>
  <si>
    <t xml:space="preserve">stopAtr = 3.0 + momLen = 15 + atrLen = 30 + VWAP anchor = month</t>
  </si>
  <si>
    <t xml:space="preserve">Don't Chase = 1.5 sigma + retestBars = 2</t>
  </si>
  <si>
    <t xml:space="preserve">stopAtr = 3.0 + atrLen = 30 + VWAP anchor = month</t>
  </si>
  <si>
    <t xml:space="preserve">stopAtr = 3.0 + retestBars = 2 + VWAP anchor = month</t>
  </si>
  <si>
    <t xml:space="preserve">Kill zones: New York + VWAP anchor = month</t>
  </si>
  <si>
    <t xml:space="preserve">stopAtr = 3.0 + atrLen = 30 + retestBars = 2 + VWAP anchor = month</t>
  </si>
  <si>
    <t xml:space="preserve">momLen = 15 + cooldownBars = 12 + atrLen = 30 + VWAP anchor = month</t>
  </si>
  <si>
    <t xml:space="preserve">stopAtr = 3.0 + cooldownBars = 12 + VWAP anchor = month</t>
  </si>
  <si>
    <t xml:space="preserve">stopAtr = 3.0 + momLen = 15 + retestBars = 2 + VWAP anchor = month</t>
  </si>
  <si>
    <t xml:space="preserve">Don't Chase = 1.5 sigma + momLen = 15 + cooldownBars = 12 + VWAP anchor = month</t>
  </si>
  <si>
    <t xml:space="preserve">stopAtr = 3.0 + momLen = 15 + cooldownBars = 12 + retestBars = 2</t>
  </si>
  <si>
    <t xml:space="preserve">Don't Chase = 1.5 sigma + momLen = 15 + VWAP anchor = month</t>
  </si>
  <si>
    <t xml:space="preserve">stopAtr = 3.0 + atrLen = 30</t>
  </si>
  <si>
    <t xml:space="preserve">cooldownBars = 12 + atrLen = 30 + VWAP anchor = month</t>
  </si>
  <si>
    <t xml:space="preserve">momLen = 15 + cooldownBars = 12 + VWAP anchor = month</t>
  </si>
  <si>
    <t xml:space="preserve">Don't Chase = 1.5 sigma + stopAtr = 3.0 + atrLen = 30 + VWAP anchor = month</t>
  </si>
  <si>
    <t xml:space="preserve">momLen = 15 + VWAP anchor = month</t>
  </si>
  <si>
    <t xml:space="preserve">M15: 13 of 116 combinations positive in 2021-23 after spread; 11 of those also positive in 2024-26.</t>
  </si>
  <si>
    <t xml:space="preserve">Don't Chase = 2.0 sigma + dispAtr = 0.65 + stopAtr = 2.2 + cooldownBars = 12</t>
  </si>
  <si>
    <t xml:space="preserve">Don't Chase = 2.0 sigma + stopAtr = 2.2 + cooldownBars = 12</t>
  </si>
  <si>
    <t xml:space="preserve">Don't Chase = 2.0 sigma + stopAtr = 2.2 + cooldownBars = 12 + dispBodyPct = 60.0</t>
  </si>
  <si>
    <t xml:space="preserve">Don't Chase = 2.0 sigma + minOpenBars = 6 + cooldownBars = 12</t>
  </si>
  <si>
    <t xml:space="preserve">Don't Chase = 2.0 sigma + cooldownBars = 12 + dispBodyPct = 60.0</t>
  </si>
  <si>
    <t xml:space="preserve">Don't Chase = 2.0 sigma + minOpenBars = 6 + dispAtr = 0.65 + cooldownBars = 12</t>
  </si>
  <si>
    <t xml:space="preserve">VWAP anchor = month + Don't Chase = 2.0 sigma + dispAtr = 0.65 + cooldownBars = 12</t>
  </si>
  <si>
    <t xml:space="preserve">Don't Chase = 2.0 sigma + cooldownBars = 12</t>
  </si>
  <si>
    <t xml:space="preserve">VWAP anchor = month + Don't Chase = 2.0 sigma + cooldownBars = 12</t>
  </si>
  <si>
    <t xml:space="preserve">VWAP anchor = month + Don't Chase = 2.0 sigma + stopAtr = 2.2</t>
  </si>
  <si>
    <t xml:space="preserve">VWAP anchor = month + Don't Chase = 2.0 sigma + dispAtr = 0.65 + stopAtr = 2.2</t>
  </si>
  <si>
    <t xml:space="preserve">VWAP anchor = month + Don't Chase = 2.0 sigma + minOpenBars = 6 + stopAtr = 2.2</t>
  </si>
  <si>
    <t xml:space="preserve">VWAP anchor = month + Don't Chase = 2.0 sigma + stopAtr = 2.2 + cooldownBars = 12</t>
  </si>
  <si>
    <t xml:space="preserve">Don't Chase = 2.0 sigma + minOpenBars = 6 + dispAtr = 0.65 + stopAtr = 2.2</t>
  </si>
  <si>
    <t xml:space="preserve">VWAP anchor = month + Don't Chase = 2.0 sigma + Min distance from VWAP = 1.5 ATR + cooldownBars = 12</t>
  </si>
  <si>
    <t xml:space="preserve">VWAP anchor = month + Don't Chase = 2.0 sigma + cooldownBars = 12 + dispBodyPct = 60.0</t>
  </si>
  <si>
    <t xml:space="preserve">Don't Chase = 2.0 sigma + minOpenBars = 6 + dispBodyPct = 60.0</t>
  </si>
  <si>
    <t xml:space="preserve">VWAP anchor = month + Don't Chase = 2.0 sigma + stopAtr = 2.2 + dispBodyPct = 60.0</t>
  </si>
  <si>
    <t xml:space="preserve">VWAP anchor = month + Don't Chase = 2.0 sigma + minOpenBars = 6 + cooldownBars = 12</t>
  </si>
  <si>
    <t xml:space="preserve">Don't Chase = 2.0 sigma + dispAtr = 0.65 + stopAtr = 2.2 + dispBodyPct = 60.0</t>
  </si>
  <si>
    <t xml:space="preserve">VWAP anchor = month + Don't Chase = 2.0 sigma + dispAtr = 0.65</t>
  </si>
  <si>
    <t xml:space="preserve">Don't Chase = 2.0 sigma + dispAtr = 0.65 + cooldownBars = 12 + dispBodyPct = 60.0</t>
  </si>
  <si>
    <t xml:space="preserve">Don't Chase = 2.0 sigma + dispAtr = 0.65 + cooldownBars = 12</t>
  </si>
  <si>
    <t xml:space="preserve">Don't Chase = 2.0 sigma + stopAtr = 2.2 + dispBodyPct = 60.0</t>
  </si>
  <si>
    <t xml:space="preserve">VWAP anchor = month + Don't Chase = 2.0 sigma + dispAtr = 0.65 + Min distance from VWAP = 1.5 ATR</t>
  </si>
  <si>
    <t xml:space="preserve">H1: 81 of 143 combinations positive in 2021-23 after spread; 76 of those also positive in 2024-26.</t>
  </si>
  <si>
    <t xml:space="preserve">PART 2 - step-by-step search over every setting (chosen on 2021-23 only)</t>
  </si>
  <si>
    <t xml:space="preserve">Search</t>
  </si>
  <si>
    <t xml:space="preserve">Step</t>
  </si>
  <si>
    <t xml:space="preserve">Change added</t>
  </si>
  <si>
    <t xml:space="preserve">2021-23 win %</t>
  </si>
  <si>
    <t xml:space="preserve">2021-23 longest W</t>
  </si>
  <si>
    <t xml:space="preserve">2021-23 longest L</t>
  </si>
  <si>
    <t xml:space="preserve">2024-26 longest W</t>
  </si>
  <si>
    <t xml:space="preserve">2024-26 longest L</t>
  </si>
  <si>
    <t xml:space="preserve">Most profit, from default</t>
  </si>
  <si>
    <t xml:space="preserve">start: default</t>
  </si>
  <si>
    <t xml:space="preserve">stopAtr = 4.0</t>
  </si>
  <si>
    <t xml:space="preserve">dispAtr = 0.4</t>
  </si>
  <si>
    <t xml:space="preserve">Most profit, from best combination</t>
  </si>
  <si>
    <t xml:space="preserve">start: Hours: New York 18:30-22:30 IST + Choppy sessions max crosses = 8 + VWAP anchor = week</t>
  </si>
  <si>
    <t xml:space="preserve">stopAtr = 2.4</t>
  </si>
  <si>
    <t xml:space="preserve">Choppy sessions max crosses = 6</t>
  </si>
  <si>
    <t xml:space="preserve">start: stopAtr = 3.0 + momLen = 15 + cooldownBars = 12 + VWAP anchor = month</t>
  </si>
  <si>
    <t xml:space="preserve">Don't Chase = 1.25 sigma</t>
  </si>
  <si>
    <t xml:space="preserve">start: Don't Chase = 2.0 sigma + dispAtr = 0.65 + stopAtr = 2.2 + cooldownBars = 12</t>
  </si>
  <si>
    <t xml:space="preserve">Exit choices for the candidate settings: each TP as the exit, breakeven moves, 50% partial at TP1</t>
  </si>
  <si>
    <t xml:space="preserve">Breakeven = stop moved to the entry when that target is hit (a breakeven exit is neither a win nor a loss and ends a streak). After spread.</t>
  </si>
  <si>
    <t xml:space="preserve">Candidate settings</t>
  </si>
  <si>
    <t xml:space="preserve">Exit</t>
  </si>
  <si>
    <t xml:space="preserve">2021-23</t>
  </si>
  <si>
    <t xml:space="preserve">2024-26</t>
  </si>
  <si>
    <t xml:space="preserve">Exit at TP1 (0.6R)</t>
  </si>
  <si>
    <t xml:space="preserve">Exit at TP2 (1R)</t>
  </si>
  <si>
    <t xml:space="preserve">Exit at TP3 (1.5R)</t>
  </si>
  <si>
    <t xml:space="preserve">Exit at TP4 (2R)</t>
  </si>
  <si>
    <t xml:space="preserve">TP4 + breakeven at TP1</t>
  </si>
  <si>
    <t xml:space="preserve">TP2 + breakeven at TP1</t>
  </si>
  <si>
    <t xml:space="preserve">TP4 + breakeven at TP2</t>
  </si>
  <si>
    <t xml:space="preserve">50% at TP1 + breakeven, rest TP4</t>
  </si>
  <si>
    <t xml:space="preserve">stopAtr = 2.2 + Don't Chase = 1.5 sigma</t>
  </si>
  <si>
    <t xml:space="preserve">stopAtr = 2.2 + Don't Chase = 2.0 sigma</t>
  </si>
  <si>
    <t xml:space="preserve">All 17 loss-recovery rules of the strategy + Off, on each timeframe and setting (2021-2026, after spread)</t>
  </si>
  <si>
    <t xml:space="preserve">$10,000 start, $50 base risk, sized like the strategy (a stop-out loses the computed risk incl. spread), no leverage limit. "$500 cap" = Hard Cap on, Clamp. Ranked only if the account survived, made money, never risked more than $500 (5% of the start) on one trade and never fell more than 40% from a peak.</t>
  </si>
  <si>
    <t xml:space="preserve">SUMMARY - every rule on the 8 profitable best / low-streak settings (all timeframes)</t>
  </si>
  <si>
    <t xml:space="preserve">Recovery rule</t>
  </si>
  <si>
    <t xml:space="preserve">Hard cap</t>
  </si>
  <si>
    <t xml:space="preserve">Account survived (of 8)</t>
  </si>
  <si>
    <t xml:space="preserve">Eligible (survived, profitable, max risk &lt;= $500, drawdown &lt;= 40%)</t>
  </si>
  <si>
    <t xml:space="preserve">Average rank (1 = best)</t>
  </si>
  <si>
    <t xml:space="preserve">Profit / drawdown vs Off (average)</t>
  </si>
  <si>
    <t xml:space="preserve">Net profit vs Off (average)</t>
  </si>
  <si>
    <t xml:space="preserve">Verdict</t>
  </si>
  <si>
    <t xml:space="preserve">none</t>
  </si>
  <si>
    <t xml:space="preserve">baseline</t>
  </si>
  <si>
    <t xml:space="preserve">$500</t>
  </si>
  <si>
    <t xml:space="preserve">% of equity</t>
  </si>
  <si>
    <t xml:space="preserve">worse risk-adjusted than Off</t>
  </si>
  <si>
    <t xml:space="preserve">Paroli</t>
  </si>
  <si>
    <t xml:space="preserve">Rule C: carry the losses</t>
  </si>
  <si>
    <t xml:space="preserve">about as good as Off, more profit</t>
  </si>
  <si>
    <t xml:space="preserve">Oscar's Grind</t>
  </si>
  <si>
    <t xml:space="preserve">Reverse D'Alembert</t>
  </si>
  <si>
    <t xml:space="preserve">D'Alembert</t>
  </si>
  <si>
    <t xml:space="preserve">Step-up (+$ per loss in a row)</t>
  </si>
  <si>
    <t xml:space="preserve">Delayed recovery</t>
  </si>
  <si>
    <t xml:space="preserve">much worse than Off</t>
  </si>
  <si>
    <t xml:space="preserve">Recover losses over N trades</t>
  </si>
  <si>
    <t xml:space="preserve">Rule C split</t>
  </si>
  <si>
    <t xml:space="preserve">Recover a % of losses per trade</t>
  </si>
  <si>
    <t xml:space="preserve">Exact recovery at final TP</t>
  </si>
  <si>
    <t xml:space="preserve">Labouchere</t>
  </si>
  <si>
    <t xml:space="preserve">Grand Martingale</t>
  </si>
  <si>
    <t xml:space="preserve">Fibonacci</t>
  </si>
  <si>
    <t xml:space="preserve">Martingale (multiply after each loss)</t>
  </si>
  <si>
    <t xml:space="preserve">Recover all losses on the next trade</t>
  </si>
  <si>
    <t xml:space="preserve">Rules that were never eligible (blew the account, needed more than $500 on one trade or fell more than 40% in every case) are not listed. Detail per timeframe below.</t>
  </si>
  <si>
    <t xml:space="preserve">Rule detail</t>
  </si>
  <si>
    <t xml:space="preserve">Net profit ($)</t>
  </si>
  <si>
    <t xml:space="preserve">Max drawdown ($)</t>
  </si>
  <si>
    <t xml:space="preserve">Max drawdown %</t>
  </si>
  <si>
    <t xml:space="preserve">Largest risk on one trade ($)</t>
  </si>
  <si>
    <t xml:space="preserve">Account blown?</t>
  </si>
  <si>
    <t xml:space="preserve">Profit / max drawdown</t>
  </si>
  <si>
    <t xml:space="preserve">Profit factor</t>
  </si>
  <si>
    <t xml:space="preserve">Worst run of losing trades ($)</t>
  </si>
  <si>
    <t xml:space="preserve">Rank (survived, by profit / drawdown)</t>
  </si>
  <si>
    <t xml:space="preserve">fixed $50 risk</t>
  </si>
  <si>
    <t xml:space="preserve">YES, after 482 trades</t>
  </si>
  <si>
    <t xml:space="preserve">-</t>
  </si>
  <si>
    <t xml:space="preserve">risk = $50 + all open losses</t>
  </si>
  <si>
    <t xml:space="preserve">YES, after 35 trades</t>
  </si>
  <si>
    <t xml:space="preserve">YES, after 48 trades</t>
  </si>
  <si>
    <t xml:space="preserve">N = 3</t>
  </si>
  <si>
    <t xml:space="preserve">YES, after 36 trades</t>
  </si>
  <si>
    <t xml:space="preserve">YES, after 57 trades</t>
  </si>
  <si>
    <t xml:space="preserve">50% of open losses</t>
  </si>
  <si>
    <t xml:space="preserve">YES, after 37 trades</t>
  </si>
  <si>
    <t xml:space="preserve">YES, after 55 trades</t>
  </si>
  <si>
    <t xml:space="preserve">x2 after each loss</t>
  </si>
  <si>
    <t xml:space="preserve">sized so the final TP repays open losses</t>
  </si>
  <si>
    <t xml:space="preserve">+$25 per loss in a row</t>
  </si>
  <si>
    <t xml:space="preserve">YES, after 51 trades</t>
  </si>
  <si>
    <t xml:space="preserve">1,1,2,3,5... units</t>
  </si>
  <si>
    <t xml:space="preserve">YES, after 40 trades</t>
  </si>
  <si>
    <t xml:space="preserve">YES, after 49 trades</t>
  </si>
  <si>
    <t xml:space="preserve">+1 unit after a loss, -1 after a win</t>
  </si>
  <si>
    <t xml:space="preserve">carried losses / 3</t>
  </si>
  <si>
    <t xml:space="preserve">YES, after 42 trades</t>
  </si>
  <si>
    <t xml:space="preserve">YES, after 63 trades</t>
  </si>
  <si>
    <t xml:space="preserve">Rule C with profit steps</t>
  </si>
  <si>
    <t xml:space="preserve">1-2-3 line</t>
  </si>
  <si>
    <t xml:space="preserve">YES, after 31 trades</t>
  </si>
  <si>
    <t xml:space="preserve">x2 + 1 unit</t>
  </si>
  <si>
    <t xml:space="preserve">x2 after a win, 3-win reset</t>
  </si>
  <si>
    <t xml:space="preserve">YES, after 347 trades</t>
  </si>
  <si>
    <t xml:space="preserve">+1 unit after a win</t>
  </si>
  <si>
    <t xml:space="preserve">YES, after 324 trades</t>
  </si>
  <si>
    <t xml:space="preserve">starts after 2 losses</t>
  </si>
  <si>
    <t xml:space="preserve">YES, after 58 trades</t>
  </si>
  <si>
    <t xml:space="preserve">1% of equity</t>
  </si>
  <si>
    <t xml:space="preserve">no</t>
  </si>
  <si>
    <t xml:space="preserve">+1 unit after a win until +1 unit up</t>
  </si>
  <si>
    <t xml:space="preserve">YES, after 70 trades</t>
  </si>
  <si>
    <t xml:space="preserve">YES, after 71 trades</t>
  </si>
  <si>
    <t xml:space="preserve">YES, after 162 trades</t>
  </si>
  <si>
    <t xml:space="preserve">YES, after 100 trades</t>
  </si>
  <si>
    <t xml:space="preserve">YES, after 251 trades</t>
  </si>
  <si>
    <t xml:space="preserve">YES, after 253 trades</t>
  </si>
  <si>
    <t xml:space="preserve">YES, after 41 trades</t>
  </si>
  <si>
    <t xml:space="preserve">YES, after 149 trades</t>
  </si>
  <si>
    <t xml:space="preserve">YES, after 99 trades</t>
  </si>
  <si>
    <t xml:space="preserve">YES, after 85 trades</t>
  </si>
  <si>
    <t xml:space="preserve">YES, after 232 trades</t>
  </si>
  <si>
    <t xml:space="preserve">YES, after 321 trades</t>
  </si>
  <si>
    <t xml:space="preserve">YES, after 233 trades</t>
  </si>
  <si>
    <t xml:space="preserve">YES, after 1091 trades</t>
  </si>
  <si>
    <t xml:space="preserve">YES, after 21 trades</t>
  </si>
  <si>
    <t xml:space="preserve">YES, after 83 trades</t>
  </si>
  <si>
    <t xml:space="preserve">YES, after 101 trades</t>
  </si>
  <si>
    <t xml:space="preserve">YES, after 86 trades</t>
  </si>
  <si>
    <t xml:space="preserve">YES, after 98 trades</t>
  </si>
  <si>
    <t xml:space="preserve">YES, after 102 trades</t>
  </si>
  <si>
    <t xml:space="preserve">YES, after 164 trades</t>
  </si>
  <si>
    <t xml:space="preserve">YES, after 84 trades</t>
  </si>
  <si>
    <t xml:space="preserve">YES, after 73 trades</t>
  </si>
  <si>
    <t xml:space="preserve">YES, after 104 trades</t>
  </si>
  <si>
    <t xml:space="preserve">YES, after 103 trades</t>
  </si>
  <si>
    <t xml:space="preserve">YES, after 19 trades</t>
  </si>
  <si>
    <t xml:space="preserve">YES, after 82 trades</t>
  </si>
  <si>
    <t xml:space="preserve">YES, after 20 trades</t>
  </si>
  <si>
    <t xml:space="preserve">YES, after 867 trades</t>
  </si>
  <si>
    <t xml:space="preserve">YES, after 678 trades</t>
  </si>
  <si>
    <t xml:space="preserve">YES, after 130 trades</t>
  </si>
  <si>
    <t xml:space="preserve">YES, after 159 trades</t>
  </si>
  <si>
    <t xml:space="preserve">YES, after 119 trades</t>
  </si>
  <si>
    <t xml:space="preserve">YES, after 125 trades</t>
  </si>
  <si>
    <t xml:space="preserve">YES, after 200 trades</t>
  </si>
  <si>
    <t xml:space="preserve">YES, after 122 trades</t>
  </si>
  <si>
    <t xml:space="preserve">YES, after 202 trades</t>
  </si>
  <si>
    <t xml:space="preserve">YES, after 123 trades</t>
  </si>
  <si>
    <t xml:space="preserve">YES, after 201 trades</t>
  </si>
  <si>
    <t xml:space="preserve">YES, after 336 trades</t>
  </si>
  <si>
    <t xml:space="preserve">YES, after 121 trades</t>
  </si>
  <si>
    <t xml:space="preserve">YES, after 308 trades</t>
  </si>
  <si>
    <t xml:space="preserve">YES, after 72 trades</t>
  </si>
  <si>
    <t xml:space="preserve">YES, after 178 trades</t>
  </si>
  <si>
    <t xml:space="preserve">YES, after 127 trades</t>
  </si>
  <si>
    <t xml:space="preserve">YES, after 124 trades</t>
  </si>
  <si>
    <t xml:space="preserve">YES, after 184 trades</t>
  </si>
  <si>
    <t xml:space="preserve">YES, after 25 trades</t>
  </si>
  <si>
    <t xml:space="preserve">YES, after 147 trades</t>
  </si>
  <si>
    <t xml:space="preserve">YES, after 1522 trades</t>
  </si>
  <si>
    <t xml:space="preserve">YES, after 138 trades</t>
  </si>
  <si>
    <t xml:space="preserve">YES, after 139 trades</t>
  </si>
  <si>
    <t xml:space="preserve">YES, after 1342 trades</t>
  </si>
  <si>
    <t xml:space="preserve">YES, after 381 trades</t>
  </si>
  <si>
    <t xml:space="preserve">YES, after 2466 trades</t>
  </si>
  <si>
    <t xml:space="preserve">YES, after 352 trades</t>
  </si>
  <si>
    <t xml:space="preserve">YES, after 544 trades</t>
  </si>
  <si>
    <t xml:space="preserve">YES, after 1546 trades</t>
  </si>
  <si>
    <t xml:space="preserve">YES, after 890 trades</t>
  </si>
  <si>
    <t xml:space="preserve">YES, after 1536 trades</t>
  </si>
  <si>
    <t xml:space="preserve">YES, after 543 trades</t>
  </si>
  <si>
    <t xml:space="preserve">YES, after 1076 trades</t>
  </si>
  <si>
    <t xml:space="preserve">YES, after 525 trades</t>
  </si>
  <si>
    <t xml:space="preserve">YES, after 1537 trades</t>
  </si>
  <si>
    <t xml:space="preserve">YES, after 574 trades</t>
  </si>
  <si>
    <t xml:space="preserve">YES, after 118 trades</t>
  </si>
  <si>
    <t xml:space="preserve">YES, after 310 trades</t>
  </si>
  <si>
    <t xml:space="preserve">YES, after 1547 trades</t>
  </si>
  <si>
    <t xml:space="preserve">YES, after 1326 trades</t>
  </si>
  <si>
    <t xml:space="preserve">YES, after 495 trades</t>
  </si>
  <si>
    <t xml:space="preserve">YES, after 371 trades</t>
  </si>
  <si>
    <t xml:space="preserve">YES, after 1333 trades</t>
  </si>
  <si>
    <t xml:space="preserve">YES, after 1068 trades</t>
  </si>
  <si>
    <t xml:space="preserve">YES, after 1162 trades</t>
  </si>
  <si>
    <t xml:space="preserve">YES, after 1015 trades</t>
  </si>
  <si>
    <t xml:space="preserve">YES, after 22 trades</t>
  </si>
  <si>
    <t xml:space="preserve">YES, after 492 trades</t>
  </si>
  <si>
    <t xml:space="preserve">YES, after 489 trades</t>
  </si>
  <si>
    <t xml:space="preserve">YES, after 487 trades</t>
  </si>
  <si>
    <t xml:space="preserve">YES, after 488 trades</t>
  </si>
  <si>
    <t xml:space="preserve">YES, after 497 trades</t>
  </si>
  <si>
    <t xml:space="preserve">YES, after 490 trades</t>
  </si>
  <si>
    <t xml:space="preserve">YES, after 417 trades</t>
  </si>
  <si>
    <t xml:space="preserve">YES, after 428 trades</t>
  </si>
  <si>
    <t xml:space="preserve">YES, after 422 trades</t>
  </si>
  <si>
    <t xml:space="preserve">YES, after 418 trades</t>
  </si>
  <si>
    <t xml:space="preserve">YES, after 53 trades</t>
  </si>
  <si>
    <t xml:space="preserve">YES, after 94 trades</t>
  </si>
  <si>
    <t xml:space="preserve">YES, after 95 trades</t>
  </si>
  <si>
    <t xml:space="preserve">YES, after 91 trades</t>
  </si>
  <si>
    <t xml:space="preserve">YES, after 97 trades</t>
  </si>
  <si>
    <t xml:space="preserve">YES, after 67 trades</t>
  </si>
  <si>
    <t xml:space="preserve">YES, after 93 trades</t>
  </si>
  <si>
    <t xml:space="preserve">YES, after 116 trades</t>
  </si>
  <si>
    <t xml:space="preserve">YES, after 74 trades</t>
  </si>
  <si>
    <t xml:space="preserve">YES, after 92 trades</t>
  </si>
  <si>
    <t xml:space="preserve">YES, after 117 trades</t>
  </si>
  <si>
    <t xml:space="preserve">Rule C and Rule C split with the loss split over 1, 2, 3, 4 or 5 trades (2021-2026, after spread)</t>
  </si>
  <si>
    <t xml:space="preserve">Rule C: carried = how far closed equity is below its last high; next risk = max(base, carried / split). Rule C split: the same, and the base steps up with total profit (200 -&gt; 200/3, 500 -&gt; 500/5, 1000 -&gt; 1000/8, then +1 part per +500). $10,000 start, $50 base, hard cap $500 with Clamp unless shown. Partial closes update the carried losses per part.</t>
  </si>
  <si>
    <t xml:space="preserve">WHAT IT SHOWS</t>
  </si>
  <si>
    <t xml:space="preserve">1. With the best settings (profitable signals) and the hard cap on, Rule C split at split 2 or 3 made 5-9x the profit of fixed risk (Off), and per $ staked it lost about the same as Off.</t>
  </si>
  <si>
    <t xml:space="preserve">2. Without the hard cap, Rule C split at split 1-3 blew the $10,000 account on M1, M5 and M15. With the default settings every Rule C variant blew the account.</t>
  </si>
  <si>
    <t xml:space="preserve">3. Split 3 was the better choice than 2 on most cases: similar profit with a smaller drawdown (M15 best: 33% vs 46%). Drawdowns are still far larger than Off (16-70% vs 3-17%).</t>
  </si>
  <si>
    <t xml:space="preserve">4. The cap action matters: "Start again" (forget the carried losses when the risk would pass the cap) kept M5 alive where Clamp blew it, and gave M15 its best profit for the drawdown.</t>
  </si>
  <si>
    <t xml:space="preserve">5. Stress test (part 3): add 0.05-0.10 R of extra cost per trade (live slippage, weaker edge). H1 stays clearly profitable; M15 holds to about 0.05 R; M1 and M5 blow up - their edge is too thin.</t>
  </si>
  <si>
    <t xml:space="preserve">PART 1 - split 1 to 5, without and with the $500 hard cap (Clamp)</t>
  </si>
  <si>
    <t xml:space="preserve">Rule</t>
  </si>
  <si>
    <t xml:space="preserve">Split</t>
  </si>
  <si>
    <t xml:space="preserve">Average stake ($)</t>
  </si>
  <si>
    <t xml:space="preserve">Largest stake ($)</t>
  </si>
  <si>
    <t xml:space="preserve">vs Off (1 = same)</t>
  </si>
  <si>
    <t xml:space="preserve">Profit per $ of average stake</t>
  </si>
  <si>
    <t xml:space="preserve">Max drawdown per $ of average stake</t>
  </si>
  <si>
    <t xml:space="preserve">2021-23 alone: net ($)</t>
  </si>
  <si>
    <t xml:space="preserve">2024-26 alone: net ($)</t>
  </si>
  <si>
    <t xml:space="preserve">Off (fixed $50)</t>
  </si>
  <si>
    <t xml:space="preserve">BLOWN</t>
  </si>
  <si>
    <t xml:space="preserve">Rule C</t>
  </si>
  <si>
    <t xml:space="preserve">YES, after 34 trades</t>
  </si>
  <si>
    <t xml:space="preserve">YES, after 161 trades</t>
  </si>
  <si>
    <t xml:space="preserve">YES, after 148 trades</t>
  </si>
  <si>
    <t xml:space="preserve">YES, after 173 trades</t>
  </si>
  <si>
    <t xml:space="preserve">YES, after 113 trades</t>
  </si>
  <si>
    <t xml:space="preserve">YES, after 120 trades</t>
  </si>
  <si>
    <t xml:space="preserve">YES, after 199 trades</t>
  </si>
  <si>
    <t xml:space="preserve">YES, after 335 trades</t>
  </si>
  <si>
    <t xml:space="preserve">YES, after 128 trades</t>
  </si>
  <si>
    <t xml:space="preserve">YES, after 198 trades</t>
  </si>
  <si>
    <t xml:space="preserve">YES, after 81 trades</t>
  </si>
  <si>
    <t xml:space="preserve">YES, after 144 trades</t>
  </si>
  <si>
    <t xml:space="preserve">YES, after 1274 trades</t>
  </si>
  <si>
    <t xml:space="preserve">YES, after 1259 trades</t>
  </si>
  <si>
    <t xml:space="preserve">YES, after 351 trades</t>
  </si>
  <si>
    <t xml:space="preserve">YES, after 465 trades</t>
  </si>
  <si>
    <t xml:space="preserve">YES, after 526 trades</t>
  </si>
  <si>
    <t xml:space="preserve">YES, after 494 trades</t>
  </si>
  <si>
    <t xml:space="preserve">YES, after 486 trades</t>
  </si>
  <si>
    <t xml:space="preserve">YES, after 415 trades</t>
  </si>
  <si>
    <t xml:space="preserve">YES, after 54 trades</t>
  </si>
  <si>
    <t xml:space="preserve">YES, after 112 trades</t>
  </si>
  <si>
    <t xml:space="preserve">PART 2 - split 2 and 3: hard cap size and what happens when the risk would pass it (Clamp = trade at the cap, Start again = forget the carried losses)</t>
  </si>
  <si>
    <t xml:space="preserve">If the risk would pass the cap</t>
  </si>
  <si>
    <t xml:space="preserve">$250</t>
  </si>
  <si>
    <t xml:space="preserve">Clamp</t>
  </si>
  <si>
    <t xml:space="preserve">Start again</t>
  </si>
  <si>
    <t xml:space="preserve">$1000</t>
  </si>
  <si>
    <t xml:space="preserve">YES</t>
  </si>
  <si>
    <t xml:space="preserve">PART 3 - stress test on the best settings: the same runs with 0.05 R and 0.10 R of extra cost on every trade (slippage, a weaker live edge)</t>
  </si>
  <si>
    <t xml:space="preserve">Hard cap / action</t>
  </si>
  <si>
    <t xml:space="preserve">Net ($), as tested</t>
  </si>
  <si>
    <t xml:space="preserve">Max DD %, as tested</t>
  </si>
  <si>
    <t xml:space="preserve">Net ($), +0.05 R cost</t>
  </si>
  <si>
    <t xml:space="preserve">Max DD %, +0.05 R</t>
  </si>
  <si>
    <t xml:space="preserve">Net ($), +0.10 R cost</t>
  </si>
  <si>
    <t xml:space="preserve">Max DD %, +0.10 R</t>
  </si>
  <si>
    <t xml:space="preserve">$500 Clamp</t>
  </si>
  <si>
    <t xml:space="preserve">$500 Start again</t>
  </si>
  <si>
    <t xml:space="preserve">How fragile are the recommended settings? Every single setting changed once more on top of them</t>
  </si>
  <si>
    <t xml:space="preserve">A setting that only works at one exact value is probably luck. Shown: how many one-step changes stay profitable after spread in both halves, and the changes that hurt most.</t>
  </si>
  <si>
    <t xml:space="preserve">One-step changes tested</t>
  </si>
  <si>
    <t xml:space="preserve">Still profitable in 2021-23 and 2024-26</t>
  </si>
  <si>
    <t xml:space="preserve">Share</t>
  </si>
  <si>
    <t xml:space="preserve">Median R per trade after spread (all changes)</t>
  </si>
  <si>
    <t xml:space="preserve">R per trade of the pick itself</t>
  </si>
  <si>
    <t xml:space="preserve">Most damaging change</t>
  </si>
  <si>
    <t xml:space="preserve">R per trade after it</t>
  </si>
  <si>
    <t xml:space="preserve">2nd most damaging</t>
  </si>
  <si>
    <t xml:space="preserve">3rd most damaging</t>
  </si>
  <si>
    <t xml:space="preserve">stopAtr = 2.0</t>
  </si>
  <si>
    <t xml:space="preserve">Close 70% at TP1</t>
  </si>
  <si>
    <t xml:space="preserve">minOpenBars = 18</t>
  </si>
  <si>
    <t xml:space="preserve">When the default settings trade (IST hour of the fill) and what the spread costs then</t>
  </si>
  <si>
    <t xml:space="preserve">With max 5 fills a day, M1 uses all 5 fills every day in the quiet hours just after the broker midnight (VWAP reset) - where the spread is a big part of the small stop.</t>
  </si>
  <si>
    <t xml:space="preserve">IST hour</t>
  </si>
  <si>
    <t xml:space="preserve">Spread cost (R per trade)</t>
  </si>
  <si>
    <t xml:space="preserve">00:00</t>
  </si>
  <si>
    <t xml:space="preserve">01:00</t>
  </si>
  <si>
    <t xml:space="preserve">02:00</t>
  </si>
  <si>
    <t xml:space="preserve">03:00</t>
  </si>
  <si>
    <t xml:space="preserve">04:00</t>
  </si>
  <si>
    <t xml:space="preserve">05:00</t>
  </si>
  <si>
    <t xml:space="preserve">06:00</t>
  </si>
  <si>
    <t xml:space="preserve">07:00</t>
  </si>
  <si>
    <t xml:space="preserve">08:00</t>
  </si>
  <si>
    <t xml:space="preserve">09:00</t>
  </si>
  <si>
    <t xml:space="preserve">10:00</t>
  </si>
  <si>
    <t xml:space="preserve">11:00</t>
  </si>
  <si>
    <t xml:space="preserve">12:00</t>
  </si>
  <si>
    <t xml:space="preserve">13:00</t>
  </si>
  <si>
    <t xml:space="preserve">14:00</t>
  </si>
  <si>
    <t xml:space="preserve">15:00</t>
  </si>
  <si>
    <t xml:space="preserve">16:00</t>
  </si>
  <si>
    <t xml:space="preserve">17:00</t>
  </si>
  <si>
    <t xml:space="preserve">18:00</t>
  </si>
  <si>
    <t xml:space="preserve">19:00</t>
  </si>
  <si>
    <t xml:space="preserve">20:00</t>
  </si>
  <si>
    <t xml:space="preserve">21:00</t>
  </si>
  <si>
    <t xml:space="preserve">22:00</t>
  </si>
  <si>
    <t xml:space="preserve">23:00</t>
  </si>
  <si>
    <t xml:space="preserve">Total</t>
  </si>
  <si>
    <t xml:space="preserve">Why the losing streak depends on the win rate (and only a little on the filters)</t>
  </si>
  <si>
    <t xml:space="preserve">Expected longest losing streak in N independent trades with win rate p: ln(N x p) / ln(1/(1-p)) + 0.5772 / ln(1/(1-p)) - 0.5 (Schilling). Edit the blue cells.</t>
  </si>
  <si>
    <t xml:space="preserve">Win rate p -&gt;</t>
  </si>
  <si>
    <t xml:space="preserve">Trades N</t>
  </si>
  <si>
    <t xml:space="preserve">Expected longest WIN streak (same formula with p and 1-p swapped)</t>
  </si>
  <si>
    <t xml:space="preserve">How to read it: the default settings win about 33% at TP4 (2R). Over ~900 H1 trades the table expects a longest losing streak of ~15 - the backtest had 15.</t>
  </si>
  <si>
    <t xml:space="preserve">Exiting at TP1 (0.6R) wins about 60%: the expected longest losing streak drops to ~7, as in the backtest - but 0.6R wins need &gt; 62.5% plus spread to make money.</t>
  </si>
  <si>
    <t xml:space="preserve">Losses in this backtest do not cluster: the chance of a loss after 1, 2, 3... losses in a row stays at the overall loss rate, so pausing after losses does not shorten streaks.</t>
  </si>
  <si>
    <t xml:space="preserve">So the ways to shorter losing streaks are: a higher win rate (nearer target, breakeven move, partial close at TP1) or fewer trades - not pause / stop-for-the-day rules.</t>
  </si>
  <si>
    <t xml:space="preserve">Do losses cluster? Chance that the next trade loses after k losses in a row (default settings, exit TP4, 2021-2026)</t>
  </si>
  <si>
    <t xml:space="preserve">Loss rate (all trades)</t>
  </si>
  <si>
    <t xml:space="preserve">After 1 loss</t>
  </si>
  <si>
    <t xml:space="preserve">After 2 losses</t>
  </si>
  <si>
    <t xml:space="preserve">After 3 losses</t>
  </si>
  <si>
    <t xml:space="preserve">After 4 losses</t>
  </si>
  <si>
    <t xml:space="preserve">After 5+ losses</t>
  </si>
  <si>
    <t xml:space="preserve">Cases after 5+</t>
  </si>
  <si>
    <t xml:space="preserve">If losses clustered, the chance after several losses would be clearly higher than the overall rate. It is not, so a streak is just bad luck in a row.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</si>
</sst>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%"/>
    <numFmt numFmtId="168" formatCode="0.000"/>
    <numFmt numFmtId="169" formatCode="0.0"/>
    <numFmt numFmtId="170" formatCode="General"/>
    <numFmt numFmtId="171" formatCode="#,##0;\(#,##0\);\-"/>
    <numFmt numFmtId="172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800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E699"/>
        <bgColor rgb="FFF8CBAD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8CBAD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2EFDA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3" t="s">
        <v>20</v>
      </c>
    </row>
    <row r="2" customFormat="false" ht="54" hidden="false" customHeight="true" outlineLevel="0" collapsed="false">
      <c r="A2" s="4" t="s">
        <v>21</v>
      </c>
      <c r="B2" s="4"/>
      <c r="C2" s="4"/>
      <c r="D2" s="4"/>
      <c r="E2" s="4"/>
      <c r="F2" s="4"/>
      <c r="G2" s="4"/>
      <c r="H2" s="4"/>
    </row>
    <row r="3" customFormat="false" ht="39.75" hidden="false" customHeight="true" outlineLevel="0" collapsed="false">
      <c r="A3" s="4" t="s">
        <v>22</v>
      </c>
      <c r="B3" s="4"/>
      <c r="C3" s="4"/>
      <c r="D3" s="4"/>
      <c r="E3" s="4"/>
      <c r="F3" s="4"/>
      <c r="G3" s="4"/>
      <c r="H3" s="4"/>
    </row>
    <row r="5" customFormat="false" ht="15" hidden="false" customHeight="false" outlineLevel="0" collapsed="false">
      <c r="A5" s="5" t="s">
        <v>23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24</v>
      </c>
      <c r="B6" s="6"/>
      <c r="C6" s="6"/>
      <c r="D6" s="6"/>
      <c r="E6" s="6"/>
      <c r="F6" s="6"/>
      <c r="G6" s="6"/>
      <c r="H6" s="6"/>
    </row>
    <row r="7" customFormat="false" ht="18" hidden="false" customHeight="true" outlineLevel="0" collapsed="false">
      <c r="A7" s="7" t="s">
        <v>25</v>
      </c>
      <c r="B7" s="7" t="s">
        <v>26</v>
      </c>
      <c r="C7" s="7" t="s">
        <v>27</v>
      </c>
      <c r="D7" s="7" t="s">
        <v>28</v>
      </c>
      <c r="E7" s="7" t="s">
        <v>29</v>
      </c>
    </row>
    <row r="8" customFormat="false" ht="15" hidden="false" customHeight="false" outlineLevel="0" collapsed="false">
      <c r="A8" s="8" t="s">
        <v>30</v>
      </c>
      <c r="B8" s="9" t="s">
        <v>31</v>
      </c>
      <c r="C8" s="8" t="s">
        <v>32</v>
      </c>
      <c r="D8" s="8" t="s">
        <v>33</v>
      </c>
      <c r="E8" s="9" t="s">
        <v>34</v>
      </c>
    </row>
    <row r="9" customFormat="false" ht="15" hidden="false" customHeight="false" outlineLevel="0" collapsed="false">
      <c r="A9" s="8" t="s">
        <v>30</v>
      </c>
      <c r="B9" s="9" t="s">
        <v>35</v>
      </c>
      <c r="C9" s="8" t="s">
        <v>36</v>
      </c>
      <c r="D9" s="8" t="s">
        <v>37</v>
      </c>
      <c r="E9" s="9" t="s">
        <v>38</v>
      </c>
    </row>
    <row r="10" customFormat="false" ht="15" hidden="false" customHeight="false" outlineLevel="0" collapsed="false">
      <c r="A10" s="8" t="s">
        <v>39</v>
      </c>
      <c r="B10" s="9" t="s">
        <v>40</v>
      </c>
      <c r="C10" s="8" t="s">
        <v>41</v>
      </c>
      <c r="D10" s="8" t="s">
        <v>42</v>
      </c>
      <c r="E10" s="9" t="s">
        <v>43</v>
      </c>
    </row>
    <row r="11" customFormat="false" ht="32.8" hidden="false" customHeight="false" outlineLevel="0" collapsed="false">
      <c r="A11" s="8" t="s">
        <v>44</v>
      </c>
      <c r="B11" s="9" t="s">
        <v>45</v>
      </c>
      <c r="C11" s="8" t="s">
        <v>46</v>
      </c>
      <c r="D11" s="8" t="s">
        <v>47</v>
      </c>
      <c r="E11" s="9" t="s">
        <v>48</v>
      </c>
    </row>
    <row r="12" customFormat="false" ht="15" hidden="false" customHeight="false" outlineLevel="0" collapsed="false">
      <c r="A12" s="10" t="s">
        <v>49</v>
      </c>
      <c r="B12" s="11" t="n">
        <f aca="false">'M1 best'!C82</f>
        <v>1958</v>
      </c>
      <c r="E12" s="10" t="s">
        <v>50</v>
      </c>
      <c r="F12" s="12" t="n">
        <f aca="false">'M1 best'!C82/1485</f>
        <v>1.31851851851852</v>
      </c>
    </row>
    <row r="13" customFormat="false" ht="15" hidden="false" customHeight="false" outlineLevel="0" collapsed="false">
      <c r="A13" s="10" t="s">
        <v>51</v>
      </c>
      <c r="B13" s="13" t="n">
        <f aca="false">'M1 best'!P82</f>
        <v>0.366189989785495</v>
      </c>
      <c r="E13" s="10" t="s">
        <v>52</v>
      </c>
      <c r="F13" s="13" t="n">
        <f aca="false">'M1 best'!Q82</f>
        <v>0.366189989785495</v>
      </c>
    </row>
    <row r="14" customFormat="false" ht="15" hidden="false" customHeight="false" outlineLevel="0" collapsed="false">
      <c r="A14" s="10" t="s">
        <v>53</v>
      </c>
      <c r="B14" s="14" t="str">
        <f aca="false">TEXT('M1 best'!R82,"0%")&amp;" / "&amp;TEXT('M1 best'!S82,"0%")&amp;" / "&amp;TEXT('M1 best'!T82,"0%")&amp;" / "&amp;TEXT('M1 best'!U82,"0%")</f>
        <v>63% / 52% / 43% / 37%</v>
      </c>
      <c r="E14" s="10" t="s">
        <v>54</v>
      </c>
      <c r="F14" s="15" t="n">
        <f aca="false">'M1 best'!W82</f>
        <v>0.057279366700715</v>
      </c>
    </row>
    <row r="15" customFormat="false" ht="15" hidden="false" customHeight="false" outlineLevel="0" collapsed="false">
      <c r="A15" s="10" t="s">
        <v>55</v>
      </c>
      <c r="B15" s="16" t="n">
        <f aca="false">'M1 best'!M82</f>
        <v>112.153</v>
      </c>
      <c r="E15" s="10" t="s">
        <v>56</v>
      </c>
      <c r="F15" s="14" t="str">
        <f aca="false">'M1 best'!N82&amp;" / "&amp;'M1 best'!O82</f>
        <v>8 / 14</v>
      </c>
    </row>
    <row r="16" customFormat="false" ht="24" hidden="false" customHeight="true" outlineLevel="0" collapsed="false">
      <c r="A16" s="10" t="s">
        <v>57</v>
      </c>
      <c r="B16" s="9" t="s">
        <v>58</v>
      </c>
      <c r="C16" s="9"/>
      <c r="D16" s="9"/>
      <c r="E16" s="9"/>
      <c r="F16" s="9"/>
      <c r="G16" s="9"/>
      <c r="H16" s="9"/>
    </row>
    <row r="18" customFormat="false" ht="15" hidden="false" customHeight="false" outlineLevel="0" collapsed="false">
      <c r="A18" s="6" t="s">
        <v>59</v>
      </c>
      <c r="B18" s="6"/>
      <c r="C18" s="6"/>
      <c r="D18" s="6"/>
      <c r="E18" s="6"/>
      <c r="F18" s="6"/>
      <c r="G18" s="6"/>
      <c r="H18" s="6"/>
    </row>
    <row r="19" customFormat="false" ht="18" hidden="false" customHeight="true" outlineLevel="0" collapsed="false">
      <c r="A19" s="7" t="s">
        <v>25</v>
      </c>
      <c r="B19" s="7" t="s">
        <v>26</v>
      </c>
      <c r="C19" s="7" t="s">
        <v>27</v>
      </c>
      <c r="D19" s="7" t="s">
        <v>28</v>
      </c>
      <c r="E19" s="7" t="s">
        <v>29</v>
      </c>
    </row>
    <row r="20" customFormat="false" ht="15" hidden="false" customHeight="false" outlineLevel="0" collapsed="false">
      <c r="A20" s="8" t="s">
        <v>30</v>
      </c>
      <c r="B20" s="9" t="s">
        <v>31</v>
      </c>
      <c r="C20" s="8" t="s">
        <v>32</v>
      </c>
      <c r="D20" s="8" t="s">
        <v>33</v>
      </c>
      <c r="E20" s="9" t="s">
        <v>34</v>
      </c>
    </row>
    <row r="21" customFormat="false" ht="15" hidden="false" customHeight="false" outlineLevel="0" collapsed="false">
      <c r="A21" s="8" t="s">
        <v>30</v>
      </c>
      <c r="B21" s="9" t="s">
        <v>35</v>
      </c>
      <c r="C21" s="8" t="s">
        <v>60</v>
      </c>
      <c r="D21" s="8" t="s">
        <v>37</v>
      </c>
      <c r="E21" s="9" t="s">
        <v>38</v>
      </c>
    </row>
    <row r="22" customFormat="false" ht="15" hidden="false" customHeight="false" outlineLevel="0" collapsed="false">
      <c r="A22" s="8" t="s">
        <v>39</v>
      </c>
      <c r="B22" s="9" t="s">
        <v>40</v>
      </c>
      <c r="C22" s="8" t="s">
        <v>41</v>
      </c>
      <c r="D22" s="8" t="s">
        <v>42</v>
      </c>
      <c r="E22" s="9" t="s">
        <v>43</v>
      </c>
    </row>
    <row r="23" customFormat="false" ht="32.8" hidden="false" customHeight="false" outlineLevel="0" collapsed="false">
      <c r="A23" s="8" t="s">
        <v>44</v>
      </c>
      <c r="B23" s="9" t="s">
        <v>45</v>
      </c>
      <c r="C23" s="8" t="s">
        <v>46</v>
      </c>
      <c r="D23" s="8" t="s">
        <v>47</v>
      </c>
      <c r="E23" s="9" t="s">
        <v>48</v>
      </c>
    </row>
    <row r="24" customFormat="false" ht="15" hidden="false" customHeight="false" outlineLevel="0" collapsed="false">
      <c r="A24" s="10" t="s">
        <v>49</v>
      </c>
      <c r="B24" s="11" t="n">
        <f aca="false">'M1 low-streak'!C82</f>
        <v>1802</v>
      </c>
      <c r="E24" s="10" t="s">
        <v>50</v>
      </c>
      <c r="F24" s="12" t="n">
        <f aca="false">'M1 low-streak'!C82/1485</f>
        <v>1.21346801346801</v>
      </c>
    </row>
    <row r="25" customFormat="false" ht="15" hidden="false" customHeight="false" outlineLevel="0" collapsed="false">
      <c r="A25" s="10" t="s">
        <v>51</v>
      </c>
      <c r="B25" s="13" t="n">
        <f aca="false">'M1 low-streak'!P82</f>
        <v>0.364594894561598</v>
      </c>
      <c r="E25" s="10" t="s">
        <v>52</v>
      </c>
      <c r="F25" s="13" t="n">
        <f aca="false">'M1 low-streak'!Q82</f>
        <v>0.364594894561598</v>
      </c>
    </row>
    <row r="26" customFormat="false" ht="15" hidden="false" customHeight="false" outlineLevel="0" collapsed="false">
      <c r="A26" s="10" t="s">
        <v>53</v>
      </c>
      <c r="B26" s="14" t="str">
        <f aca="false">TEXT('M1 low-streak'!R82,"0%")&amp;" / "&amp;TEXT('M1 low-streak'!S82,"0%")&amp;" / "&amp;TEXT('M1 low-streak'!T82,"0%")&amp;" / "&amp;TEXT('M1 low-streak'!U82,"0%")</f>
        <v>63% / 52% / 42% / 36%</v>
      </c>
      <c r="E26" s="10" t="s">
        <v>54</v>
      </c>
      <c r="F26" s="15" t="n">
        <f aca="false">'M1 low-streak'!W82</f>
        <v>0.0516108768035516</v>
      </c>
    </row>
    <row r="27" customFormat="false" ht="15" hidden="false" customHeight="false" outlineLevel="0" collapsed="false">
      <c r="A27" s="10" t="s">
        <v>55</v>
      </c>
      <c r="B27" s="16" t="n">
        <f aca="false">'M1 low-streak'!M82</f>
        <v>93.0028</v>
      </c>
      <c r="E27" s="10" t="s">
        <v>56</v>
      </c>
      <c r="F27" s="14" t="str">
        <f aca="false">'M1 low-streak'!N82&amp;" / "&amp;'M1 low-streak'!O82</f>
        <v>7 / 12</v>
      </c>
    </row>
    <row r="28" customFormat="false" ht="24" hidden="false" customHeight="true" outlineLevel="0" collapsed="false">
      <c r="A28" s="10" t="s">
        <v>57</v>
      </c>
      <c r="B28" s="9" t="s">
        <v>61</v>
      </c>
      <c r="C28" s="9"/>
      <c r="D28" s="9"/>
      <c r="E28" s="9"/>
      <c r="F28" s="9"/>
      <c r="G28" s="9"/>
      <c r="H28" s="9"/>
    </row>
    <row r="31" customFormat="false" ht="15" hidden="false" customHeight="false" outlineLevel="0" collapsed="false">
      <c r="A31" s="5" t="s">
        <v>62</v>
      </c>
      <c r="B31" s="5"/>
      <c r="C31" s="5"/>
      <c r="D31" s="5"/>
      <c r="E31" s="5"/>
      <c r="F31" s="5"/>
      <c r="G31" s="5"/>
      <c r="H31" s="5"/>
    </row>
    <row r="32" customFormat="false" ht="15" hidden="false" customHeight="false" outlineLevel="0" collapsed="false">
      <c r="A32" s="6" t="s">
        <v>24</v>
      </c>
      <c r="B32" s="6"/>
      <c r="C32" s="6"/>
      <c r="D32" s="6"/>
      <c r="E32" s="6"/>
      <c r="F32" s="6"/>
      <c r="G32" s="6"/>
      <c r="H32" s="6"/>
    </row>
    <row r="33" customFormat="false" ht="18" hidden="false" customHeight="true" outlineLevel="0" collapsed="false">
      <c r="A33" s="7" t="s">
        <v>25</v>
      </c>
      <c r="B33" s="7" t="s">
        <v>26</v>
      </c>
      <c r="C33" s="7" t="s">
        <v>27</v>
      </c>
      <c r="D33" s="7" t="s">
        <v>28</v>
      </c>
      <c r="E33" s="7" t="s">
        <v>29</v>
      </c>
    </row>
    <row r="34" customFormat="false" ht="15" hidden="false" customHeight="false" outlineLevel="0" collapsed="false">
      <c r="A34" s="8" t="s">
        <v>30</v>
      </c>
      <c r="B34" s="9" t="s">
        <v>31</v>
      </c>
      <c r="C34" s="8" t="s">
        <v>63</v>
      </c>
      <c r="D34" s="8" t="s">
        <v>33</v>
      </c>
      <c r="E34" s="9" t="s">
        <v>34</v>
      </c>
    </row>
    <row r="35" customFormat="false" ht="15" hidden="false" customHeight="false" outlineLevel="0" collapsed="false">
      <c r="A35" s="8" t="s">
        <v>64</v>
      </c>
      <c r="B35" s="9" t="s">
        <v>65</v>
      </c>
      <c r="C35" s="8" t="s">
        <v>66</v>
      </c>
      <c r="D35" s="8" t="s">
        <v>67</v>
      </c>
      <c r="E35" s="9" t="s">
        <v>68</v>
      </c>
    </row>
    <row r="36" customFormat="false" ht="15" hidden="false" customHeight="false" outlineLevel="0" collapsed="false">
      <c r="A36" s="8" t="s">
        <v>39</v>
      </c>
      <c r="B36" s="9" t="s">
        <v>40</v>
      </c>
      <c r="C36" s="8" t="s">
        <v>41</v>
      </c>
      <c r="D36" s="8" t="s">
        <v>42</v>
      </c>
      <c r="E36" s="9" t="s">
        <v>43</v>
      </c>
    </row>
    <row r="37" customFormat="false" ht="15" hidden="false" customHeight="false" outlineLevel="0" collapsed="false">
      <c r="A37" s="8" t="s">
        <v>69</v>
      </c>
      <c r="B37" s="9" t="s">
        <v>70</v>
      </c>
      <c r="C37" s="8" t="s">
        <v>71</v>
      </c>
      <c r="D37" s="8" t="s">
        <v>72</v>
      </c>
      <c r="E37" s="9" t="s">
        <v>73</v>
      </c>
    </row>
    <row r="38" customFormat="false" ht="15" hidden="false" customHeight="false" outlineLevel="0" collapsed="false">
      <c r="A38" s="8" t="s">
        <v>74</v>
      </c>
      <c r="B38" s="9" t="s">
        <v>75</v>
      </c>
      <c r="C38" s="8" t="s">
        <v>76</v>
      </c>
      <c r="D38" s="8" t="s">
        <v>77</v>
      </c>
      <c r="E38" s="9" t="s">
        <v>78</v>
      </c>
    </row>
    <row r="39" customFormat="false" ht="22.35" hidden="false" customHeight="false" outlineLevel="0" collapsed="false">
      <c r="A39" s="8" t="s">
        <v>44</v>
      </c>
      <c r="B39" s="9" t="s">
        <v>79</v>
      </c>
      <c r="C39" s="8" t="s">
        <v>80</v>
      </c>
      <c r="D39" s="8" t="s">
        <v>47</v>
      </c>
      <c r="E39" s="9" t="s">
        <v>81</v>
      </c>
    </row>
    <row r="40" customFormat="false" ht="15" hidden="false" customHeight="false" outlineLevel="0" collapsed="false">
      <c r="A40" s="10" t="s">
        <v>49</v>
      </c>
      <c r="B40" s="11" t="n">
        <f aca="false">'M5 best'!C82</f>
        <v>1472</v>
      </c>
      <c r="E40" s="10" t="s">
        <v>50</v>
      </c>
      <c r="F40" s="12" t="n">
        <f aca="false">'M5 best'!C82/1485</f>
        <v>0.991245791245791</v>
      </c>
    </row>
    <row r="41" customFormat="false" ht="15" hidden="false" customHeight="false" outlineLevel="0" collapsed="false">
      <c r="A41" s="10" t="s">
        <v>51</v>
      </c>
      <c r="B41" s="13" t="n">
        <f aca="false">'M5 best'!P82</f>
        <v>0.320652173913043</v>
      </c>
      <c r="E41" s="10" t="s">
        <v>52</v>
      </c>
      <c r="F41" s="13" t="n">
        <f aca="false">'M5 best'!Q82</f>
        <v>0.320652173913043</v>
      </c>
    </row>
    <row r="42" customFormat="false" ht="15" hidden="false" customHeight="false" outlineLevel="0" collapsed="false">
      <c r="A42" s="10" t="s">
        <v>53</v>
      </c>
      <c r="B42" s="14" t="str">
        <f aca="false">TEXT('M5 best'!R82,"0%")&amp;" / "&amp;TEXT('M5 best'!S82,"0%")&amp;" / "&amp;TEXT('M5 best'!T82,"0%")&amp;" / "&amp;TEXT('M5 best'!U82,"0%")</f>
        <v>63% / 52% / 43% / 32%</v>
      </c>
      <c r="E42" s="10" t="s">
        <v>54</v>
      </c>
      <c r="F42" s="15" t="n">
        <f aca="false">'M5 best'!W82</f>
        <v>0.0872134510869565</v>
      </c>
    </row>
    <row r="43" customFormat="false" ht="15" hidden="false" customHeight="false" outlineLevel="0" collapsed="false">
      <c r="A43" s="10" t="s">
        <v>55</v>
      </c>
      <c r="B43" s="16" t="n">
        <f aca="false">'M5 best'!M82</f>
        <v>128.3782</v>
      </c>
      <c r="E43" s="10" t="s">
        <v>56</v>
      </c>
      <c r="F43" s="14" t="str">
        <f aca="false">'M5 best'!N82&amp;" / "&amp;'M5 best'!O82</f>
        <v>7 / 21</v>
      </c>
    </row>
    <row r="44" customFormat="false" ht="24" hidden="false" customHeight="true" outlineLevel="0" collapsed="false">
      <c r="A44" s="10" t="s">
        <v>57</v>
      </c>
      <c r="B44" s="9" t="s">
        <v>82</v>
      </c>
      <c r="C44" s="9"/>
      <c r="D44" s="9"/>
      <c r="E44" s="9"/>
      <c r="F44" s="9"/>
      <c r="G44" s="9"/>
      <c r="H44" s="9"/>
    </row>
    <row r="46" customFormat="false" ht="15" hidden="false" customHeight="false" outlineLevel="0" collapsed="false">
      <c r="A46" s="6" t="s">
        <v>59</v>
      </c>
      <c r="B46" s="6"/>
      <c r="C46" s="6"/>
      <c r="D46" s="6"/>
      <c r="E46" s="6"/>
      <c r="F46" s="6"/>
      <c r="G46" s="6"/>
      <c r="H46" s="6"/>
    </row>
    <row r="47" customFormat="false" ht="18" hidden="false" customHeight="true" outlineLevel="0" collapsed="false">
      <c r="A47" s="7" t="s">
        <v>25</v>
      </c>
      <c r="B47" s="7" t="s">
        <v>26</v>
      </c>
      <c r="C47" s="7" t="s">
        <v>27</v>
      </c>
      <c r="D47" s="7" t="s">
        <v>28</v>
      </c>
      <c r="E47" s="7" t="s">
        <v>29</v>
      </c>
    </row>
    <row r="48" customFormat="false" ht="15" hidden="false" customHeight="false" outlineLevel="0" collapsed="false">
      <c r="A48" s="8" t="s">
        <v>30</v>
      </c>
      <c r="B48" s="9" t="s">
        <v>31</v>
      </c>
      <c r="C48" s="8" t="s">
        <v>63</v>
      </c>
      <c r="D48" s="8" t="s">
        <v>33</v>
      </c>
      <c r="E48" s="9" t="s">
        <v>34</v>
      </c>
    </row>
    <row r="49" customFormat="false" ht="15" hidden="false" customHeight="false" outlineLevel="0" collapsed="false">
      <c r="A49" s="8" t="s">
        <v>39</v>
      </c>
      <c r="B49" s="9" t="s">
        <v>40</v>
      </c>
      <c r="C49" s="8" t="s">
        <v>41</v>
      </c>
      <c r="D49" s="8" t="s">
        <v>42</v>
      </c>
      <c r="E49" s="9" t="s">
        <v>43</v>
      </c>
    </row>
    <row r="50" customFormat="false" ht="15" hidden="false" customHeight="false" outlineLevel="0" collapsed="false">
      <c r="A50" s="8" t="s">
        <v>69</v>
      </c>
      <c r="B50" s="9" t="s">
        <v>70</v>
      </c>
      <c r="C50" s="8" t="s">
        <v>71</v>
      </c>
      <c r="D50" s="8" t="s">
        <v>72</v>
      </c>
      <c r="E50" s="9" t="s">
        <v>73</v>
      </c>
    </row>
    <row r="51" customFormat="false" ht="15" hidden="false" customHeight="false" outlineLevel="0" collapsed="false">
      <c r="A51" s="8" t="s">
        <v>64</v>
      </c>
      <c r="B51" s="9" t="s">
        <v>83</v>
      </c>
      <c r="C51" s="8" t="s">
        <v>84</v>
      </c>
      <c r="D51" s="8" t="s">
        <v>47</v>
      </c>
      <c r="E51" s="9" t="s">
        <v>85</v>
      </c>
    </row>
    <row r="52" customFormat="false" ht="15" hidden="false" customHeight="false" outlineLevel="0" collapsed="false">
      <c r="A52" s="8" t="s">
        <v>74</v>
      </c>
      <c r="B52" s="9" t="s">
        <v>75</v>
      </c>
      <c r="C52" s="8" t="s">
        <v>76</v>
      </c>
      <c r="D52" s="8" t="s">
        <v>77</v>
      </c>
      <c r="E52" s="9" t="s">
        <v>78</v>
      </c>
    </row>
    <row r="53" customFormat="false" ht="22.35" hidden="false" customHeight="false" outlineLevel="0" collapsed="false">
      <c r="A53" s="8" t="s">
        <v>44</v>
      </c>
      <c r="B53" s="9" t="s">
        <v>79</v>
      </c>
      <c r="C53" s="8" t="s">
        <v>80</v>
      </c>
      <c r="D53" s="8" t="s">
        <v>47</v>
      </c>
      <c r="E53" s="9" t="s">
        <v>81</v>
      </c>
    </row>
    <row r="54" customFormat="false" ht="15" hidden="false" customHeight="false" outlineLevel="0" collapsed="false">
      <c r="A54" s="10" t="s">
        <v>49</v>
      </c>
      <c r="B54" s="11" t="n">
        <f aca="false">'M5 low-streak'!C82</f>
        <v>1692</v>
      </c>
      <c r="E54" s="10" t="s">
        <v>50</v>
      </c>
      <c r="F54" s="12" t="n">
        <f aca="false">'M5 low-streak'!C82/1485</f>
        <v>1.13939393939394</v>
      </c>
    </row>
    <row r="55" customFormat="false" ht="15" hidden="false" customHeight="false" outlineLevel="0" collapsed="false">
      <c r="A55" s="10" t="s">
        <v>51</v>
      </c>
      <c r="B55" s="13" t="n">
        <f aca="false">'M5 low-streak'!P82</f>
        <v>0.173167848699764</v>
      </c>
      <c r="E55" s="10" t="s">
        <v>52</v>
      </c>
      <c r="F55" s="13" t="n">
        <f aca="false">'M5 low-streak'!Q82</f>
        <v>0.523640661938534</v>
      </c>
    </row>
    <row r="56" customFormat="false" ht="15" hidden="false" customHeight="false" outlineLevel="0" collapsed="false">
      <c r="A56" s="10" t="s">
        <v>53</v>
      </c>
      <c r="B56" s="14" t="str">
        <f aca="false">TEXT('M5 low-streak'!R82,"0%")&amp;" / "&amp;TEXT('M5 low-streak'!S82,"0%")&amp;" / "&amp;TEXT('M5 low-streak'!T82,"0%")&amp;" / "&amp;TEXT('M5 low-streak'!U82,"0%")</f>
        <v>63% / 52% / 26% / 17%</v>
      </c>
      <c r="E56" s="10" t="s">
        <v>54</v>
      </c>
      <c r="F56" s="15" t="n">
        <f aca="false">'M5 low-streak'!W82</f>
        <v>0.044968853427896</v>
      </c>
    </row>
    <row r="57" customFormat="false" ht="15" hidden="false" customHeight="false" outlineLevel="0" collapsed="false">
      <c r="A57" s="10" t="s">
        <v>55</v>
      </c>
      <c r="B57" s="16" t="n">
        <f aca="false">'M5 low-streak'!M82</f>
        <v>76.0873</v>
      </c>
      <c r="E57" s="10" t="s">
        <v>56</v>
      </c>
      <c r="F57" s="14" t="str">
        <f aca="false">'M5 low-streak'!N82&amp;" / "&amp;'M5 low-streak'!O82</f>
        <v>11 / 9</v>
      </c>
    </row>
    <row r="58" customFormat="false" ht="24" hidden="false" customHeight="true" outlineLevel="0" collapsed="false">
      <c r="A58" s="10" t="s">
        <v>57</v>
      </c>
      <c r="B58" s="9" t="s">
        <v>86</v>
      </c>
      <c r="C58" s="9"/>
      <c r="D58" s="9"/>
      <c r="E58" s="9"/>
      <c r="F58" s="9"/>
      <c r="G58" s="9"/>
      <c r="H58" s="9"/>
    </row>
    <row r="61" customFormat="false" ht="15" hidden="false" customHeight="false" outlineLevel="0" collapsed="false">
      <c r="A61" s="5" t="s">
        <v>87</v>
      </c>
      <c r="B61" s="5"/>
      <c r="C61" s="5"/>
      <c r="D61" s="5"/>
      <c r="E61" s="5"/>
      <c r="F61" s="5"/>
      <c r="G61" s="5"/>
      <c r="H61" s="5"/>
    </row>
    <row r="62" customFormat="false" ht="15" hidden="false" customHeight="false" outlineLevel="0" collapsed="false">
      <c r="A62" s="6" t="s">
        <v>24</v>
      </c>
      <c r="B62" s="6"/>
      <c r="C62" s="6"/>
      <c r="D62" s="6"/>
      <c r="E62" s="6"/>
      <c r="F62" s="6"/>
      <c r="G62" s="6"/>
      <c r="H62" s="6"/>
    </row>
    <row r="63" customFormat="false" ht="18" hidden="false" customHeight="true" outlineLevel="0" collapsed="false">
      <c r="A63" s="7" t="s">
        <v>25</v>
      </c>
      <c r="B63" s="7" t="s">
        <v>26</v>
      </c>
      <c r="C63" s="7" t="s">
        <v>27</v>
      </c>
      <c r="D63" s="7" t="s">
        <v>28</v>
      </c>
      <c r="E63" s="7" t="s">
        <v>29</v>
      </c>
    </row>
    <row r="64" customFormat="false" ht="15" hidden="false" customHeight="false" outlineLevel="0" collapsed="false">
      <c r="A64" s="8" t="s">
        <v>30</v>
      </c>
      <c r="B64" s="9" t="s">
        <v>31</v>
      </c>
      <c r="C64" s="8" t="s">
        <v>32</v>
      </c>
      <c r="D64" s="8" t="s">
        <v>33</v>
      </c>
      <c r="E64" s="9" t="s">
        <v>34</v>
      </c>
    </row>
    <row r="65" customFormat="false" ht="15" hidden="false" customHeight="false" outlineLevel="0" collapsed="false">
      <c r="A65" s="8" t="s">
        <v>30</v>
      </c>
      <c r="B65" s="9" t="s">
        <v>88</v>
      </c>
      <c r="C65" s="8" t="s">
        <v>89</v>
      </c>
      <c r="D65" s="8" t="s">
        <v>90</v>
      </c>
      <c r="E65" s="9" t="s">
        <v>91</v>
      </c>
    </row>
    <row r="66" customFormat="false" ht="15" hidden="false" customHeight="false" outlineLevel="0" collapsed="false">
      <c r="A66" s="8" t="s">
        <v>64</v>
      </c>
      <c r="B66" s="9" t="s">
        <v>92</v>
      </c>
      <c r="C66" s="8" t="s">
        <v>93</v>
      </c>
      <c r="D66" s="8" t="s">
        <v>47</v>
      </c>
      <c r="E66" s="9" t="s">
        <v>94</v>
      </c>
    </row>
    <row r="67" customFormat="false" ht="15" hidden="false" customHeight="false" outlineLevel="0" collapsed="false">
      <c r="A67" s="10" t="s">
        <v>49</v>
      </c>
      <c r="B67" s="11" t="n">
        <f aca="false">'M15 best'!C82</f>
        <v>1388</v>
      </c>
      <c r="E67" s="10" t="s">
        <v>50</v>
      </c>
      <c r="F67" s="12" t="n">
        <f aca="false">'M15 best'!C82/1485</f>
        <v>0.934680134680135</v>
      </c>
    </row>
    <row r="68" customFormat="false" ht="15" hidden="false" customHeight="false" outlineLevel="0" collapsed="false">
      <c r="A68" s="10" t="s">
        <v>51</v>
      </c>
      <c r="B68" s="13" t="n">
        <f aca="false">'M15 best'!P82</f>
        <v>0.251440922190202</v>
      </c>
      <c r="E68" s="10" t="s">
        <v>52</v>
      </c>
      <c r="F68" s="13" t="n">
        <f aca="false">'M15 best'!Q82</f>
        <v>0.453890489913545</v>
      </c>
    </row>
    <row r="69" customFormat="false" ht="15" hidden="false" customHeight="false" outlineLevel="0" collapsed="false">
      <c r="A69" s="10" t="s">
        <v>53</v>
      </c>
      <c r="B69" s="14" t="str">
        <f aca="false">TEXT('M15 best'!R82,"0%")&amp;" / "&amp;TEXT('M15 best'!S82,"0%")&amp;" / "&amp;TEXT('M15 best'!T82,"0%")&amp;" / "&amp;TEXT('M15 best'!U82,"0%")</f>
        <v>66% / 55% / 45% / 25%</v>
      </c>
      <c r="E69" s="10" t="s">
        <v>54</v>
      </c>
      <c r="F69" s="15" t="n">
        <f aca="false">'M15 best'!W82</f>
        <v>0.133820893371758</v>
      </c>
    </row>
    <row r="70" customFormat="false" ht="15" hidden="false" customHeight="false" outlineLevel="0" collapsed="false">
      <c r="A70" s="10" t="s">
        <v>55</v>
      </c>
      <c r="B70" s="16" t="n">
        <f aca="false">'M15 best'!M82</f>
        <v>185.7434</v>
      </c>
      <c r="E70" s="10" t="s">
        <v>56</v>
      </c>
      <c r="F70" s="14" t="str">
        <f aca="false">'M15 best'!N82&amp;" / "&amp;'M15 best'!O82</f>
        <v>8 / 17</v>
      </c>
    </row>
    <row r="71" customFormat="false" ht="24" hidden="false" customHeight="true" outlineLevel="0" collapsed="false">
      <c r="A71" s="10" t="s">
        <v>57</v>
      </c>
      <c r="B71" s="9" t="s">
        <v>95</v>
      </c>
      <c r="C71" s="9"/>
      <c r="D71" s="9"/>
      <c r="E71" s="9"/>
      <c r="F71" s="9"/>
      <c r="G71" s="9"/>
      <c r="H71" s="9"/>
    </row>
    <row r="73" customFormat="false" ht="15" hidden="false" customHeight="false" outlineLevel="0" collapsed="false">
      <c r="A73" s="6" t="s">
        <v>59</v>
      </c>
      <c r="B73" s="6"/>
      <c r="C73" s="6"/>
      <c r="D73" s="6"/>
      <c r="E73" s="6"/>
      <c r="F73" s="6"/>
      <c r="G73" s="6"/>
      <c r="H73" s="6"/>
    </row>
    <row r="74" customFormat="false" ht="18" hidden="false" customHeight="true" outlineLevel="0" collapsed="false">
      <c r="A74" s="7" t="s">
        <v>25</v>
      </c>
      <c r="B74" s="7" t="s">
        <v>26</v>
      </c>
      <c r="C74" s="7" t="s">
        <v>27</v>
      </c>
      <c r="D74" s="7" t="s">
        <v>28</v>
      </c>
      <c r="E74" s="7" t="s">
        <v>29</v>
      </c>
    </row>
    <row r="75" customFormat="false" ht="15" hidden="false" customHeight="false" outlineLevel="0" collapsed="false">
      <c r="A75" s="8" t="s">
        <v>30</v>
      </c>
      <c r="B75" s="9" t="s">
        <v>96</v>
      </c>
      <c r="C75" s="8" t="s">
        <v>60</v>
      </c>
      <c r="D75" s="8" t="s">
        <v>97</v>
      </c>
      <c r="E75" s="9" t="s">
        <v>98</v>
      </c>
    </row>
    <row r="76" customFormat="false" ht="15" hidden="false" customHeight="false" outlineLevel="0" collapsed="false">
      <c r="A76" s="8" t="s">
        <v>30</v>
      </c>
      <c r="B76" s="9" t="s">
        <v>31</v>
      </c>
      <c r="C76" s="8" t="s">
        <v>32</v>
      </c>
      <c r="D76" s="8" t="s">
        <v>33</v>
      </c>
      <c r="E76" s="9" t="s">
        <v>34</v>
      </c>
    </row>
    <row r="77" customFormat="false" ht="15" hidden="false" customHeight="false" outlineLevel="0" collapsed="false">
      <c r="A77" s="8" t="s">
        <v>30</v>
      </c>
      <c r="B77" s="9" t="s">
        <v>88</v>
      </c>
      <c r="C77" s="8" t="s">
        <v>89</v>
      </c>
      <c r="D77" s="8" t="s">
        <v>90</v>
      </c>
      <c r="E77" s="9" t="s">
        <v>91</v>
      </c>
    </row>
    <row r="78" customFormat="false" ht="15" hidden="false" customHeight="false" outlineLevel="0" collapsed="false">
      <c r="A78" s="8" t="s">
        <v>64</v>
      </c>
      <c r="B78" s="9" t="s">
        <v>92</v>
      </c>
      <c r="C78" s="8" t="s">
        <v>93</v>
      </c>
      <c r="D78" s="8" t="s">
        <v>47</v>
      </c>
      <c r="E78" s="9" t="s">
        <v>94</v>
      </c>
    </row>
    <row r="79" customFormat="false" ht="22.35" hidden="false" customHeight="false" outlineLevel="0" collapsed="false">
      <c r="A79" s="8" t="s">
        <v>74</v>
      </c>
      <c r="B79" s="9" t="s">
        <v>99</v>
      </c>
      <c r="C79" s="8" t="s">
        <v>100</v>
      </c>
      <c r="D79" s="8" t="s">
        <v>101</v>
      </c>
      <c r="E79" s="9" t="s">
        <v>102</v>
      </c>
    </row>
    <row r="80" customFormat="false" ht="15" hidden="false" customHeight="false" outlineLevel="0" collapsed="false">
      <c r="A80" s="8" t="s">
        <v>103</v>
      </c>
      <c r="B80" s="9" t="s">
        <v>104</v>
      </c>
      <c r="C80" s="8" t="s">
        <v>105</v>
      </c>
      <c r="D80" s="8" t="s">
        <v>106</v>
      </c>
      <c r="E80" s="9" t="s">
        <v>107</v>
      </c>
    </row>
    <row r="81" customFormat="false" ht="15" hidden="false" customHeight="false" outlineLevel="0" collapsed="false">
      <c r="A81" s="10" t="s">
        <v>49</v>
      </c>
      <c r="B81" s="11" t="n">
        <f aca="false">'M15 low-streak'!C82</f>
        <v>1137</v>
      </c>
      <c r="E81" s="10" t="s">
        <v>50</v>
      </c>
      <c r="F81" s="12" t="n">
        <f aca="false">'M15 low-streak'!C82/1485</f>
        <v>0.765656565656566</v>
      </c>
    </row>
    <row r="82" customFormat="false" ht="15" hidden="false" customHeight="false" outlineLevel="0" collapsed="false">
      <c r="A82" s="10" t="s">
        <v>51</v>
      </c>
      <c r="B82" s="13" t="n">
        <f aca="false">'M15 low-streak'!P82</f>
        <v>0.264731750219877</v>
      </c>
      <c r="E82" s="10" t="s">
        <v>52</v>
      </c>
      <c r="F82" s="13" t="n">
        <f aca="false">'M15 low-streak'!Q82</f>
        <v>0.661389621811785</v>
      </c>
    </row>
    <row r="83" customFormat="false" ht="15" hidden="false" customHeight="false" outlineLevel="0" collapsed="false">
      <c r="A83" s="10" t="s">
        <v>53</v>
      </c>
      <c r="B83" s="14" t="str">
        <f aca="false">TEXT('M15 low-streak'!R82,"0%")&amp;" / "&amp;TEXT('M15 low-streak'!S82,"0%")&amp;" / "&amp;TEXT('M15 low-streak'!T82,"0%")&amp;" / "&amp;TEXT('M15 low-streak'!U82,"0%")</f>
        <v>66% / 55% / 45% / 26%</v>
      </c>
      <c r="E83" s="10" t="s">
        <v>54</v>
      </c>
      <c r="F83" s="15" t="n">
        <f aca="false">'M15 low-streak'!W82</f>
        <v>0.0664459102902375</v>
      </c>
    </row>
    <row r="84" customFormat="false" ht="15" hidden="false" customHeight="false" outlineLevel="0" collapsed="false">
      <c r="A84" s="10" t="s">
        <v>55</v>
      </c>
      <c r="B84" s="16" t="n">
        <f aca="false">'M15 low-streak'!M82</f>
        <v>75.549</v>
      </c>
      <c r="E84" s="10" t="s">
        <v>56</v>
      </c>
      <c r="F84" s="14" t="str">
        <f aca="false">'M15 low-streak'!N82&amp;" / "&amp;'M15 low-streak'!O82</f>
        <v>18 / 5</v>
      </c>
    </row>
    <row r="85" customFormat="false" ht="24" hidden="false" customHeight="true" outlineLevel="0" collapsed="false">
      <c r="A85" s="10" t="s">
        <v>57</v>
      </c>
      <c r="B85" s="9" t="s">
        <v>108</v>
      </c>
      <c r="C85" s="9"/>
      <c r="D85" s="9"/>
      <c r="E85" s="9"/>
      <c r="F85" s="9"/>
      <c r="G85" s="9"/>
      <c r="H85" s="9"/>
    </row>
    <row r="88" customFormat="false" ht="15" hidden="false" customHeight="false" outlineLevel="0" collapsed="false">
      <c r="A88" s="5" t="s">
        <v>109</v>
      </c>
      <c r="B88" s="5"/>
      <c r="C88" s="5"/>
      <c r="D88" s="5"/>
      <c r="E88" s="5"/>
      <c r="F88" s="5"/>
      <c r="G88" s="5"/>
      <c r="H88" s="5"/>
    </row>
    <row r="89" customFormat="false" ht="15" hidden="false" customHeight="false" outlineLevel="0" collapsed="false">
      <c r="A89" s="6" t="s">
        <v>24</v>
      </c>
      <c r="B89" s="6"/>
      <c r="C89" s="6"/>
      <c r="D89" s="6"/>
      <c r="E89" s="6"/>
      <c r="F89" s="6"/>
      <c r="G89" s="6"/>
      <c r="H89" s="6"/>
    </row>
    <row r="90" customFormat="false" ht="18" hidden="false" customHeight="true" outlineLevel="0" collapsed="false">
      <c r="A90" s="7" t="s">
        <v>25</v>
      </c>
      <c r="B90" s="7" t="s">
        <v>26</v>
      </c>
      <c r="C90" s="7" t="s">
        <v>27</v>
      </c>
      <c r="D90" s="7" t="s">
        <v>28</v>
      </c>
      <c r="E90" s="7" t="s">
        <v>29</v>
      </c>
    </row>
    <row r="91" customFormat="false" ht="15" hidden="false" customHeight="false" outlineLevel="0" collapsed="false">
      <c r="A91" s="8" t="s">
        <v>30</v>
      </c>
      <c r="B91" s="9" t="s">
        <v>110</v>
      </c>
      <c r="C91" s="8" t="s">
        <v>111</v>
      </c>
      <c r="D91" s="8" t="s">
        <v>112</v>
      </c>
      <c r="E91" s="9" t="s">
        <v>113</v>
      </c>
    </row>
    <row r="92" customFormat="false" ht="15" hidden="false" customHeight="false" outlineLevel="0" collapsed="false">
      <c r="A92" s="8" t="s">
        <v>30</v>
      </c>
      <c r="B92" s="9" t="s">
        <v>114</v>
      </c>
      <c r="C92" s="8" t="s">
        <v>115</v>
      </c>
      <c r="D92" s="8" t="s">
        <v>116</v>
      </c>
      <c r="E92" s="9" t="s">
        <v>117</v>
      </c>
    </row>
    <row r="93" customFormat="false" ht="15" hidden="false" customHeight="false" outlineLevel="0" collapsed="false">
      <c r="A93" s="8" t="s">
        <v>30</v>
      </c>
      <c r="B93" s="9" t="s">
        <v>31</v>
      </c>
      <c r="C93" s="8" t="s">
        <v>63</v>
      </c>
      <c r="D93" s="8" t="s">
        <v>33</v>
      </c>
      <c r="E93" s="9" t="s">
        <v>34</v>
      </c>
    </row>
    <row r="94" customFormat="false" ht="15" hidden="false" customHeight="false" outlineLevel="0" collapsed="false">
      <c r="A94" s="8" t="s">
        <v>30</v>
      </c>
      <c r="B94" s="9" t="s">
        <v>35</v>
      </c>
      <c r="C94" s="8" t="s">
        <v>118</v>
      </c>
      <c r="D94" s="8" t="s">
        <v>37</v>
      </c>
      <c r="E94" s="9" t="s">
        <v>38</v>
      </c>
    </row>
    <row r="95" customFormat="false" ht="22.35" hidden="false" customHeight="false" outlineLevel="0" collapsed="false">
      <c r="A95" s="8" t="s">
        <v>74</v>
      </c>
      <c r="B95" s="9" t="s">
        <v>119</v>
      </c>
      <c r="C95" s="8" t="s">
        <v>120</v>
      </c>
      <c r="D95" s="8" t="s">
        <v>121</v>
      </c>
      <c r="E95" s="9" t="s">
        <v>122</v>
      </c>
    </row>
    <row r="96" customFormat="false" ht="15" hidden="false" customHeight="false" outlineLevel="0" collapsed="false">
      <c r="A96" s="10" t="s">
        <v>49</v>
      </c>
      <c r="B96" s="11" t="n">
        <f aca="false">'H1 best'!C82</f>
        <v>186</v>
      </c>
      <c r="E96" s="10" t="s">
        <v>50</v>
      </c>
      <c r="F96" s="12" t="n">
        <f aca="false">'H1 best'!C82/1485</f>
        <v>0.125252525252525</v>
      </c>
    </row>
    <row r="97" customFormat="false" ht="15" hidden="false" customHeight="false" outlineLevel="0" collapsed="false">
      <c r="A97" s="10" t="s">
        <v>51</v>
      </c>
      <c r="B97" s="13" t="n">
        <f aca="false">'H1 best'!P82</f>
        <v>0.451612903225806</v>
      </c>
      <c r="E97" s="10" t="s">
        <v>52</v>
      </c>
      <c r="F97" s="13" t="n">
        <f aca="false">'H1 best'!Q82</f>
        <v>0.451612903225806</v>
      </c>
    </row>
    <row r="98" customFormat="false" ht="15" hidden="false" customHeight="false" outlineLevel="0" collapsed="false">
      <c r="A98" s="10" t="s">
        <v>53</v>
      </c>
      <c r="B98" s="14" t="str">
        <f aca="false">TEXT('H1 best'!R82,"0%")&amp;" / "&amp;TEXT('H1 best'!S82,"0%")&amp;" / "&amp;TEXT('H1 best'!T82,"0%")&amp;" / "&amp;TEXT('H1 best'!U82,"0%")</f>
        <v>66% / 56% / 53% / 45%</v>
      </c>
      <c r="E98" s="10" t="s">
        <v>54</v>
      </c>
      <c r="F98" s="15" t="n">
        <f aca="false">'H1 best'!W82</f>
        <v>0.337129569892473</v>
      </c>
    </row>
    <row r="99" customFormat="false" ht="15" hidden="false" customHeight="false" outlineLevel="0" collapsed="false">
      <c r="A99" s="10" t="s">
        <v>55</v>
      </c>
      <c r="B99" s="16" t="n">
        <f aca="false">'H1 best'!M82</f>
        <v>62.7061</v>
      </c>
      <c r="E99" s="10" t="s">
        <v>56</v>
      </c>
      <c r="F99" s="14" t="str">
        <f aca="false">'H1 best'!N82&amp;" / "&amp;'H1 best'!O82</f>
        <v>8 / 8</v>
      </c>
    </row>
    <row r="100" customFormat="false" ht="24" hidden="false" customHeight="true" outlineLevel="0" collapsed="false">
      <c r="A100" s="10" t="s">
        <v>57</v>
      </c>
      <c r="B100" s="9" t="s">
        <v>123</v>
      </c>
      <c r="C100" s="9"/>
      <c r="D100" s="9"/>
      <c r="E100" s="9"/>
      <c r="F100" s="9"/>
      <c r="G100" s="9"/>
      <c r="H100" s="9"/>
    </row>
    <row r="102" customFormat="false" ht="15" hidden="false" customHeight="false" outlineLevel="0" collapsed="false">
      <c r="A102" s="6" t="s">
        <v>59</v>
      </c>
      <c r="B102" s="6"/>
      <c r="C102" s="6"/>
      <c r="D102" s="6"/>
      <c r="E102" s="6"/>
      <c r="F102" s="6"/>
      <c r="G102" s="6"/>
      <c r="H102" s="6"/>
    </row>
    <row r="103" customFormat="false" ht="18" hidden="false" customHeight="true" outlineLevel="0" collapsed="false">
      <c r="A103" s="7" t="s">
        <v>25</v>
      </c>
      <c r="B103" s="7" t="s">
        <v>26</v>
      </c>
      <c r="C103" s="7" t="s">
        <v>27</v>
      </c>
      <c r="D103" s="7" t="s">
        <v>28</v>
      </c>
      <c r="E103" s="7" t="s">
        <v>29</v>
      </c>
    </row>
    <row r="104" customFormat="false" ht="15" hidden="false" customHeight="false" outlineLevel="0" collapsed="false">
      <c r="A104" s="8" t="s">
        <v>30</v>
      </c>
      <c r="B104" s="9" t="s">
        <v>124</v>
      </c>
      <c r="C104" s="8" t="s">
        <v>97</v>
      </c>
      <c r="D104" s="8" t="s">
        <v>116</v>
      </c>
      <c r="E104" s="9" t="s">
        <v>125</v>
      </c>
    </row>
    <row r="105" customFormat="false" ht="15" hidden="false" customHeight="false" outlineLevel="0" collapsed="false">
      <c r="A105" s="8" t="s">
        <v>30</v>
      </c>
      <c r="B105" s="9" t="s">
        <v>31</v>
      </c>
      <c r="C105" s="8" t="s">
        <v>126</v>
      </c>
      <c r="D105" s="8" t="s">
        <v>33</v>
      </c>
      <c r="E105" s="9" t="s">
        <v>34</v>
      </c>
    </row>
    <row r="106" customFormat="false" ht="15" hidden="false" customHeight="false" outlineLevel="0" collapsed="false">
      <c r="A106" s="8" t="s">
        <v>30</v>
      </c>
      <c r="B106" s="9" t="s">
        <v>127</v>
      </c>
      <c r="C106" s="8" t="s">
        <v>37</v>
      </c>
      <c r="D106" s="8" t="s">
        <v>115</v>
      </c>
      <c r="E106" s="9" t="s">
        <v>128</v>
      </c>
    </row>
    <row r="107" customFormat="false" ht="15" hidden="false" customHeight="false" outlineLevel="0" collapsed="false">
      <c r="A107" s="8" t="s">
        <v>39</v>
      </c>
      <c r="B107" s="9" t="s">
        <v>40</v>
      </c>
      <c r="C107" s="8" t="s">
        <v>41</v>
      </c>
      <c r="D107" s="8" t="s">
        <v>42</v>
      </c>
      <c r="E107" s="9" t="s">
        <v>43</v>
      </c>
    </row>
    <row r="108" customFormat="false" ht="22.35" hidden="false" customHeight="false" outlineLevel="0" collapsed="false">
      <c r="A108" s="8" t="s">
        <v>74</v>
      </c>
      <c r="B108" s="9" t="s">
        <v>119</v>
      </c>
      <c r="C108" s="8" t="s">
        <v>129</v>
      </c>
      <c r="D108" s="8" t="s">
        <v>121</v>
      </c>
      <c r="E108" s="9" t="s">
        <v>130</v>
      </c>
    </row>
    <row r="109" customFormat="false" ht="15" hidden="false" customHeight="false" outlineLevel="0" collapsed="false">
      <c r="A109" s="8" t="s">
        <v>103</v>
      </c>
      <c r="B109" s="9" t="s">
        <v>104</v>
      </c>
      <c r="C109" s="8" t="s">
        <v>105</v>
      </c>
      <c r="D109" s="8" t="s">
        <v>106</v>
      </c>
      <c r="E109" s="9" t="s">
        <v>107</v>
      </c>
    </row>
    <row r="110" customFormat="false" ht="15" hidden="false" customHeight="false" outlineLevel="0" collapsed="false">
      <c r="A110" s="10" t="s">
        <v>49</v>
      </c>
      <c r="B110" s="11" t="n">
        <f aca="false">'H1 low-streak'!C82</f>
        <v>195</v>
      </c>
      <c r="E110" s="10" t="s">
        <v>50</v>
      </c>
      <c r="F110" s="12" t="n">
        <f aca="false">'H1 low-streak'!C82/1485</f>
        <v>0.131313131313131</v>
      </c>
    </row>
    <row r="111" customFormat="false" ht="15" hidden="false" customHeight="false" outlineLevel="0" collapsed="false">
      <c r="A111" s="10" t="s">
        <v>51</v>
      </c>
      <c r="B111" s="13" t="n">
        <f aca="false">'H1 low-streak'!P82</f>
        <v>0.441025641025641</v>
      </c>
      <c r="E111" s="10" t="s">
        <v>52</v>
      </c>
      <c r="F111" s="13" t="n">
        <f aca="false">'H1 low-streak'!Q82</f>
        <v>0.712820512820513</v>
      </c>
    </row>
    <row r="112" customFormat="false" ht="15" hidden="false" customHeight="false" outlineLevel="0" collapsed="false">
      <c r="A112" s="10" t="s">
        <v>53</v>
      </c>
      <c r="B112" s="14" t="str">
        <f aca="false">TEXT('H1 low-streak'!R82,"0%")&amp;" / "&amp;TEXT('H1 low-streak'!S82,"0%")&amp;" / "&amp;TEXT('H1 low-streak'!T82,"0%")&amp;" / "&amp;TEXT('H1 low-streak'!U82,"0%")</f>
        <v>71% / 57% / 48% / 44%</v>
      </c>
      <c r="E112" s="10" t="s">
        <v>54</v>
      </c>
      <c r="F112" s="15" t="n">
        <f aca="false">'H1 low-streak'!W82</f>
        <v>0.176489230769231</v>
      </c>
    </row>
    <row r="113" customFormat="false" ht="15" hidden="false" customHeight="false" outlineLevel="0" collapsed="false">
      <c r="A113" s="10" t="s">
        <v>55</v>
      </c>
      <c r="B113" s="16" t="n">
        <f aca="false">'H1 low-streak'!M82</f>
        <v>34.4154</v>
      </c>
      <c r="E113" s="10" t="s">
        <v>56</v>
      </c>
      <c r="F113" s="14" t="str">
        <f aca="false">'H1 low-streak'!N82&amp;" / "&amp;'H1 low-streak'!O82</f>
        <v>12 / 3</v>
      </c>
    </row>
    <row r="114" customFormat="false" ht="24" hidden="false" customHeight="true" outlineLevel="0" collapsed="false">
      <c r="A114" s="10" t="s">
        <v>57</v>
      </c>
      <c r="B114" s="9" t="s">
        <v>131</v>
      </c>
      <c r="C114" s="9"/>
      <c r="D114" s="9"/>
      <c r="E114" s="9"/>
      <c r="F114" s="9"/>
      <c r="G114" s="9"/>
      <c r="H114" s="9"/>
    </row>
  </sheetData>
  <mergeCells count="22">
    <mergeCell ref="A2:H2"/>
    <mergeCell ref="A3:H3"/>
    <mergeCell ref="A5:H5"/>
    <mergeCell ref="A6:H6"/>
    <mergeCell ref="B16:H16"/>
    <mergeCell ref="A18:H18"/>
    <mergeCell ref="B28:H28"/>
    <mergeCell ref="A31:H31"/>
    <mergeCell ref="A32:H32"/>
    <mergeCell ref="B44:H44"/>
    <mergeCell ref="A46:H46"/>
    <mergeCell ref="B58:H58"/>
    <mergeCell ref="A61:H61"/>
    <mergeCell ref="A62:H62"/>
    <mergeCell ref="B71:H71"/>
    <mergeCell ref="A73:H73"/>
    <mergeCell ref="B85:H85"/>
    <mergeCell ref="A88:H88"/>
    <mergeCell ref="A89:H89"/>
    <mergeCell ref="B100:H100"/>
    <mergeCell ref="A102:H102"/>
    <mergeCell ref="B114:H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1" min="8" style="0" width="7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</cols>
  <sheetData>
    <row r="1" customFormat="false" ht="15" hidden="false" customHeight="false" outlineLevel="0" collapsed="false">
      <c r="A1" s="3" t="s">
        <v>132</v>
      </c>
    </row>
    <row r="2" customFormat="false" ht="15" hidden="false" customHeight="false" outlineLevel="0" collapsed="false">
      <c r="A2" s="17" t="s">
        <v>133</v>
      </c>
    </row>
    <row r="3" customFormat="false" ht="15" hidden="false" customHeight="false" outlineLevel="0" collapsed="false">
      <c r="A3" s="18" t="s">
        <v>134</v>
      </c>
    </row>
    <row r="4" customFormat="false" ht="42" hidden="false" customHeight="true" outlineLevel="0" collapsed="false">
      <c r="A4" s="7" t="s">
        <v>135</v>
      </c>
      <c r="B4" s="7" t="s">
        <v>136</v>
      </c>
      <c r="C4" s="7" t="s">
        <v>137</v>
      </c>
      <c r="D4" s="7" t="s">
        <v>138</v>
      </c>
      <c r="E4" s="7" t="s">
        <v>50</v>
      </c>
      <c r="F4" s="7" t="s">
        <v>139</v>
      </c>
      <c r="G4" s="7" t="s">
        <v>140</v>
      </c>
      <c r="H4" s="7" t="s">
        <v>141</v>
      </c>
      <c r="I4" s="7" t="s">
        <v>142</v>
      </c>
      <c r="J4" s="7" t="s">
        <v>143</v>
      </c>
      <c r="K4" s="7" t="s">
        <v>144</v>
      </c>
      <c r="L4" s="7" t="s">
        <v>55</v>
      </c>
      <c r="M4" s="7" t="s">
        <v>145</v>
      </c>
      <c r="N4" s="7" t="s">
        <v>54</v>
      </c>
      <c r="O4" s="7" t="s">
        <v>146</v>
      </c>
      <c r="P4" s="7" t="s">
        <v>147</v>
      </c>
    </row>
    <row r="5" customFormat="false" ht="15" hidden="false" customHeight="false" outlineLevel="0" collapsed="false">
      <c r="A5" s="8" t="s">
        <v>23</v>
      </c>
      <c r="B5" s="8" t="s">
        <v>148</v>
      </c>
      <c r="C5" s="8" t="s">
        <v>149</v>
      </c>
      <c r="D5" s="14" t="n">
        <f aca="false">'M1 default'!C18</f>
        <v>1290</v>
      </c>
      <c r="E5" s="19" t="n">
        <f aca="false">D5/258</f>
        <v>5</v>
      </c>
      <c r="F5" s="13" t="n">
        <f aca="false">'M1 default'!P18</f>
        <v>0.284496124031008</v>
      </c>
      <c r="G5" s="13" t="n">
        <f aca="false">'M1 default'!Q18</f>
        <v>0.284496124031008</v>
      </c>
      <c r="H5" s="13" t="n">
        <f aca="false">'M1 default'!R18</f>
        <v>0.547286821705426</v>
      </c>
      <c r="I5" s="13" t="n">
        <f aca="false">'M1 default'!S18</f>
        <v>0.43953488372093</v>
      </c>
      <c r="J5" s="13" t="n">
        <f aca="false">'M1 default'!T18</f>
        <v>0.352713178294574</v>
      </c>
      <c r="K5" s="13" t="n">
        <f aca="false">'M1 default'!U18</f>
        <v>0.284496124031008</v>
      </c>
      <c r="L5" s="16" t="n">
        <f aca="false">'M1 default'!M18</f>
        <v>-964.0218</v>
      </c>
      <c r="M5" s="15" t="n">
        <f aca="false">'M1 default'!V18</f>
        <v>-0.146511627906977</v>
      </c>
      <c r="N5" s="15" t="n">
        <f aca="false">'M1 default'!W18</f>
        <v>-0.747303720930233</v>
      </c>
      <c r="O5" s="14" t="n">
        <f aca="false">'M1 default'!N18</f>
        <v>5</v>
      </c>
      <c r="P5" s="14" t="n">
        <f aca="false">'M1 default'!O18</f>
        <v>22</v>
      </c>
    </row>
    <row r="6" customFormat="false" ht="15" hidden="false" customHeight="false" outlineLevel="0" collapsed="false">
      <c r="A6" s="8" t="s">
        <v>23</v>
      </c>
      <c r="B6" s="8" t="s">
        <v>148</v>
      </c>
      <c r="C6" s="8" t="s">
        <v>150</v>
      </c>
      <c r="D6" s="14" t="n">
        <f aca="false">'M1 default'!C31</f>
        <v>1290</v>
      </c>
      <c r="E6" s="19" t="n">
        <f aca="false">D6/258</f>
        <v>5</v>
      </c>
      <c r="F6" s="13" t="n">
        <f aca="false">'M1 default'!P31</f>
        <v>0.312403100775194</v>
      </c>
      <c r="G6" s="13" t="n">
        <f aca="false">'M1 default'!Q31</f>
        <v>0.312403100775194</v>
      </c>
      <c r="H6" s="13" t="n">
        <f aca="false">'M1 default'!R31</f>
        <v>0.572093023255814</v>
      </c>
      <c r="I6" s="13" t="n">
        <f aca="false">'M1 default'!S31</f>
        <v>0.451162790697674</v>
      </c>
      <c r="J6" s="13" t="n">
        <f aca="false">'M1 default'!T31</f>
        <v>0.365116279069767</v>
      </c>
      <c r="K6" s="13" t="n">
        <f aca="false">'M1 default'!U31</f>
        <v>0.312403100775194</v>
      </c>
      <c r="L6" s="16" t="n">
        <f aca="false">'M1 default'!M31</f>
        <v>-843.493</v>
      </c>
      <c r="M6" s="15" t="n">
        <f aca="false">'M1 default'!V31</f>
        <v>-0.0627906976744186</v>
      </c>
      <c r="N6" s="15" t="n">
        <f aca="false">'M1 default'!W31</f>
        <v>-0.653870542635659</v>
      </c>
      <c r="O6" s="14" t="n">
        <f aca="false">'M1 default'!N31</f>
        <v>6</v>
      </c>
      <c r="P6" s="14" t="n">
        <f aca="false">'M1 default'!O31</f>
        <v>16</v>
      </c>
    </row>
    <row r="7" customFormat="false" ht="15" hidden="false" customHeight="false" outlineLevel="0" collapsed="false">
      <c r="A7" s="8" t="s">
        <v>23</v>
      </c>
      <c r="B7" s="8" t="s">
        <v>148</v>
      </c>
      <c r="C7" s="8" t="s">
        <v>151</v>
      </c>
      <c r="D7" s="14" t="n">
        <f aca="false">'M1 default'!C44</f>
        <v>1285</v>
      </c>
      <c r="E7" s="19" t="n">
        <f aca="false">D7/257</f>
        <v>5</v>
      </c>
      <c r="F7" s="13" t="n">
        <f aca="false">'M1 default'!P44</f>
        <v>0.322178988326848</v>
      </c>
      <c r="G7" s="13" t="n">
        <f aca="false">'M1 default'!Q44</f>
        <v>0.322178988326848</v>
      </c>
      <c r="H7" s="13" t="n">
        <f aca="false">'M1 default'!R44</f>
        <v>0.58988326848249</v>
      </c>
      <c r="I7" s="13" t="n">
        <f aca="false">'M1 default'!S44</f>
        <v>0.470817120622568</v>
      </c>
      <c r="J7" s="13" t="n">
        <f aca="false">'M1 default'!T44</f>
        <v>0.385992217898833</v>
      </c>
      <c r="K7" s="13" t="n">
        <f aca="false">'M1 default'!U44</f>
        <v>0.322178988326848</v>
      </c>
      <c r="L7" s="16" t="n">
        <f aca="false">'M1 default'!M44</f>
        <v>-835.8046</v>
      </c>
      <c r="M7" s="15" t="n">
        <f aca="false">'M1 default'!V44</f>
        <v>-0.0334630350194553</v>
      </c>
      <c r="N7" s="15" t="n">
        <f aca="false">'M1 default'!W44</f>
        <v>-0.650431595330739</v>
      </c>
      <c r="O7" s="14" t="n">
        <f aca="false">'M1 default'!N44</f>
        <v>6</v>
      </c>
      <c r="P7" s="14" t="n">
        <f aca="false">'M1 default'!O44</f>
        <v>17</v>
      </c>
    </row>
    <row r="8" customFormat="false" ht="15" hidden="false" customHeight="false" outlineLevel="0" collapsed="false">
      <c r="A8" s="8" t="s">
        <v>23</v>
      </c>
      <c r="B8" s="8" t="s">
        <v>148</v>
      </c>
      <c r="C8" s="8" t="s">
        <v>152</v>
      </c>
      <c r="D8" s="14" t="n">
        <f aca="false">'M1 default'!C57</f>
        <v>1295</v>
      </c>
      <c r="E8" s="19" t="n">
        <f aca="false">D8/259</f>
        <v>5</v>
      </c>
      <c r="F8" s="13" t="n">
        <f aca="false">'M1 default'!P57</f>
        <v>0.308108108108108</v>
      </c>
      <c r="G8" s="13" t="n">
        <f aca="false">'M1 default'!Q57</f>
        <v>0.308108108108108</v>
      </c>
      <c r="H8" s="13" t="n">
        <f aca="false">'M1 default'!R57</f>
        <v>0.580694980694981</v>
      </c>
      <c r="I8" s="13" t="n">
        <f aca="false">'M1 default'!S57</f>
        <v>0.474131274131274</v>
      </c>
      <c r="J8" s="13" t="n">
        <f aca="false">'M1 default'!T57</f>
        <v>0.370656370656371</v>
      </c>
      <c r="K8" s="13" t="n">
        <f aca="false">'M1 default'!U57</f>
        <v>0.308108108108108</v>
      </c>
      <c r="L8" s="16" t="n">
        <f aca="false">'M1 default'!M57</f>
        <v>-506.2309</v>
      </c>
      <c r="M8" s="15" t="n">
        <f aca="false">'M1 default'!V57</f>
        <v>-0.0756756756756757</v>
      </c>
      <c r="N8" s="15" t="n">
        <f aca="false">'M1 default'!W57</f>
        <v>-0.390911891891892</v>
      </c>
      <c r="O8" s="14" t="n">
        <f aca="false">'M1 default'!N57</f>
        <v>5</v>
      </c>
      <c r="P8" s="14" t="n">
        <f aca="false">'M1 default'!O57</f>
        <v>20</v>
      </c>
    </row>
    <row r="9" customFormat="false" ht="15" hidden="false" customHeight="false" outlineLevel="0" collapsed="false">
      <c r="A9" s="8" t="s">
        <v>23</v>
      </c>
      <c r="B9" s="8" t="s">
        <v>148</v>
      </c>
      <c r="C9" s="8" t="s">
        <v>153</v>
      </c>
      <c r="D9" s="14" t="n">
        <f aca="false">'M1 default'!C70</f>
        <v>1290</v>
      </c>
      <c r="E9" s="19" t="n">
        <f aca="false">D9/258</f>
        <v>5</v>
      </c>
      <c r="F9" s="13" t="n">
        <f aca="false">'M1 default'!P70</f>
        <v>0.34031007751938</v>
      </c>
      <c r="G9" s="13" t="n">
        <f aca="false">'M1 default'!Q70</f>
        <v>0.34031007751938</v>
      </c>
      <c r="H9" s="13" t="n">
        <f aca="false">'M1 default'!R70</f>
        <v>0.602325581395349</v>
      </c>
      <c r="I9" s="13" t="n">
        <f aca="false">'M1 default'!S70</f>
        <v>0.496899224806202</v>
      </c>
      <c r="J9" s="13" t="n">
        <f aca="false">'M1 default'!T70</f>
        <v>0.410077519379845</v>
      </c>
      <c r="K9" s="13" t="n">
        <f aca="false">'M1 default'!U70</f>
        <v>0.34031007751938</v>
      </c>
      <c r="L9" s="16" t="n">
        <f aca="false">'M1 default'!M70</f>
        <v>-161.8691</v>
      </c>
      <c r="M9" s="15" t="n">
        <f aca="false">'M1 default'!V70</f>
        <v>0.0209302325581395</v>
      </c>
      <c r="N9" s="15" t="n">
        <f aca="false">'M1 default'!W70</f>
        <v>-0.12547992248062</v>
      </c>
      <c r="O9" s="14" t="n">
        <f aca="false">'M1 default'!N70</f>
        <v>6</v>
      </c>
      <c r="P9" s="14" t="n">
        <f aca="false">'M1 default'!O70</f>
        <v>19</v>
      </c>
    </row>
    <row r="10" customFormat="false" ht="15" hidden="false" customHeight="false" outlineLevel="0" collapsed="false">
      <c r="A10" s="8" t="s">
        <v>23</v>
      </c>
      <c r="B10" s="8" t="s">
        <v>148</v>
      </c>
      <c r="C10" s="8" t="s">
        <v>154</v>
      </c>
      <c r="D10" s="14" t="n">
        <f aca="false">'M1 default'!C81</f>
        <v>975</v>
      </c>
      <c r="E10" s="19" t="n">
        <f aca="false">D10/195</f>
        <v>5</v>
      </c>
      <c r="F10" s="13" t="n">
        <f aca="false">'M1 default'!P81</f>
        <v>0.327179487179487</v>
      </c>
      <c r="G10" s="13" t="n">
        <f aca="false">'M1 default'!Q81</f>
        <v>0.327179487179487</v>
      </c>
      <c r="H10" s="13" t="n">
        <f aca="false">'M1 default'!R81</f>
        <v>0.611282051282051</v>
      </c>
      <c r="I10" s="13" t="n">
        <f aca="false">'M1 default'!S81</f>
        <v>0.491282051282051</v>
      </c>
      <c r="J10" s="13" t="n">
        <f aca="false">'M1 default'!T81</f>
        <v>0.394871794871795</v>
      </c>
      <c r="K10" s="13" t="n">
        <f aca="false">'M1 default'!U81</f>
        <v>0.327179487179487</v>
      </c>
      <c r="L10" s="16" t="n">
        <f aca="false">'M1 default'!M81</f>
        <v>-95.7556</v>
      </c>
      <c r="M10" s="15" t="n">
        <f aca="false">'M1 default'!V81</f>
        <v>-0.0184615384615385</v>
      </c>
      <c r="N10" s="15" t="n">
        <f aca="false">'M1 default'!W81</f>
        <v>-0.0982108717948718</v>
      </c>
      <c r="O10" s="14" t="n">
        <f aca="false">'M1 default'!N81</f>
        <v>7</v>
      </c>
      <c r="P10" s="14" t="n">
        <f aca="false">'M1 default'!O81</f>
        <v>17</v>
      </c>
    </row>
    <row r="11" customFormat="false" ht="15" hidden="false" customHeight="false" outlineLevel="0" collapsed="false">
      <c r="A11" s="5" t="s">
        <v>23</v>
      </c>
      <c r="B11" s="5" t="s">
        <v>148</v>
      </c>
      <c r="C11" s="5" t="s">
        <v>155</v>
      </c>
      <c r="D11" s="20" t="n">
        <f aca="false">'M1 default'!C82</f>
        <v>7425</v>
      </c>
      <c r="E11" s="21" t="n">
        <f aca="false">D11/1485</f>
        <v>5</v>
      </c>
      <c r="F11" s="22" t="n">
        <f aca="false">'M1 default'!P82</f>
        <v>0.315286195286195</v>
      </c>
      <c r="G11" s="22" t="n">
        <f aca="false">'M1 default'!Q82</f>
        <v>0.315286195286195</v>
      </c>
      <c r="H11" s="22" t="n">
        <f aca="false">'M1 default'!R82</f>
        <v>0.582760942760943</v>
      </c>
      <c r="I11" s="22" t="n">
        <f aca="false">'M1 default'!S82</f>
        <v>0.46976430976431</v>
      </c>
      <c r="J11" s="22" t="n">
        <f aca="false">'M1 default'!T82</f>
        <v>0.379259259259259</v>
      </c>
      <c r="K11" s="22" t="n">
        <f aca="false">'M1 default'!U82</f>
        <v>0.315286195286195</v>
      </c>
      <c r="L11" s="23" t="n">
        <f aca="false">'M1 default'!M82</f>
        <v>-3407.175</v>
      </c>
      <c r="M11" s="24" t="n">
        <f aca="false">'M1 default'!V82</f>
        <v>-0.0541414141414141</v>
      </c>
      <c r="N11" s="24" t="n">
        <f aca="false">'M1 default'!W82</f>
        <v>-0.458878787878788</v>
      </c>
      <c r="O11" s="20" t="n">
        <f aca="false">'M1 default'!N82</f>
        <v>7</v>
      </c>
      <c r="P11" s="20" t="n">
        <f aca="false">'M1 default'!O82</f>
        <v>22</v>
      </c>
    </row>
    <row r="13" customFormat="false" ht="15" hidden="false" customHeight="false" outlineLevel="0" collapsed="false">
      <c r="A13" s="8" t="s">
        <v>23</v>
      </c>
      <c r="B13" s="8" t="s">
        <v>24</v>
      </c>
      <c r="C13" s="8" t="s">
        <v>149</v>
      </c>
      <c r="D13" s="14" t="n">
        <f aca="false">'M1 best'!C18</f>
        <v>317</v>
      </c>
      <c r="E13" s="19" t="n">
        <f aca="false">D13/258</f>
        <v>1.22868217054264</v>
      </c>
      <c r="F13" s="13" t="n">
        <f aca="false">'M1 best'!P18</f>
        <v>0.353312302839117</v>
      </c>
      <c r="G13" s="13" t="n">
        <f aca="false">'M1 best'!Q18</f>
        <v>0.353312302839117</v>
      </c>
      <c r="H13" s="13" t="n">
        <f aca="false">'M1 best'!R18</f>
        <v>0.627760252365931</v>
      </c>
      <c r="I13" s="13" t="n">
        <f aca="false">'M1 best'!S18</f>
        <v>0.504731861198738</v>
      </c>
      <c r="J13" s="13" t="n">
        <f aca="false">'M1 best'!T18</f>
        <v>0.413249211356467</v>
      </c>
      <c r="K13" s="13" t="n">
        <f aca="false">'M1 best'!U18</f>
        <v>0.353312302839117</v>
      </c>
      <c r="L13" s="16" t="n">
        <f aca="false">'M1 best'!M18</f>
        <v>-2.2631</v>
      </c>
      <c r="M13" s="15" t="n">
        <f aca="false">'M1 best'!V18</f>
        <v>0.0599369085173502</v>
      </c>
      <c r="N13" s="15" t="n">
        <f aca="false">'M1 best'!W18</f>
        <v>-0.00713911671924291</v>
      </c>
      <c r="O13" s="14" t="n">
        <f aca="false">'M1 best'!N18</f>
        <v>3</v>
      </c>
      <c r="P13" s="14" t="n">
        <f aca="false">'M1 best'!O18</f>
        <v>10</v>
      </c>
    </row>
    <row r="14" customFormat="false" ht="15" hidden="false" customHeight="false" outlineLevel="0" collapsed="false">
      <c r="A14" s="8" t="s">
        <v>23</v>
      </c>
      <c r="B14" s="8" t="s">
        <v>24</v>
      </c>
      <c r="C14" s="8" t="s">
        <v>150</v>
      </c>
      <c r="D14" s="14" t="n">
        <f aca="false">'M1 best'!C31</f>
        <v>334</v>
      </c>
      <c r="E14" s="19" t="n">
        <f aca="false">D14/258</f>
        <v>1.29457364341085</v>
      </c>
      <c r="F14" s="13" t="n">
        <f aca="false">'M1 best'!P31</f>
        <v>0.368263473053892</v>
      </c>
      <c r="G14" s="13" t="n">
        <f aca="false">'M1 best'!Q31</f>
        <v>0.368263473053892</v>
      </c>
      <c r="H14" s="13" t="n">
        <f aca="false">'M1 best'!R31</f>
        <v>0.652694610778443</v>
      </c>
      <c r="I14" s="13" t="n">
        <f aca="false">'M1 best'!S31</f>
        <v>0.544910179640719</v>
      </c>
      <c r="J14" s="13" t="n">
        <f aca="false">'M1 best'!T31</f>
        <v>0.449101796407186</v>
      </c>
      <c r="K14" s="13" t="n">
        <f aca="false">'M1 best'!U31</f>
        <v>0.368263473053892</v>
      </c>
      <c r="L14" s="16" t="n">
        <f aca="false">'M1 best'!M31</f>
        <v>13.5364</v>
      </c>
      <c r="M14" s="15" t="n">
        <f aca="false">'M1 best'!V31</f>
        <v>0.104790419161677</v>
      </c>
      <c r="N14" s="15" t="n">
        <f aca="false">'M1 best'!W31</f>
        <v>0.0405281437125749</v>
      </c>
      <c r="O14" s="14" t="n">
        <f aca="false">'M1 best'!N31</f>
        <v>5</v>
      </c>
      <c r="P14" s="14" t="n">
        <f aca="false">'M1 best'!O31</f>
        <v>12</v>
      </c>
    </row>
    <row r="15" customFormat="false" ht="15" hidden="false" customHeight="false" outlineLevel="0" collapsed="false">
      <c r="A15" s="8" t="s">
        <v>23</v>
      </c>
      <c r="B15" s="8" t="s">
        <v>24</v>
      </c>
      <c r="C15" s="8" t="s">
        <v>151</v>
      </c>
      <c r="D15" s="14" t="n">
        <f aca="false">'M1 best'!C44</f>
        <v>329</v>
      </c>
      <c r="E15" s="19" t="n">
        <f aca="false">D15/257</f>
        <v>1.28015564202335</v>
      </c>
      <c r="F15" s="13" t="n">
        <f aca="false">'M1 best'!P44</f>
        <v>0.398176291793313</v>
      </c>
      <c r="G15" s="13" t="n">
        <f aca="false">'M1 best'!Q44</f>
        <v>0.398176291793313</v>
      </c>
      <c r="H15" s="13" t="n">
        <f aca="false">'M1 best'!R44</f>
        <v>0.677811550151976</v>
      </c>
      <c r="I15" s="13" t="n">
        <f aca="false">'M1 best'!S44</f>
        <v>0.562310030395137</v>
      </c>
      <c r="J15" s="13" t="n">
        <f aca="false">'M1 best'!T44</f>
        <v>0.458966565349544</v>
      </c>
      <c r="K15" s="13" t="n">
        <f aca="false">'M1 best'!U44</f>
        <v>0.398176291793313</v>
      </c>
      <c r="L15" s="16" t="n">
        <f aca="false">'M1 best'!M44</f>
        <v>42.1324</v>
      </c>
      <c r="M15" s="15" t="n">
        <f aca="false">'M1 best'!V44</f>
        <v>0.194528875379939</v>
      </c>
      <c r="N15" s="15" t="n">
        <f aca="false">'M1 best'!W44</f>
        <v>0.128062006079027</v>
      </c>
      <c r="O15" s="14" t="n">
        <f aca="false">'M1 best'!N44</f>
        <v>8</v>
      </c>
      <c r="P15" s="14" t="n">
        <f aca="false">'M1 best'!O44</f>
        <v>8</v>
      </c>
    </row>
    <row r="16" customFormat="false" ht="15" hidden="false" customHeight="false" outlineLevel="0" collapsed="false">
      <c r="A16" s="8" t="s">
        <v>23</v>
      </c>
      <c r="B16" s="8" t="s">
        <v>24</v>
      </c>
      <c r="C16" s="8" t="s">
        <v>152</v>
      </c>
      <c r="D16" s="14" t="n">
        <f aca="false">'M1 best'!C57</f>
        <v>344</v>
      </c>
      <c r="E16" s="19" t="n">
        <f aca="false">D16/259</f>
        <v>1.32818532818533</v>
      </c>
      <c r="F16" s="13" t="n">
        <f aca="false">'M1 best'!P57</f>
        <v>0.340116279069767</v>
      </c>
      <c r="G16" s="13" t="n">
        <f aca="false">'M1 best'!Q57</f>
        <v>0.340116279069767</v>
      </c>
      <c r="H16" s="13" t="n">
        <f aca="false">'M1 best'!R57</f>
        <v>0.578488372093023</v>
      </c>
      <c r="I16" s="13" t="n">
        <f aca="false">'M1 best'!S57</f>
        <v>0.491279069767442</v>
      </c>
      <c r="J16" s="13" t="n">
        <f aca="false">'M1 best'!T57</f>
        <v>0.392441860465116</v>
      </c>
      <c r="K16" s="13" t="n">
        <f aca="false">'M1 best'!U57</f>
        <v>0.340116279069767</v>
      </c>
      <c r="L16" s="16" t="n">
        <f aca="false">'M1 best'!M57</f>
        <v>-0.8116</v>
      </c>
      <c r="M16" s="15" t="n">
        <f aca="false">'M1 best'!V57</f>
        <v>0.0203488372093023</v>
      </c>
      <c r="N16" s="15" t="n">
        <f aca="false">'M1 best'!W57</f>
        <v>-0.0023593023255814</v>
      </c>
      <c r="O16" s="14" t="n">
        <f aca="false">'M1 best'!N57</f>
        <v>4</v>
      </c>
      <c r="P16" s="14" t="n">
        <f aca="false">'M1 best'!O57</f>
        <v>8</v>
      </c>
    </row>
    <row r="17" customFormat="false" ht="15" hidden="false" customHeight="false" outlineLevel="0" collapsed="false">
      <c r="A17" s="8" t="s">
        <v>23</v>
      </c>
      <c r="B17" s="8" t="s">
        <v>24</v>
      </c>
      <c r="C17" s="8" t="s">
        <v>153</v>
      </c>
      <c r="D17" s="14" t="n">
        <f aca="false">'M1 best'!C70</f>
        <v>361</v>
      </c>
      <c r="E17" s="19" t="n">
        <f aca="false">D17/258</f>
        <v>1.39922480620155</v>
      </c>
      <c r="F17" s="13" t="n">
        <f aca="false">'M1 best'!P70</f>
        <v>0.371191135734072</v>
      </c>
      <c r="G17" s="13" t="n">
        <f aca="false">'M1 best'!Q70</f>
        <v>0.371191135734072</v>
      </c>
      <c r="H17" s="13" t="n">
        <f aca="false">'M1 best'!R70</f>
        <v>0.617728531855956</v>
      </c>
      <c r="I17" s="13" t="n">
        <f aca="false">'M1 best'!S70</f>
        <v>0.506925207756233</v>
      </c>
      <c r="J17" s="13" t="n">
        <f aca="false">'M1 best'!T70</f>
        <v>0.434903047091413</v>
      </c>
      <c r="K17" s="13" t="n">
        <f aca="false">'M1 best'!U70</f>
        <v>0.371191135734072</v>
      </c>
      <c r="L17" s="16" t="n">
        <f aca="false">'M1 best'!M70</f>
        <v>35.3455</v>
      </c>
      <c r="M17" s="15" t="n">
        <f aca="false">'M1 best'!V70</f>
        <v>0.113573407202216</v>
      </c>
      <c r="N17" s="15" t="n">
        <f aca="false">'M1 best'!W70</f>
        <v>0.097909972299169</v>
      </c>
      <c r="O17" s="14" t="n">
        <f aca="false">'M1 best'!N70</f>
        <v>5</v>
      </c>
      <c r="P17" s="14" t="n">
        <f aca="false">'M1 best'!O70</f>
        <v>12</v>
      </c>
    </row>
    <row r="18" customFormat="false" ht="15" hidden="false" customHeight="false" outlineLevel="0" collapsed="false">
      <c r="A18" s="8" t="s">
        <v>23</v>
      </c>
      <c r="B18" s="8" t="s">
        <v>24</v>
      </c>
      <c r="C18" s="8" t="s">
        <v>154</v>
      </c>
      <c r="D18" s="14" t="n">
        <f aca="false">'M1 best'!C81</f>
        <v>273</v>
      </c>
      <c r="E18" s="19" t="n">
        <f aca="false">D18/195</f>
        <v>1.4</v>
      </c>
      <c r="F18" s="13" t="n">
        <f aca="false">'M1 best'!P81</f>
        <v>0.366300366300366</v>
      </c>
      <c r="G18" s="13" t="n">
        <f aca="false">'M1 best'!Q81</f>
        <v>0.366300366300366</v>
      </c>
      <c r="H18" s="13" t="n">
        <f aca="false">'M1 best'!R81</f>
        <v>0.626373626373626</v>
      </c>
      <c r="I18" s="13" t="n">
        <f aca="false">'M1 best'!S81</f>
        <v>0.516483516483517</v>
      </c>
      <c r="J18" s="13" t="n">
        <f aca="false">'M1 best'!T81</f>
        <v>0.402930402930403</v>
      </c>
      <c r="K18" s="13" t="n">
        <f aca="false">'M1 best'!U81</f>
        <v>0.366300366300366</v>
      </c>
      <c r="L18" s="16" t="n">
        <f aca="false">'M1 best'!M81</f>
        <v>24.2134</v>
      </c>
      <c r="M18" s="15" t="n">
        <f aca="false">'M1 best'!V81</f>
        <v>0.0989010989010989</v>
      </c>
      <c r="N18" s="15" t="n">
        <f aca="false">'M1 best'!W81</f>
        <v>0.0886937728937729</v>
      </c>
      <c r="O18" s="14" t="n">
        <f aca="false">'M1 best'!N81</f>
        <v>4</v>
      </c>
      <c r="P18" s="14" t="n">
        <f aca="false">'M1 best'!O81</f>
        <v>14</v>
      </c>
    </row>
    <row r="19" customFormat="false" ht="15" hidden="false" customHeight="false" outlineLevel="0" collapsed="false">
      <c r="A19" s="5" t="s">
        <v>23</v>
      </c>
      <c r="B19" s="5" t="s">
        <v>24</v>
      </c>
      <c r="C19" s="5" t="s">
        <v>155</v>
      </c>
      <c r="D19" s="20" t="n">
        <f aca="false">'M1 best'!C82</f>
        <v>1958</v>
      </c>
      <c r="E19" s="21" t="n">
        <f aca="false">D19/1485</f>
        <v>1.31851851851852</v>
      </c>
      <c r="F19" s="22" t="n">
        <f aca="false">'M1 best'!P82</f>
        <v>0.366189989785495</v>
      </c>
      <c r="G19" s="22" t="n">
        <f aca="false">'M1 best'!Q82</f>
        <v>0.366189989785495</v>
      </c>
      <c r="H19" s="22" t="n">
        <f aca="false">'M1 best'!R82</f>
        <v>0.629724208375894</v>
      </c>
      <c r="I19" s="22" t="n">
        <f aca="false">'M1 best'!S82</f>
        <v>0.52093973442288</v>
      </c>
      <c r="J19" s="22" t="n">
        <f aca="false">'M1 best'!T82</f>
        <v>0.425944841675179</v>
      </c>
      <c r="K19" s="22" t="n">
        <f aca="false">'M1 best'!U82</f>
        <v>0.366189989785495</v>
      </c>
      <c r="L19" s="23" t="n">
        <f aca="false">'M1 best'!M82</f>
        <v>112.153</v>
      </c>
      <c r="M19" s="24" t="n">
        <f aca="false">'M1 best'!V82</f>
        <v>0.0985699693564862</v>
      </c>
      <c r="N19" s="24" t="n">
        <f aca="false">'M1 best'!W82</f>
        <v>0.057279366700715</v>
      </c>
      <c r="O19" s="20" t="n">
        <f aca="false">'M1 best'!N82</f>
        <v>8</v>
      </c>
      <c r="P19" s="20" t="n">
        <f aca="false">'M1 best'!O82</f>
        <v>14</v>
      </c>
    </row>
    <row r="21" customFormat="false" ht="15" hidden="false" customHeight="false" outlineLevel="0" collapsed="false">
      <c r="A21" s="8" t="s">
        <v>23</v>
      </c>
      <c r="B21" s="8" t="s">
        <v>59</v>
      </c>
      <c r="C21" s="8" t="s">
        <v>149</v>
      </c>
      <c r="D21" s="14" t="n">
        <f aca="false">'M1 low-streak'!C18</f>
        <v>291</v>
      </c>
      <c r="E21" s="19" t="n">
        <f aca="false">D21/258</f>
        <v>1.12790697674419</v>
      </c>
      <c r="F21" s="13" t="n">
        <f aca="false">'M1 low-streak'!P18</f>
        <v>0.347079037800687</v>
      </c>
      <c r="G21" s="13" t="n">
        <f aca="false">'M1 low-streak'!Q18</f>
        <v>0.347079037800687</v>
      </c>
      <c r="H21" s="13" t="n">
        <f aca="false">'M1 low-streak'!R18</f>
        <v>0.625429553264605</v>
      </c>
      <c r="I21" s="13" t="n">
        <f aca="false">'M1 low-streak'!S18</f>
        <v>0.508591065292096</v>
      </c>
      <c r="J21" s="13" t="n">
        <f aca="false">'M1 low-streak'!T18</f>
        <v>0.412371134020619</v>
      </c>
      <c r="K21" s="13" t="n">
        <f aca="false">'M1 low-streak'!U18</f>
        <v>0.347079037800687</v>
      </c>
      <c r="L21" s="16" t="n">
        <f aca="false">'M1 low-streak'!M18</f>
        <v>-7.7207</v>
      </c>
      <c r="M21" s="15" t="n">
        <f aca="false">'M1 low-streak'!V18</f>
        <v>0.0412371134020619</v>
      </c>
      <c r="N21" s="15" t="n">
        <f aca="false">'M1 low-streak'!W18</f>
        <v>-0.0265316151202749</v>
      </c>
      <c r="O21" s="14" t="n">
        <f aca="false">'M1 low-streak'!N18</f>
        <v>3</v>
      </c>
      <c r="P21" s="14" t="n">
        <f aca="false">'M1 low-streak'!O18</f>
        <v>10</v>
      </c>
    </row>
    <row r="22" customFormat="false" ht="15" hidden="false" customHeight="false" outlineLevel="0" collapsed="false">
      <c r="A22" s="8" t="s">
        <v>23</v>
      </c>
      <c r="B22" s="8" t="s">
        <v>59</v>
      </c>
      <c r="C22" s="8" t="s">
        <v>150</v>
      </c>
      <c r="D22" s="14" t="n">
        <f aca="false">'M1 low-streak'!C31</f>
        <v>311</v>
      </c>
      <c r="E22" s="19" t="n">
        <f aca="false">D22/258</f>
        <v>1.20542635658915</v>
      </c>
      <c r="F22" s="13" t="n">
        <f aca="false">'M1 low-streak'!P31</f>
        <v>0.372990353697749</v>
      </c>
      <c r="G22" s="13" t="n">
        <f aca="false">'M1 low-streak'!Q31</f>
        <v>0.372990353697749</v>
      </c>
      <c r="H22" s="13" t="n">
        <f aca="false">'M1 low-streak'!R31</f>
        <v>0.655948553054662</v>
      </c>
      <c r="I22" s="13" t="n">
        <f aca="false">'M1 low-streak'!S31</f>
        <v>0.543408360128617</v>
      </c>
      <c r="J22" s="13" t="n">
        <f aca="false">'M1 low-streak'!T31</f>
        <v>0.443729903536978</v>
      </c>
      <c r="K22" s="13" t="n">
        <f aca="false">'M1 low-streak'!U31</f>
        <v>0.372990353697749</v>
      </c>
      <c r="L22" s="16" t="n">
        <f aca="false">'M1 low-streak'!M31</f>
        <v>16.5079</v>
      </c>
      <c r="M22" s="15" t="n">
        <f aca="false">'M1 low-streak'!V31</f>
        <v>0.118971061093248</v>
      </c>
      <c r="N22" s="15" t="n">
        <f aca="false">'M1 low-streak'!W31</f>
        <v>0.0530800643086817</v>
      </c>
      <c r="O22" s="14" t="n">
        <f aca="false">'M1 low-streak'!N31</f>
        <v>6</v>
      </c>
      <c r="P22" s="14" t="n">
        <f aca="false">'M1 low-streak'!O31</f>
        <v>10</v>
      </c>
    </row>
    <row r="23" customFormat="false" ht="15" hidden="false" customHeight="false" outlineLevel="0" collapsed="false">
      <c r="A23" s="8" t="s">
        <v>23</v>
      </c>
      <c r="B23" s="8" t="s">
        <v>59</v>
      </c>
      <c r="C23" s="8" t="s">
        <v>151</v>
      </c>
      <c r="D23" s="14" t="n">
        <f aca="false">'M1 low-streak'!C44</f>
        <v>307</v>
      </c>
      <c r="E23" s="19" t="n">
        <f aca="false">D23/257</f>
        <v>1.19455252918288</v>
      </c>
      <c r="F23" s="13" t="n">
        <f aca="false">'M1 low-streak'!P44</f>
        <v>0.374592833876222</v>
      </c>
      <c r="G23" s="13" t="n">
        <f aca="false">'M1 low-streak'!Q44</f>
        <v>0.374592833876222</v>
      </c>
      <c r="H23" s="13" t="n">
        <f aca="false">'M1 low-streak'!R44</f>
        <v>0.657980456026059</v>
      </c>
      <c r="I23" s="13" t="n">
        <f aca="false">'M1 low-streak'!S44</f>
        <v>0.543973941368078</v>
      </c>
      <c r="J23" s="13" t="n">
        <f aca="false">'M1 low-streak'!T44</f>
        <v>0.436482084690554</v>
      </c>
      <c r="K23" s="13" t="n">
        <f aca="false">'M1 low-streak'!U44</f>
        <v>0.374592833876222</v>
      </c>
      <c r="L23" s="16" t="n">
        <f aca="false">'M1 low-streak'!M44</f>
        <v>17.2141</v>
      </c>
      <c r="M23" s="15" t="n">
        <f aca="false">'M1 low-streak'!V44</f>
        <v>0.123778501628665</v>
      </c>
      <c r="N23" s="15" t="n">
        <f aca="false">'M1 low-streak'!W44</f>
        <v>0.056071986970684</v>
      </c>
      <c r="O23" s="14" t="n">
        <f aca="false">'M1 low-streak'!N44</f>
        <v>7</v>
      </c>
      <c r="P23" s="14" t="n">
        <f aca="false">'M1 low-streak'!O44</f>
        <v>9</v>
      </c>
    </row>
    <row r="24" customFormat="false" ht="15" hidden="false" customHeight="false" outlineLevel="0" collapsed="false">
      <c r="A24" s="8" t="s">
        <v>23</v>
      </c>
      <c r="B24" s="8" t="s">
        <v>59</v>
      </c>
      <c r="C24" s="8" t="s">
        <v>152</v>
      </c>
      <c r="D24" s="14" t="n">
        <f aca="false">'M1 low-streak'!C57</f>
        <v>314</v>
      </c>
      <c r="E24" s="19" t="n">
        <f aca="false">D24/259</f>
        <v>1.21235521235521</v>
      </c>
      <c r="F24" s="13" t="n">
        <f aca="false">'M1 low-streak'!P57</f>
        <v>0.340764331210191</v>
      </c>
      <c r="G24" s="13" t="n">
        <f aca="false">'M1 low-streak'!Q57</f>
        <v>0.340764331210191</v>
      </c>
      <c r="H24" s="13" t="n">
        <f aca="false">'M1 low-streak'!R57</f>
        <v>0.576433121019108</v>
      </c>
      <c r="I24" s="13" t="n">
        <f aca="false">'M1 low-streak'!S57</f>
        <v>0.490445859872611</v>
      </c>
      <c r="J24" s="13" t="n">
        <f aca="false">'M1 low-streak'!T57</f>
        <v>0.398089171974522</v>
      </c>
      <c r="K24" s="13" t="n">
        <f aca="false">'M1 low-streak'!U57</f>
        <v>0.340764331210191</v>
      </c>
      <c r="L24" s="16" t="n">
        <f aca="false">'M1 low-streak'!M57</f>
        <v>-0.1972</v>
      </c>
      <c r="M24" s="15" t="n">
        <f aca="false">'M1 low-streak'!V57</f>
        <v>0.0222929936305732</v>
      </c>
      <c r="N24" s="15" t="n">
        <f aca="false">'M1 low-streak'!W57</f>
        <v>-0.000628025477707008</v>
      </c>
      <c r="O24" s="14" t="n">
        <f aca="false">'M1 low-streak'!N57</f>
        <v>4</v>
      </c>
      <c r="P24" s="14" t="n">
        <f aca="false">'M1 low-streak'!O57</f>
        <v>9</v>
      </c>
    </row>
    <row r="25" customFormat="false" ht="15" hidden="false" customHeight="false" outlineLevel="0" collapsed="false">
      <c r="A25" s="8" t="s">
        <v>23</v>
      </c>
      <c r="B25" s="8" t="s">
        <v>59</v>
      </c>
      <c r="C25" s="8" t="s">
        <v>153</v>
      </c>
      <c r="D25" s="14" t="n">
        <f aca="false">'M1 low-streak'!C70</f>
        <v>329</v>
      </c>
      <c r="E25" s="19" t="n">
        <f aca="false">D25/258</f>
        <v>1.27519379844961</v>
      </c>
      <c r="F25" s="13" t="n">
        <f aca="false">'M1 low-streak'!P70</f>
        <v>0.389057750759878</v>
      </c>
      <c r="G25" s="13" t="n">
        <f aca="false">'M1 low-streak'!Q70</f>
        <v>0.389057750759878</v>
      </c>
      <c r="H25" s="13" t="n">
        <f aca="false">'M1 low-streak'!R70</f>
        <v>0.620060790273556</v>
      </c>
      <c r="I25" s="13" t="n">
        <f aca="false">'M1 low-streak'!S70</f>
        <v>0.507598784194529</v>
      </c>
      <c r="J25" s="13" t="n">
        <f aca="false">'M1 low-streak'!T70</f>
        <v>0.440729483282675</v>
      </c>
      <c r="K25" s="13" t="n">
        <f aca="false">'M1 low-streak'!U70</f>
        <v>0.389057750759878</v>
      </c>
      <c r="L25" s="16" t="n">
        <f aca="false">'M1 low-streak'!M70</f>
        <v>49.8029</v>
      </c>
      <c r="M25" s="15" t="n">
        <f aca="false">'M1 low-streak'!V70</f>
        <v>0.167173252279635</v>
      </c>
      <c r="N25" s="15" t="n">
        <f aca="false">'M1 low-streak'!W70</f>
        <v>0.151376595744681</v>
      </c>
      <c r="O25" s="14" t="n">
        <f aca="false">'M1 low-streak'!N70</f>
        <v>5</v>
      </c>
      <c r="P25" s="14" t="n">
        <f aca="false">'M1 low-streak'!O70</f>
        <v>11</v>
      </c>
    </row>
    <row r="26" customFormat="false" ht="15" hidden="false" customHeight="false" outlineLevel="0" collapsed="false">
      <c r="A26" s="8" t="s">
        <v>23</v>
      </c>
      <c r="B26" s="8" t="s">
        <v>59</v>
      </c>
      <c r="C26" s="8" t="s">
        <v>154</v>
      </c>
      <c r="D26" s="14" t="n">
        <f aca="false">'M1 low-streak'!C81</f>
        <v>250</v>
      </c>
      <c r="E26" s="19" t="n">
        <f aca="false">D26/195</f>
        <v>1.28205128205128</v>
      </c>
      <c r="F26" s="13" t="n">
        <f aca="false">'M1 low-streak'!P81</f>
        <v>0.36</v>
      </c>
      <c r="G26" s="13" t="n">
        <f aca="false">'M1 low-streak'!Q81</f>
        <v>0.36</v>
      </c>
      <c r="H26" s="13" t="n">
        <f aca="false">'M1 low-streak'!R81</f>
        <v>0.62</v>
      </c>
      <c r="I26" s="13" t="n">
        <f aca="false">'M1 low-streak'!S81</f>
        <v>0.512</v>
      </c>
      <c r="J26" s="13" t="n">
        <f aca="false">'M1 low-streak'!T81</f>
        <v>0.408</v>
      </c>
      <c r="K26" s="13" t="n">
        <f aca="false">'M1 low-streak'!U81</f>
        <v>0.36</v>
      </c>
      <c r="L26" s="16" t="n">
        <f aca="false">'M1 low-streak'!M81</f>
        <v>17.3958</v>
      </c>
      <c r="M26" s="15" t="n">
        <f aca="false">'M1 low-streak'!V81</f>
        <v>0.08</v>
      </c>
      <c r="N26" s="15" t="n">
        <f aca="false">'M1 low-streak'!W81</f>
        <v>0.0695832</v>
      </c>
      <c r="O26" s="14" t="n">
        <f aca="false">'M1 low-streak'!N81</f>
        <v>5</v>
      </c>
      <c r="P26" s="14" t="n">
        <f aca="false">'M1 low-streak'!O81</f>
        <v>12</v>
      </c>
    </row>
    <row r="27" customFormat="false" ht="15" hidden="false" customHeight="false" outlineLevel="0" collapsed="false">
      <c r="A27" s="5" t="s">
        <v>23</v>
      </c>
      <c r="B27" s="5" t="s">
        <v>59</v>
      </c>
      <c r="C27" s="5" t="s">
        <v>155</v>
      </c>
      <c r="D27" s="20" t="n">
        <f aca="false">'M1 low-streak'!C82</f>
        <v>1802</v>
      </c>
      <c r="E27" s="21" t="n">
        <f aca="false">D27/1485</f>
        <v>1.21346801346801</v>
      </c>
      <c r="F27" s="22" t="n">
        <f aca="false">'M1 low-streak'!P82</f>
        <v>0.364594894561598</v>
      </c>
      <c r="G27" s="22" t="n">
        <f aca="false">'M1 low-streak'!Q82</f>
        <v>0.364594894561598</v>
      </c>
      <c r="H27" s="22" t="n">
        <f aca="false">'M1 low-streak'!R82</f>
        <v>0.625971143174251</v>
      </c>
      <c r="I27" s="22" t="n">
        <f aca="false">'M1 low-streak'!S82</f>
        <v>0.517758046614872</v>
      </c>
      <c r="J27" s="22" t="n">
        <f aca="false">'M1 low-streak'!T82</f>
        <v>0.423973362930078</v>
      </c>
      <c r="K27" s="22" t="n">
        <f aca="false">'M1 low-streak'!U82</f>
        <v>0.364594894561598</v>
      </c>
      <c r="L27" s="23" t="n">
        <f aca="false">'M1 low-streak'!M82</f>
        <v>93.0028</v>
      </c>
      <c r="M27" s="24" t="n">
        <f aca="false">'M1 low-streak'!V82</f>
        <v>0.0937846836847947</v>
      </c>
      <c r="N27" s="24" t="n">
        <f aca="false">'M1 low-streak'!W82</f>
        <v>0.0516108768035516</v>
      </c>
      <c r="O27" s="20" t="n">
        <f aca="false">'M1 low-streak'!N82</f>
        <v>7</v>
      </c>
      <c r="P27" s="20" t="n">
        <f aca="false">'M1 low-streak'!O82</f>
        <v>12</v>
      </c>
    </row>
    <row r="29" customFormat="false" ht="15" hidden="false" customHeight="false" outlineLevel="0" collapsed="false">
      <c r="A29" s="8" t="s">
        <v>62</v>
      </c>
      <c r="B29" s="8" t="s">
        <v>148</v>
      </c>
      <c r="C29" s="8" t="s">
        <v>149</v>
      </c>
      <c r="D29" s="14" t="n">
        <f aca="false">'M5 default'!C18</f>
        <v>1228</v>
      </c>
      <c r="E29" s="19" t="n">
        <f aca="false">D29/258</f>
        <v>4.75968992248062</v>
      </c>
      <c r="F29" s="13" t="n">
        <f aca="false">'M5 default'!P18</f>
        <v>0.318403908794788</v>
      </c>
      <c r="G29" s="13" t="n">
        <f aca="false">'M5 default'!Q18</f>
        <v>0.318403908794788</v>
      </c>
      <c r="H29" s="13" t="n">
        <f aca="false">'M5 default'!R18</f>
        <v>0.592833876221498</v>
      </c>
      <c r="I29" s="13" t="n">
        <f aca="false">'M5 default'!S18</f>
        <v>0.488599348534202</v>
      </c>
      <c r="J29" s="13" t="n">
        <f aca="false">'M5 default'!T18</f>
        <v>0.374592833876222</v>
      </c>
      <c r="K29" s="13" t="n">
        <f aca="false">'M5 default'!U18</f>
        <v>0.318403908794788</v>
      </c>
      <c r="L29" s="16" t="n">
        <f aca="false">'M5 default'!M18</f>
        <v>-260.3112</v>
      </c>
      <c r="M29" s="15" t="n">
        <f aca="false">'M5 default'!V18</f>
        <v>-0.0447882736156352</v>
      </c>
      <c r="N29" s="15" t="n">
        <f aca="false">'M5 default'!W18</f>
        <v>-0.211979804560261</v>
      </c>
      <c r="O29" s="14" t="n">
        <f aca="false">'M5 default'!N18</f>
        <v>7</v>
      </c>
      <c r="P29" s="14" t="n">
        <f aca="false">'M5 default'!O18</f>
        <v>13</v>
      </c>
    </row>
    <row r="30" customFormat="false" ht="15" hidden="false" customHeight="false" outlineLevel="0" collapsed="false">
      <c r="A30" s="8" t="s">
        <v>62</v>
      </c>
      <c r="B30" s="8" t="s">
        <v>148</v>
      </c>
      <c r="C30" s="8" t="s">
        <v>150</v>
      </c>
      <c r="D30" s="14" t="n">
        <f aca="false">'M5 default'!C31</f>
        <v>1181</v>
      </c>
      <c r="E30" s="19" t="n">
        <f aca="false">D30/258</f>
        <v>4.57751937984496</v>
      </c>
      <c r="F30" s="13" t="n">
        <f aca="false">'M5 default'!P31</f>
        <v>0.334462320067739</v>
      </c>
      <c r="G30" s="13" t="n">
        <f aca="false">'M5 default'!Q31</f>
        <v>0.334462320067739</v>
      </c>
      <c r="H30" s="13" t="n">
        <f aca="false">'M5 default'!R31</f>
        <v>0.625740897544454</v>
      </c>
      <c r="I30" s="13" t="n">
        <f aca="false">'M5 default'!S31</f>
        <v>0.511430990685859</v>
      </c>
      <c r="J30" s="13" t="n">
        <f aca="false">'M5 default'!T31</f>
        <v>0.410668924640136</v>
      </c>
      <c r="K30" s="13" t="n">
        <f aca="false">'M5 default'!U31</f>
        <v>0.334462320067739</v>
      </c>
      <c r="L30" s="16" t="n">
        <f aca="false">'M5 default'!M31</f>
        <v>-178.1159</v>
      </c>
      <c r="M30" s="15" t="n">
        <f aca="false">'M5 default'!V31</f>
        <v>0.00338696020321761</v>
      </c>
      <c r="N30" s="15" t="n">
        <f aca="false">'M5 default'!W31</f>
        <v>-0.150817866215072</v>
      </c>
      <c r="O30" s="14" t="n">
        <f aca="false">'M5 default'!N31</f>
        <v>5</v>
      </c>
      <c r="P30" s="14" t="n">
        <f aca="false">'M5 default'!O31</f>
        <v>18</v>
      </c>
    </row>
    <row r="31" customFormat="false" ht="15" hidden="false" customHeight="false" outlineLevel="0" collapsed="false">
      <c r="A31" s="8" t="s">
        <v>62</v>
      </c>
      <c r="B31" s="8" t="s">
        <v>148</v>
      </c>
      <c r="C31" s="8" t="s">
        <v>151</v>
      </c>
      <c r="D31" s="14" t="n">
        <f aca="false">'M5 default'!C44</f>
        <v>1199</v>
      </c>
      <c r="E31" s="19" t="n">
        <f aca="false">D31/257</f>
        <v>4.66536964980545</v>
      </c>
      <c r="F31" s="13" t="n">
        <f aca="false">'M5 default'!P44</f>
        <v>0.322768974145121</v>
      </c>
      <c r="G31" s="13" t="n">
        <f aca="false">'M5 default'!Q44</f>
        <v>0.322768974145121</v>
      </c>
      <c r="H31" s="13" t="n">
        <f aca="false">'M5 default'!R44</f>
        <v>0.580483736447039</v>
      </c>
      <c r="I31" s="13" t="n">
        <f aca="false">'M5 default'!S44</f>
        <v>0.475396163469558</v>
      </c>
      <c r="J31" s="13" t="n">
        <f aca="false">'M5 default'!T44</f>
        <v>0.38698915763136</v>
      </c>
      <c r="K31" s="13" t="n">
        <f aca="false">'M5 default'!U44</f>
        <v>0.322768974145121</v>
      </c>
      <c r="L31" s="16" t="n">
        <f aca="false">'M5 default'!M44</f>
        <v>-249.41</v>
      </c>
      <c r="M31" s="15" t="n">
        <f aca="false">'M5 default'!V44</f>
        <v>-0.0316930775646372</v>
      </c>
      <c r="N31" s="15" t="n">
        <f aca="false">'M5 default'!W44</f>
        <v>-0.208015012510425</v>
      </c>
      <c r="O31" s="14" t="n">
        <f aca="false">'M5 default'!N44</f>
        <v>5</v>
      </c>
      <c r="P31" s="14" t="n">
        <f aca="false">'M5 default'!O44</f>
        <v>19</v>
      </c>
    </row>
    <row r="32" customFormat="false" ht="15" hidden="false" customHeight="false" outlineLevel="0" collapsed="false">
      <c r="A32" s="8" t="s">
        <v>62</v>
      </c>
      <c r="B32" s="8" t="s">
        <v>148</v>
      </c>
      <c r="C32" s="8" t="s">
        <v>152</v>
      </c>
      <c r="D32" s="14" t="n">
        <f aca="false">'M5 default'!C57</f>
        <v>1212</v>
      </c>
      <c r="E32" s="19" t="n">
        <f aca="false">D32/259</f>
        <v>4.67953667953668</v>
      </c>
      <c r="F32" s="13" t="n">
        <f aca="false">'M5 default'!P57</f>
        <v>0.337458745874587</v>
      </c>
      <c r="G32" s="13" t="n">
        <f aca="false">'M5 default'!Q57</f>
        <v>0.337458745874587</v>
      </c>
      <c r="H32" s="13" t="n">
        <f aca="false">'M5 default'!R57</f>
        <v>0.622112211221122</v>
      </c>
      <c r="I32" s="13" t="n">
        <f aca="false">'M5 default'!S57</f>
        <v>0.498349834983498</v>
      </c>
      <c r="J32" s="13" t="n">
        <f aca="false">'M5 default'!T57</f>
        <v>0.407590759075908</v>
      </c>
      <c r="K32" s="13" t="n">
        <f aca="false">'M5 default'!U57</f>
        <v>0.337458745874587</v>
      </c>
      <c r="L32" s="16" t="n">
        <f aca="false">'M5 default'!M57</f>
        <v>-69.0067</v>
      </c>
      <c r="M32" s="15" t="n">
        <f aca="false">'M5 default'!V57</f>
        <v>0.0123762376237624</v>
      </c>
      <c r="N32" s="15" t="n">
        <f aca="false">'M5 default'!W57</f>
        <v>-0.0569362211221122</v>
      </c>
      <c r="O32" s="14" t="n">
        <f aca="false">'M5 default'!N57</f>
        <v>5</v>
      </c>
      <c r="P32" s="14" t="n">
        <f aca="false">'M5 default'!O57</f>
        <v>13</v>
      </c>
    </row>
    <row r="33" customFormat="false" ht="15" hidden="false" customHeight="false" outlineLevel="0" collapsed="false">
      <c r="A33" s="8" t="s">
        <v>62</v>
      </c>
      <c r="B33" s="8" t="s">
        <v>148</v>
      </c>
      <c r="C33" s="8" t="s">
        <v>153</v>
      </c>
      <c r="D33" s="14" t="n">
        <f aca="false">'M5 default'!C70</f>
        <v>1221</v>
      </c>
      <c r="E33" s="19" t="n">
        <f aca="false">D33/258</f>
        <v>4.73255813953488</v>
      </c>
      <c r="F33" s="13" t="n">
        <f aca="false">'M5 default'!P70</f>
        <v>0.346437346437346</v>
      </c>
      <c r="G33" s="13" t="n">
        <f aca="false">'M5 default'!Q70</f>
        <v>0.346437346437346</v>
      </c>
      <c r="H33" s="13" t="n">
        <f aca="false">'M5 default'!R70</f>
        <v>0.620802620802621</v>
      </c>
      <c r="I33" s="13" t="n">
        <f aca="false">'M5 default'!S70</f>
        <v>0.511056511056511</v>
      </c>
      <c r="J33" s="13" t="n">
        <f aca="false">'M5 default'!T70</f>
        <v>0.411957411957412</v>
      </c>
      <c r="K33" s="13" t="n">
        <f aca="false">'M5 default'!U70</f>
        <v>0.346437346437346</v>
      </c>
      <c r="L33" s="16" t="n">
        <f aca="false">'M5 default'!M70</f>
        <v>2.5287</v>
      </c>
      <c r="M33" s="15" t="n">
        <f aca="false">'M5 default'!V70</f>
        <v>0.0393120393120393</v>
      </c>
      <c r="N33" s="15" t="n">
        <f aca="false">'M5 default'!W70</f>
        <v>0.00207100737100737</v>
      </c>
      <c r="O33" s="14" t="n">
        <f aca="false">'M5 default'!N70</f>
        <v>5</v>
      </c>
      <c r="P33" s="14" t="n">
        <f aca="false">'M5 default'!O70</f>
        <v>14</v>
      </c>
    </row>
    <row r="34" customFormat="false" ht="15" hidden="false" customHeight="false" outlineLevel="0" collapsed="false">
      <c r="A34" s="8" t="s">
        <v>62</v>
      </c>
      <c r="B34" s="8" t="s">
        <v>148</v>
      </c>
      <c r="C34" s="8" t="s">
        <v>154</v>
      </c>
      <c r="D34" s="14" t="n">
        <f aca="false">'M5 default'!C81</f>
        <v>917</v>
      </c>
      <c r="E34" s="19" t="n">
        <f aca="false">D34/195</f>
        <v>4.7025641025641</v>
      </c>
      <c r="F34" s="13" t="n">
        <f aca="false">'M5 default'!P81</f>
        <v>0.336968375136314</v>
      </c>
      <c r="G34" s="13" t="n">
        <f aca="false">'M5 default'!Q81</f>
        <v>0.336968375136314</v>
      </c>
      <c r="H34" s="13" t="n">
        <f aca="false">'M5 default'!R81</f>
        <v>0.610687022900763</v>
      </c>
      <c r="I34" s="13" t="n">
        <f aca="false">'M5 default'!S81</f>
        <v>0.500545256270447</v>
      </c>
      <c r="J34" s="13" t="n">
        <f aca="false">'M5 default'!T81</f>
        <v>0.395856052344602</v>
      </c>
      <c r="K34" s="13" t="n">
        <f aca="false">'M5 default'!U81</f>
        <v>0.336968375136314</v>
      </c>
      <c r="L34" s="16" t="n">
        <f aca="false">'M5 default'!M81</f>
        <v>-9.823</v>
      </c>
      <c r="M34" s="15" t="n">
        <f aca="false">'M5 default'!V81</f>
        <v>0.0109051254089422</v>
      </c>
      <c r="N34" s="15" t="n">
        <f aca="false">'M5 default'!W81</f>
        <v>-0.0107121046892039</v>
      </c>
      <c r="O34" s="14" t="n">
        <f aca="false">'M5 default'!N81</f>
        <v>5</v>
      </c>
      <c r="P34" s="14" t="n">
        <f aca="false">'M5 default'!O81</f>
        <v>16</v>
      </c>
    </row>
    <row r="35" customFormat="false" ht="15" hidden="false" customHeight="false" outlineLevel="0" collapsed="false">
      <c r="A35" s="5" t="s">
        <v>62</v>
      </c>
      <c r="B35" s="5" t="s">
        <v>148</v>
      </c>
      <c r="C35" s="5" t="s">
        <v>155</v>
      </c>
      <c r="D35" s="20" t="n">
        <f aca="false">'M5 default'!C82</f>
        <v>6958</v>
      </c>
      <c r="E35" s="21" t="n">
        <f aca="false">D35/1485</f>
        <v>4.68552188552189</v>
      </c>
      <c r="F35" s="22" t="n">
        <f aca="false">'M5 default'!P82</f>
        <v>0.332566829548721</v>
      </c>
      <c r="G35" s="22" t="n">
        <f aca="false">'M5 default'!Q82</f>
        <v>0.332566829548721</v>
      </c>
      <c r="H35" s="22" t="n">
        <f aca="false">'M5 default'!R82</f>
        <v>0.608651911468813</v>
      </c>
      <c r="I35" s="22" t="n">
        <f aca="false">'M5 default'!S82</f>
        <v>0.497413049726933</v>
      </c>
      <c r="J35" s="22" t="n">
        <f aca="false">'M5 default'!T82</f>
        <v>0.397959183673469</v>
      </c>
      <c r="K35" s="22" t="n">
        <f aca="false">'M5 default'!U82</f>
        <v>0.332566829548721</v>
      </c>
      <c r="L35" s="23" t="n">
        <f aca="false">'M5 default'!M82</f>
        <v>-764.1381</v>
      </c>
      <c r="M35" s="24" t="n">
        <f aca="false">'M5 default'!V82</f>
        <v>-0.00229951135383731</v>
      </c>
      <c r="N35" s="24" t="n">
        <f aca="false">'M5 default'!W82</f>
        <v>-0.109821514803104</v>
      </c>
      <c r="O35" s="20" t="n">
        <f aca="false">'M5 default'!N82</f>
        <v>7</v>
      </c>
      <c r="P35" s="20" t="n">
        <f aca="false">'M5 default'!O82</f>
        <v>19</v>
      </c>
    </row>
    <row r="37" customFormat="false" ht="15" hidden="false" customHeight="false" outlineLevel="0" collapsed="false">
      <c r="A37" s="8" t="s">
        <v>62</v>
      </c>
      <c r="B37" s="8" t="s">
        <v>24</v>
      </c>
      <c r="C37" s="8" t="s">
        <v>149</v>
      </c>
      <c r="D37" s="14" t="n">
        <f aca="false">'M5 best'!C18</f>
        <v>230</v>
      </c>
      <c r="E37" s="19" t="n">
        <f aca="false">D37/258</f>
        <v>0.891472868217054</v>
      </c>
      <c r="F37" s="13" t="n">
        <f aca="false">'M5 best'!P18</f>
        <v>0.269565217391304</v>
      </c>
      <c r="G37" s="13" t="n">
        <f aca="false">'M5 best'!Q18</f>
        <v>0.269565217391304</v>
      </c>
      <c r="H37" s="13" t="n">
        <f aca="false">'M5 best'!R18</f>
        <v>0.626086956521739</v>
      </c>
      <c r="I37" s="13" t="n">
        <f aca="false">'M5 best'!S18</f>
        <v>0.526086956521739</v>
      </c>
      <c r="J37" s="13" t="n">
        <f aca="false">'M5 best'!T18</f>
        <v>0.41304347826087</v>
      </c>
      <c r="K37" s="13" t="n">
        <f aca="false">'M5 best'!U18</f>
        <v>0.269565217391304</v>
      </c>
      <c r="L37" s="16" t="n">
        <f aca="false">'M5 best'!M18</f>
        <v>-25.4143</v>
      </c>
      <c r="M37" s="15" t="n">
        <f aca="false">'M5 best'!V18</f>
        <v>-0.0565217391304348</v>
      </c>
      <c r="N37" s="15" t="n">
        <f aca="false">'M5 best'!W18</f>
        <v>-0.110496956521739</v>
      </c>
      <c r="O37" s="14" t="n">
        <f aca="false">'M5 best'!N18</f>
        <v>3</v>
      </c>
      <c r="P37" s="14" t="n">
        <f aca="false">'M5 best'!O18</f>
        <v>21</v>
      </c>
    </row>
    <row r="38" customFormat="false" ht="15" hidden="false" customHeight="false" outlineLevel="0" collapsed="false">
      <c r="A38" s="8" t="s">
        <v>62</v>
      </c>
      <c r="B38" s="8" t="s">
        <v>24</v>
      </c>
      <c r="C38" s="8" t="s">
        <v>150</v>
      </c>
      <c r="D38" s="14" t="n">
        <f aca="false">'M5 best'!C31</f>
        <v>252</v>
      </c>
      <c r="E38" s="19" t="n">
        <f aca="false">D38/258</f>
        <v>0.976744186046512</v>
      </c>
      <c r="F38" s="13" t="n">
        <f aca="false">'M5 best'!P31</f>
        <v>0.345238095238095</v>
      </c>
      <c r="G38" s="13" t="n">
        <f aca="false">'M5 best'!Q31</f>
        <v>0.345238095238095</v>
      </c>
      <c r="H38" s="13" t="n">
        <f aca="false">'M5 best'!R31</f>
        <v>0.623015873015873</v>
      </c>
      <c r="I38" s="13" t="n">
        <f aca="false">'M5 best'!S31</f>
        <v>0.523809523809524</v>
      </c>
      <c r="J38" s="13" t="n">
        <f aca="false">'M5 best'!T31</f>
        <v>0.44047619047619</v>
      </c>
      <c r="K38" s="13" t="n">
        <f aca="false">'M5 best'!U31</f>
        <v>0.345238095238095</v>
      </c>
      <c r="L38" s="16" t="n">
        <f aca="false">'M5 best'!M31</f>
        <v>37.9106</v>
      </c>
      <c r="M38" s="15" t="n">
        <f aca="false">'M5 best'!V31</f>
        <v>0.208333333333333</v>
      </c>
      <c r="N38" s="15" t="n">
        <f aca="false">'M5 best'!W31</f>
        <v>0.150438888888889</v>
      </c>
      <c r="O38" s="14" t="n">
        <f aca="false">'M5 best'!N31</f>
        <v>5</v>
      </c>
      <c r="P38" s="14" t="n">
        <f aca="false">'M5 best'!O31</f>
        <v>10</v>
      </c>
    </row>
    <row r="39" customFormat="false" ht="15" hidden="false" customHeight="false" outlineLevel="0" collapsed="false">
      <c r="A39" s="8" t="s">
        <v>62</v>
      </c>
      <c r="B39" s="8" t="s">
        <v>24</v>
      </c>
      <c r="C39" s="8" t="s">
        <v>151</v>
      </c>
      <c r="D39" s="14" t="n">
        <f aca="false">'M5 best'!C44</f>
        <v>250</v>
      </c>
      <c r="E39" s="19" t="n">
        <f aca="false">D39/257</f>
        <v>0.972762645914397</v>
      </c>
      <c r="F39" s="13" t="n">
        <f aca="false">'M5 best'!P44</f>
        <v>0.368</v>
      </c>
      <c r="G39" s="13" t="n">
        <f aca="false">'M5 best'!Q44</f>
        <v>0.368</v>
      </c>
      <c r="H39" s="13" t="n">
        <f aca="false">'M5 best'!R44</f>
        <v>0.604</v>
      </c>
      <c r="I39" s="13" t="n">
        <f aca="false">'M5 best'!S44</f>
        <v>0.524</v>
      </c>
      <c r="J39" s="13" t="n">
        <f aca="false">'M5 best'!T44</f>
        <v>0.456</v>
      </c>
      <c r="K39" s="13" t="n">
        <f aca="false">'M5 best'!U44</f>
        <v>0.368</v>
      </c>
      <c r="L39" s="16" t="n">
        <f aca="false">'M5 best'!M44</f>
        <v>58.4617</v>
      </c>
      <c r="M39" s="15" t="n">
        <f aca="false">'M5 best'!V44</f>
        <v>0.288</v>
      </c>
      <c r="N39" s="15" t="n">
        <f aca="false">'M5 best'!W44</f>
        <v>0.2338468</v>
      </c>
      <c r="O39" s="14" t="n">
        <f aca="false">'M5 best'!N44</f>
        <v>3</v>
      </c>
      <c r="P39" s="14" t="n">
        <f aca="false">'M5 best'!O44</f>
        <v>8</v>
      </c>
    </row>
    <row r="40" customFormat="false" ht="15" hidden="false" customHeight="false" outlineLevel="0" collapsed="false">
      <c r="A40" s="8" t="s">
        <v>62</v>
      </c>
      <c r="B40" s="8" t="s">
        <v>24</v>
      </c>
      <c r="C40" s="8" t="s">
        <v>152</v>
      </c>
      <c r="D40" s="14" t="n">
        <f aca="false">'M5 best'!C57</f>
        <v>283</v>
      </c>
      <c r="E40" s="19" t="n">
        <f aca="false">D40/259</f>
        <v>1.09266409266409</v>
      </c>
      <c r="F40" s="13" t="n">
        <f aca="false">'M5 best'!P57</f>
        <v>0.300353356890459</v>
      </c>
      <c r="G40" s="13" t="n">
        <f aca="false">'M5 best'!Q57</f>
        <v>0.300353356890459</v>
      </c>
      <c r="H40" s="13" t="n">
        <f aca="false">'M5 best'!R57</f>
        <v>0.639575971731449</v>
      </c>
      <c r="I40" s="13" t="n">
        <f aca="false">'M5 best'!S57</f>
        <v>0.505300353356891</v>
      </c>
      <c r="J40" s="13" t="n">
        <f aca="false">'M5 best'!T57</f>
        <v>0.409893992932862</v>
      </c>
      <c r="K40" s="13" t="n">
        <f aca="false">'M5 best'!U57</f>
        <v>0.300353356890459</v>
      </c>
      <c r="L40" s="16" t="n">
        <f aca="false">'M5 best'!M57</f>
        <v>8.6974</v>
      </c>
      <c r="M40" s="15" t="n">
        <f aca="false">'M5 best'!V57</f>
        <v>0.0512367491166078</v>
      </c>
      <c r="N40" s="15" t="n">
        <f aca="false">'M5 best'!W57</f>
        <v>0.0307328621908127</v>
      </c>
      <c r="O40" s="14" t="n">
        <f aca="false">'M5 best'!N57</f>
        <v>5</v>
      </c>
      <c r="P40" s="14" t="n">
        <f aca="false">'M5 best'!O57</f>
        <v>16</v>
      </c>
    </row>
    <row r="41" customFormat="false" ht="15" hidden="false" customHeight="false" outlineLevel="0" collapsed="false">
      <c r="A41" s="8" t="s">
        <v>62</v>
      </c>
      <c r="B41" s="8" t="s">
        <v>24</v>
      </c>
      <c r="C41" s="8" t="s">
        <v>153</v>
      </c>
      <c r="D41" s="14" t="n">
        <f aca="false">'M5 best'!C70</f>
        <v>262</v>
      </c>
      <c r="E41" s="19" t="n">
        <f aca="false">D41/258</f>
        <v>1.01550387596899</v>
      </c>
      <c r="F41" s="13" t="n">
        <f aca="false">'M5 best'!P70</f>
        <v>0.358778625954198</v>
      </c>
      <c r="G41" s="13" t="n">
        <f aca="false">'M5 best'!Q70</f>
        <v>0.358778625954198</v>
      </c>
      <c r="H41" s="13" t="n">
        <f aca="false">'M5 best'!R70</f>
        <v>0.637404580152672</v>
      </c>
      <c r="I41" s="13" t="n">
        <f aca="false">'M5 best'!S70</f>
        <v>0.541984732824428</v>
      </c>
      <c r="J41" s="13" t="n">
        <f aca="false">'M5 best'!T70</f>
        <v>0.454198473282443</v>
      </c>
      <c r="K41" s="13" t="n">
        <f aca="false">'M5 best'!U70</f>
        <v>0.358778625954198</v>
      </c>
      <c r="L41" s="16" t="n">
        <f aca="false">'M5 best'!M70</f>
        <v>63.5504</v>
      </c>
      <c r="M41" s="15" t="n">
        <f aca="false">'M5 best'!V70</f>
        <v>0.255725190839695</v>
      </c>
      <c r="N41" s="15" t="n">
        <f aca="false">'M5 best'!W70</f>
        <v>0.242558778625954</v>
      </c>
      <c r="O41" s="14" t="n">
        <f aca="false">'M5 best'!N70</f>
        <v>7</v>
      </c>
      <c r="P41" s="14" t="n">
        <f aca="false">'M5 best'!O70</f>
        <v>9</v>
      </c>
    </row>
    <row r="42" customFormat="false" ht="15" hidden="false" customHeight="false" outlineLevel="0" collapsed="false">
      <c r="A42" s="8" t="s">
        <v>62</v>
      </c>
      <c r="B42" s="8" t="s">
        <v>24</v>
      </c>
      <c r="C42" s="8" t="s">
        <v>154</v>
      </c>
      <c r="D42" s="14" t="n">
        <f aca="false">'M5 best'!C81</f>
        <v>195</v>
      </c>
      <c r="E42" s="19" t="n">
        <f aca="false">D42/195</f>
        <v>1</v>
      </c>
      <c r="F42" s="13" t="n">
        <f aca="false">'M5 best'!P81</f>
        <v>0.266666666666667</v>
      </c>
      <c r="G42" s="13" t="n">
        <f aca="false">'M5 best'!Q81</f>
        <v>0.266666666666667</v>
      </c>
      <c r="H42" s="13" t="n">
        <f aca="false">'M5 best'!R81</f>
        <v>0.646153846153846</v>
      </c>
      <c r="I42" s="13" t="n">
        <f aca="false">'M5 best'!S81</f>
        <v>0.512820512820513</v>
      </c>
      <c r="J42" s="13" t="n">
        <f aca="false">'M5 best'!T81</f>
        <v>0.384615384615385</v>
      </c>
      <c r="K42" s="13" t="n">
        <f aca="false">'M5 best'!U81</f>
        <v>0.266666666666667</v>
      </c>
      <c r="L42" s="16" t="n">
        <f aca="false">'M5 best'!M81</f>
        <v>-14.8276</v>
      </c>
      <c r="M42" s="15" t="n">
        <f aca="false">'M5 best'!V81</f>
        <v>-0.0666666666666667</v>
      </c>
      <c r="N42" s="15" t="n">
        <f aca="false">'M5 best'!W81</f>
        <v>-0.0760389743589744</v>
      </c>
      <c r="O42" s="14" t="n">
        <f aca="false">'M5 best'!N81</f>
        <v>4</v>
      </c>
      <c r="P42" s="14" t="n">
        <f aca="false">'M5 best'!O81</f>
        <v>13</v>
      </c>
    </row>
    <row r="43" customFormat="false" ht="15" hidden="false" customHeight="false" outlineLevel="0" collapsed="false">
      <c r="A43" s="5" t="s">
        <v>62</v>
      </c>
      <c r="B43" s="5" t="s">
        <v>24</v>
      </c>
      <c r="C43" s="5" t="s">
        <v>155</v>
      </c>
      <c r="D43" s="20" t="n">
        <f aca="false">'M5 best'!C82</f>
        <v>1472</v>
      </c>
      <c r="E43" s="21" t="n">
        <f aca="false">D43/1485</f>
        <v>0.991245791245791</v>
      </c>
      <c r="F43" s="22" t="n">
        <f aca="false">'M5 best'!P82</f>
        <v>0.320652173913043</v>
      </c>
      <c r="G43" s="22" t="n">
        <f aca="false">'M5 best'!Q82</f>
        <v>0.320652173913043</v>
      </c>
      <c r="H43" s="22" t="n">
        <f aca="false">'M5 best'!R82</f>
        <v>0.629076086956522</v>
      </c>
      <c r="I43" s="22" t="n">
        <f aca="false">'M5 best'!S82</f>
        <v>0.52241847826087</v>
      </c>
      <c r="J43" s="22" t="n">
        <f aca="false">'M5 best'!T82</f>
        <v>0.427989130434783</v>
      </c>
      <c r="K43" s="22" t="n">
        <f aca="false">'M5 best'!U82</f>
        <v>0.320652173913043</v>
      </c>
      <c r="L43" s="23" t="n">
        <f aca="false">'M5 best'!M82</f>
        <v>128.3782</v>
      </c>
      <c r="M43" s="24" t="n">
        <f aca="false">'M5 best'!V82</f>
        <v>0.122282608695652</v>
      </c>
      <c r="N43" s="24" t="n">
        <f aca="false">'M5 best'!W82</f>
        <v>0.0872134510869565</v>
      </c>
      <c r="O43" s="20" t="n">
        <f aca="false">'M5 best'!N82</f>
        <v>7</v>
      </c>
      <c r="P43" s="20" t="n">
        <f aca="false">'M5 best'!O82</f>
        <v>21</v>
      </c>
    </row>
    <row r="45" customFormat="false" ht="15" hidden="false" customHeight="false" outlineLevel="0" collapsed="false">
      <c r="A45" s="8" t="s">
        <v>62</v>
      </c>
      <c r="B45" s="8" t="s">
        <v>59</v>
      </c>
      <c r="C45" s="8" t="s">
        <v>149</v>
      </c>
      <c r="D45" s="14" t="n">
        <f aca="false">'M5 low-streak'!C18</f>
        <v>264</v>
      </c>
      <c r="E45" s="19" t="n">
        <f aca="false">D45/258</f>
        <v>1.02325581395349</v>
      </c>
      <c r="F45" s="13" t="n">
        <f aca="false">'M5 low-streak'!P18</f>
        <v>0.178030303030303</v>
      </c>
      <c r="G45" s="13" t="n">
        <f aca="false">'M5 low-streak'!Q18</f>
        <v>0.53030303030303</v>
      </c>
      <c r="H45" s="13" t="n">
        <f aca="false">'M5 low-streak'!R18</f>
        <v>0.625</v>
      </c>
      <c r="I45" s="13" t="n">
        <f aca="false">'M5 low-streak'!S18</f>
        <v>0.53030303030303</v>
      </c>
      <c r="J45" s="13" t="n">
        <f aca="false">'M5 low-streak'!T18</f>
        <v>0.242424242424242</v>
      </c>
      <c r="K45" s="13" t="n">
        <f aca="false">'M5 low-streak'!U18</f>
        <v>0.178030303030303</v>
      </c>
      <c r="L45" s="16" t="n">
        <f aca="false">'M5 low-streak'!M18</f>
        <v>11.7172</v>
      </c>
      <c r="M45" s="15" t="n">
        <f aca="false">'M5 low-streak'!V18</f>
        <v>0.0977272727272727</v>
      </c>
      <c r="N45" s="15" t="n">
        <f aca="false">'M5 low-streak'!W18</f>
        <v>0.0443833333333333</v>
      </c>
      <c r="O45" s="14" t="n">
        <f aca="false">'M5 low-streak'!N18</f>
        <v>7</v>
      </c>
      <c r="P45" s="14" t="n">
        <f aca="false">'M5 low-streak'!O18</f>
        <v>6</v>
      </c>
    </row>
    <row r="46" customFormat="false" ht="15" hidden="false" customHeight="false" outlineLevel="0" collapsed="false">
      <c r="A46" s="8" t="s">
        <v>62</v>
      </c>
      <c r="B46" s="8" t="s">
        <v>59</v>
      </c>
      <c r="C46" s="8" t="s">
        <v>150</v>
      </c>
      <c r="D46" s="14" t="n">
        <f aca="false">'M5 low-streak'!C31</f>
        <v>288</v>
      </c>
      <c r="E46" s="19" t="n">
        <f aca="false">D46/258</f>
        <v>1.11627906976744</v>
      </c>
      <c r="F46" s="13" t="n">
        <f aca="false">'M5 low-streak'!P31</f>
        <v>0.170138888888889</v>
      </c>
      <c r="G46" s="13" t="n">
        <f aca="false">'M5 low-streak'!Q31</f>
        <v>0.541666666666667</v>
      </c>
      <c r="H46" s="13" t="n">
        <f aca="false">'M5 low-streak'!R31</f>
        <v>0.642361111111111</v>
      </c>
      <c r="I46" s="13" t="n">
        <f aca="false">'M5 low-streak'!S31</f>
        <v>0.541666666666667</v>
      </c>
      <c r="J46" s="13" t="n">
        <f aca="false">'M5 low-streak'!T31</f>
        <v>0.28125</v>
      </c>
      <c r="K46" s="13" t="n">
        <f aca="false">'M5 low-streak'!U31</f>
        <v>0.170138888888889</v>
      </c>
      <c r="L46" s="16" t="n">
        <f aca="false">'M5 low-streak'!M31</f>
        <v>13.4914</v>
      </c>
      <c r="M46" s="15" t="n">
        <f aca="false">'M5 low-streak'!V31</f>
        <v>0.104861111111111</v>
      </c>
      <c r="N46" s="15" t="n">
        <f aca="false">'M5 low-streak'!W31</f>
        <v>0.0468451388888889</v>
      </c>
      <c r="O46" s="14" t="n">
        <f aca="false">'M5 low-streak'!N31</f>
        <v>8</v>
      </c>
      <c r="P46" s="14" t="n">
        <f aca="false">'M5 low-streak'!O31</f>
        <v>7</v>
      </c>
    </row>
    <row r="47" customFormat="false" ht="15" hidden="false" customHeight="false" outlineLevel="0" collapsed="false">
      <c r="A47" s="8" t="s">
        <v>62</v>
      </c>
      <c r="B47" s="8" t="s">
        <v>59</v>
      </c>
      <c r="C47" s="8" t="s">
        <v>151</v>
      </c>
      <c r="D47" s="14" t="n">
        <f aca="false">'M5 low-streak'!C44</f>
        <v>297</v>
      </c>
      <c r="E47" s="19" t="n">
        <f aca="false">D47/257</f>
        <v>1.1556420233463</v>
      </c>
      <c r="F47" s="13" t="n">
        <f aca="false">'M5 low-streak'!P44</f>
        <v>0.195286195286195</v>
      </c>
      <c r="G47" s="13" t="n">
        <f aca="false">'M5 low-streak'!Q44</f>
        <v>0.518518518518519</v>
      </c>
      <c r="H47" s="13" t="n">
        <f aca="false">'M5 low-streak'!R44</f>
        <v>0.602693602693603</v>
      </c>
      <c r="I47" s="13" t="n">
        <f aca="false">'M5 low-streak'!S44</f>
        <v>0.518518518518519</v>
      </c>
      <c r="J47" s="13" t="n">
        <f aca="false">'M5 low-streak'!T44</f>
        <v>0.272727272727273</v>
      </c>
      <c r="K47" s="13" t="n">
        <f aca="false">'M5 low-streak'!U44</f>
        <v>0.195286195286195</v>
      </c>
      <c r="L47" s="16" t="n">
        <f aca="false">'M5 low-streak'!M44</f>
        <v>14.3111</v>
      </c>
      <c r="M47" s="15" t="n">
        <f aca="false">'M5 low-streak'!V44</f>
        <v>0.103030303030303</v>
      </c>
      <c r="N47" s="15" t="n">
        <f aca="false">'M5 low-streak'!W44</f>
        <v>0.0481855218855219</v>
      </c>
      <c r="O47" s="14" t="n">
        <f aca="false">'M5 low-streak'!N44</f>
        <v>7</v>
      </c>
      <c r="P47" s="14" t="n">
        <f aca="false">'M5 low-streak'!O44</f>
        <v>7</v>
      </c>
    </row>
    <row r="48" customFormat="false" ht="15" hidden="false" customHeight="false" outlineLevel="0" collapsed="false">
      <c r="A48" s="8" t="s">
        <v>62</v>
      </c>
      <c r="B48" s="8" t="s">
        <v>59</v>
      </c>
      <c r="C48" s="8" t="s">
        <v>152</v>
      </c>
      <c r="D48" s="14" t="n">
        <f aca="false">'M5 low-streak'!C57</f>
        <v>320</v>
      </c>
      <c r="E48" s="19" t="n">
        <f aca="false">D48/259</f>
        <v>1.23552123552124</v>
      </c>
      <c r="F48" s="13" t="n">
        <f aca="false">'M5 low-streak'!P57</f>
        <v>0.171875</v>
      </c>
      <c r="G48" s="13" t="n">
        <f aca="false">'M5 low-streak'!Q57</f>
        <v>0.509375</v>
      </c>
      <c r="H48" s="13" t="n">
        <f aca="false">'M5 low-streak'!R57</f>
        <v>0.63125</v>
      </c>
      <c r="I48" s="13" t="n">
        <f aca="false">'M5 low-streak'!S57</f>
        <v>0.509375</v>
      </c>
      <c r="J48" s="13" t="n">
        <f aca="false">'M5 low-streak'!T57</f>
        <v>0.278125</v>
      </c>
      <c r="K48" s="13" t="n">
        <f aca="false">'M5 low-streak'!U57</f>
        <v>0.171875</v>
      </c>
      <c r="L48" s="16" t="n">
        <f aca="false">'M5 low-streak'!M57</f>
        <v>11.1997</v>
      </c>
      <c r="M48" s="15" t="n">
        <f aca="false">'M5 low-streak'!V57</f>
        <v>0.055625</v>
      </c>
      <c r="N48" s="15" t="n">
        <f aca="false">'M5 low-streak'!W57</f>
        <v>0.0349990625</v>
      </c>
      <c r="O48" s="14" t="n">
        <f aca="false">'M5 low-streak'!N57</f>
        <v>7</v>
      </c>
      <c r="P48" s="14" t="n">
        <f aca="false">'M5 low-streak'!O57</f>
        <v>7</v>
      </c>
    </row>
    <row r="49" customFormat="false" ht="15" hidden="false" customHeight="false" outlineLevel="0" collapsed="false">
      <c r="A49" s="8" t="s">
        <v>62</v>
      </c>
      <c r="B49" s="8" t="s">
        <v>59</v>
      </c>
      <c r="C49" s="8" t="s">
        <v>153</v>
      </c>
      <c r="D49" s="14" t="n">
        <f aca="false">'M5 low-streak'!C70</f>
        <v>305</v>
      </c>
      <c r="E49" s="19" t="n">
        <f aca="false">D49/258</f>
        <v>1.18217054263566</v>
      </c>
      <c r="F49" s="13" t="n">
        <f aca="false">'M5 low-streak'!P70</f>
        <v>0.157377049180328</v>
      </c>
      <c r="G49" s="13" t="n">
        <f aca="false">'M5 low-streak'!Q70</f>
        <v>0.544262295081967</v>
      </c>
      <c r="H49" s="13" t="n">
        <f aca="false">'M5 low-streak'!R70</f>
        <v>0.636065573770492</v>
      </c>
      <c r="I49" s="13" t="n">
        <f aca="false">'M5 low-streak'!S70</f>
        <v>0.544262295081967</v>
      </c>
      <c r="J49" s="13" t="n">
        <f aca="false">'M5 low-streak'!T70</f>
        <v>0.249180327868852</v>
      </c>
      <c r="K49" s="13" t="n">
        <f aca="false">'M5 low-streak'!U70</f>
        <v>0.157377049180328</v>
      </c>
      <c r="L49" s="16" t="n">
        <f aca="false">'M5 low-streak'!M70</f>
        <v>23.7737</v>
      </c>
      <c r="M49" s="15" t="n">
        <f aca="false">'M5 low-streak'!V70</f>
        <v>0.0911475409836066</v>
      </c>
      <c r="N49" s="15" t="n">
        <f aca="false">'M5 low-streak'!W70</f>
        <v>0.0779465573770492</v>
      </c>
      <c r="O49" s="14" t="n">
        <f aca="false">'M5 low-streak'!N70</f>
        <v>11</v>
      </c>
      <c r="P49" s="14" t="n">
        <f aca="false">'M5 low-streak'!O70</f>
        <v>9</v>
      </c>
    </row>
    <row r="50" customFormat="false" ht="15" hidden="false" customHeight="false" outlineLevel="0" collapsed="false">
      <c r="A50" s="8" t="s">
        <v>62</v>
      </c>
      <c r="B50" s="8" t="s">
        <v>59</v>
      </c>
      <c r="C50" s="8" t="s">
        <v>154</v>
      </c>
      <c r="D50" s="14" t="n">
        <f aca="false">'M5 low-streak'!C81</f>
        <v>218</v>
      </c>
      <c r="E50" s="19" t="n">
        <f aca="false">D50/195</f>
        <v>1.11794871794872</v>
      </c>
      <c r="F50" s="13" t="n">
        <f aca="false">'M5 low-streak'!P81</f>
        <v>0.165137614678899</v>
      </c>
      <c r="G50" s="13" t="n">
        <f aca="false">'M5 low-streak'!Q81</f>
        <v>0.490825688073395</v>
      </c>
      <c r="H50" s="13" t="n">
        <f aca="false">'M5 low-streak'!R81</f>
        <v>0.628440366972477</v>
      </c>
      <c r="I50" s="13" t="n">
        <f aca="false">'M5 low-streak'!S81</f>
        <v>0.490825688073395</v>
      </c>
      <c r="J50" s="13" t="n">
        <f aca="false">'M5 low-streak'!T81</f>
        <v>0.243119266055046</v>
      </c>
      <c r="K50" s="13" t="n">
        <f aca="false">'M5 low-streak'!U81</f>
        <v>0.165137614678899</v>
      </c>
      <c r="L50" s="16" t="n">
        <f aca="false">'M5 low-streak'!M81</f>
        <v>1.5942</v>
      </c>
      <c r="M50" s="15" t="n">
        <f aca="false">'M5 low-streak'!V81</f>
        <v>0.0165137614678899</v>
      </c>
      <c r="N50" s="15" t="n">
        <f aca="false">'M5 low-streak'!W81</f>
        <v>0.00731284403669725</v>
      </c>
      <c r="O50" s="14" t="n">
        <f aca="false">'M5 low-streak'!N81</f>
        <v>5</v>
      </c>
      <c r="P50" s="14" t="n">
        <f aca="false">'M5 low-streak'!O81</f>
        <v>8</v>
      </c>
    </row>
    <row r="51" customFormat="false" ht="15" hidden="false" customHeight="false" outlineLevel="0" collapsed="false">
      <c r="A51" s="5" t="s">
        <v>62</v>
      </c>
      <c r="B51" s="5" t="s">
        <v>59</v>
      </c>
      <c r="C51" s="5" t="s">
        <v>155</v>
      </c>
      <c r="D51" s="20" t="n">
        <f aca="false">'M5 low-streak'!C82</f>
        <v>1692</v>
      </c>
      <c r="E51" s="21" t="n">
        <f aca="false">D51/1485</f>
        <v>1.13939393939394</v>
      </c>
      <c r="F51" s="22" t="n">
        <f aca="false">'M5 low-streak'!P82</f>
        <v>0.173167848699764</v>
      </c>
      <c r="G51" s="22" t="n">
        <f aca="false">'M5 low-streak'!Q82</f>
        <v>0.523640661938534</v>
      </c>
      <c r="H51" s="22" t="n">
        <f aca="false">'M5 low-streak'!R82</f>
        <v>0.627659574468085</v>
      </c>
      <c r="I51" s="22" t="n">
        <f aca="false">'M5 low-streak'!S82</f>
        <v>0.523640661938534</v>
      </c>
      <c r="J51" s="22" t="n">
        <f aca="false">'M5 low-streak'!T82</f>
        <v>0.262411347517731</v>
      </c>
      <c r="K51" s="22" t="n">
        <f aca="false">'M5 low-streak'!U82</f>
        <v>0.173167848699764</v>
      </c>
      <c r="L51" s="23" t="n">
        <f aca="false">'M5 low-streak'!M82</f>
        <v>76.0873</v>
      </c>
      <c r="M51" s="24" t="n">
        <f aca="false">'M5 low-streak'!V82</f>
        <v>0.0802600472813239</v>
      </c>
      <c r="N51" s="24" t="n">
        <f aca="false">'M5 low-streak'!W82</f>
        <v>0.044968853427896</v>
      </c>
      <c r="O51" s="20" t="n">
        <f aca="false">'M5 low-streak'!N82</f>
        <v>11</v>
      </c>
      <c r="P51" s="20" t="n">
        <f aca="false">'M5 low-streak'!O82</f>
        <v>9</v>
      </c>
    </row>
    <row r="53" customFormat="false" ht="15" hidden="false" customHeight="false" outlineLevel="0" collapsed="false">
      <c r="A53" s="8" t="s">
        <v>87</v>
      </c>
      <c r="B53" s="8" t="s">
        <v>148</v>
      </c>
      <c r="C53" s="8" t="s">
        <v>149</v>
      </c>
      <c r="D53" s="14" t="n">
        <f aca="false">'M15 default'!C18</f>
        <v>552</v>
      </c>
      <c r="E53" s="19" t="n">
        <f aca="false">D53/258</f>
        <v>2.13953488372093</v>
      </c>
      <c r="F53" s="13" t="n">
        <f aca="false">'M15 default'!P18</f>
        <v>0.340579710144928</v>
      </c>
      <c r="G53" s="13" t="n">
        <f aca="false">'M15 default'!Q18</f>
        <v>0.340579710144928</v>
      </c>
      <c r="H53" s="13" t="n">
        <f aca="false">'M15 default'!R18</f>
        <v>0.610507246376812</v>
      </c>
      <c r="I53" s="13" t="n">
        <f aca="false">'M15 default'!S18</f>
        <v>0.518115942028986</v>
      </c>
      <c r="J53" s="13" t="n">
        <f aca="false">'M15 default'!T18</f>
        <v>0.414855072463768</v>
      </c>
      <c r="K53" s="13" t="n">
        <f aca="false">'M15 default'!U18</f>
        <v>0.340579710144928</v>
      </c>
      <c r="L53" s="16" t="n">
        <f aca="false">'M15 default'!M18</f>
        <v>-30.789</v>
      </c>
      <c r="M53" s="15" t="n">
        <f aca="false">'M15 default'!V18</f>
        <v>0.0217391304347826</v>
      </c>
      <c r="N53" s="15" t="n">
        <f aca="false">'M15 default'!W18</f>
        <v>-0.0557771739130435</v>
      </c>
      <c r="O53" s="14" t="n">
        <f aca="false">'M15 default'!N18</f>
        <v>6</v>
      </c>
      <c r="P53" s="14" t="n">
        <f aca="false">'M15 default'!O18</f>
        <v>12</v>
      </c>
    </row>
    <row r="54" customFormat="false" ht="15" hidden="false" customHeight="false" outlineLevel="0" collapsed="false">
      <c r="A54" s="8" t="s">
        <v>87</v>
      </c>
      <c r="B54" s="8" t="s">
        <v>148</v>
      </c>
      <c r="C54" s="8" t="s">
        <v>150</v>
      </c>
      <c r="D54" s="14" t="n">
        <f aca="false">'M15 default'!C31</f>
        <v>527</v>
      </c>
      <c r="E54" s="19" t="n">
        <f aca="false">D54/258</f>
        <v>2.04263565891473</v>
      </c>
      <c r="F54" s="13" t="n">
        <f aca="false">'M15 default'!P31</f>
        <v>0.324478178368121</v>
      </c>
      <c r="G54" s="13" t="n">
        <f aca="false">'M15 default'!Q31</f>
        <v>0.324478178368121</v>
      </c>
      <c r="H54" s="13" t="n">
        <f aca="false">'M15 default'!R31</f>
        <v>0.631878557874763</v>
      </c>
      <c r="I54" s="13" t="n">
        <f aca="false">'M15 default'!S31</f>
        <v>0.495256166982922</v>
      </c>
      <c r="J54" s="13" t="n">
        <f aca="false">'M15 default'!T31</f>
        <v>0.387096774193548</v>
      </c>
      <c r="K54" s="13" t="n">
        <f aca="false">'M15 default'!U31</f>
        <v>0.324478178368121</v>
      </c>
      <c r="L54" s="16" t="n">
        <f aca="false">'M15 default'!M31</f>
        <v>-54.0192</v>
      </c>
      <c r="M54" s="15" t="n">
        <f aca="false">'M15 default'!V31</f>
        <v>-0.0265654648956357</v>
      </c>
      <c r="N54" s="15" t="n">
        <f aca="false">'M15 default'!W31</f>
        <v>-0.102503225806452</v>
      </c>
      <c r="O54" s="14" t="n">
        <f aca="false">'M15 default'!N31</f>
        <v>5</v>
      </c>
      <c r="P54" s="14" t="n">
        <f aca="false">'M15 default'!O31</f>
        <v>11</v>
      </c>
    </row>
    <row r="55" customFormat="false" ht="15" hidden="false" customHeight="false" outlineLevel="0" collapsed="false">
      <c r="A55" s="8" t="s">
        <v>87</v>
      </c>
      <c r="B55" s="8" t="s">
        <v>148</v>
      </c>
      <c r="C55" s="8" t="s">
        <v>151</v>
      </c>
      <c r="D55" s="14" t="n">
        <f aca="false">'M15 default'!C44</f>
        <v>531</v>
      </c>
      <c r="E55" s="19" t="n">
        <f aca="false">D55/257</f>
        <v>2.06614785992218</v>
      </c>
      <c r="F55" s="13" t="n">
        <f aca="false">'M15 default'!P44</f>
        <v>0.312617702448211</v>
      </c>
      <c r="G55" s="13" t="n">
        <f aca="false">'M15 default'!Q44</f>
        <v>0.312617702448211</v>
      </c>
      <c r="H55" s="13" t="n">
        <f aca="false">'M15 default'!R44</f>
        <v>0.587570621468927</v>
      </c>
      <c r="I55" s="13" t="n">
        <f aca="false">'M15 default'!S44</f>
        <v>0.470809792843691</v>
      </c>
      <c r="J55" s="13" t="n">
        <f aca="false">'M15 default'!T44</f>
        <v>0.361581920903955</v>
      </c>
      <c r="K55" s="13" t="n">
        <f aca="false">'M15 default'!U44</f>
        <v>0.312617702448211</v>
      </c>
      <c r="L55" s="16" t="n">
        <f aca="false">'M15 default'!M44</f>
        <v>-79.0707</v>
      </c>
      <c r="M55" s="15" t="n">
        <f aca="false">'M15 default'!V44</f>
        <v>-0.0621468926553672</v>
      </c>
      <c r="N55" s="15" t="n">
        <f aca="false">'M15 default'!W44</f>
        <v>-0.148909039548023</v>
      </c>
      <c r="O55" s="14" t="n">
        <f aca="false">'M15 default'!N44</f>
        <v>5</v>
      </c>
      <c r="P55" s="14" t="n">
        <f aca="false">'M15 default'!O44</f>
        <v>16</v>
      </c>
    </row>
    <row r="56" customFormat="false" ht="15" hidden="false" customHeight="false" outlineLevel="0" collapsed="false">
      <c r="A56" s="8" t="s">
        <v>87</v>
      </c>
      <c r="B56" s="8" t="s">
        <v>148</v>
      </c>
      <c r="C56" s="8" t="s">
        <v>152</v>
      </c>
      <c r="D56" s="14" t="n">
        <f aca="false">'M15 default'!C57</f>
        <v>571</v>
      </c>
      <c r="E56" s="19" t="n">
        <f aca="false">D56/259</f>
        <v>2.2046332046332</v>
      </c>
      <c r="F56" s="13" t="n">
        <f aca="false">'M15 default'!P57</f>
        <v>0.330998248686515</v>
      </c>
      <c r="G56" s="13" t="n">
        <f aca="false">'M15 default'!Q57</f>
        <v>0.330998248686515</v>
      </c>
      <c r="H56" s="13" t="n">
        <f aca="false">'M15 default'!R57</f>
        <v>0.574430823117338</v>
      </c>
      <c r="I56" s="13" t="n">
        <f aca="false">'M15 default'!S57</f>
        <v>0.464098073555166</v>
      </c>
      <c r="J56" s="13" t="n">
        <f aca="false">'M15 default'!T57</f>
        <v>0.376532399299475</v>
      </c>
      <c r="K56" s="13" t="n">
        <f aca="false">'M15 default'!U57</f>
        <v>0.330998248686515</v>
      </c>
      <c r="L56" s="16" t="n">
        <f aca="false">'M15 default'!M57</f>
        <v>-21.3943</v>
      </c>
      <c r="M56" s="15" t="n">
        <f aca="false">'M15 default'!V57</f>
        <v>-0.00700525394045534</v>
      </c>
      <c r="N56" s="15" t="n">
        <f aca="false">'M15 default'!W57</f>
        <v>-0.0374681260945709</v>
      </c>
      <c r="O56" s="14" t="n">
        <f aca="false">'M15 default'!N57</f>
        <v>4</v>
      </c>
      <c r="P56" s="14" t="n">
        <f aca="false">'M15 default'!O57</f>
        <v>13</v>
      </c>
    </row>
    <row r="57" customFormat="false" ht="15" hidden="false" customHeight="false" outlineLevel="0" collapsed="false">
      <c r="A57" s="8" t="s">
        <v>87</v>
      </c>
      <c r="B57" s="8" t="s">
        <v>148</v>
      </c>
      <c r="C57" s="8" t="s">
        <v>153</v>
      </c>
      <c r="D57" s="14" t="n">
        <f aca="false">'M15 default'!C70</f>
        <v>573</v>
      </c>
      <c r="E57" s="19" t="n">
        <f aca="false">D57/258</f>
        <v>2.22093023255814</v>
      </c>
      <c r="F57" s="13" t="n">
        <f aca="false">'M15 default'!P70</f>
        <v>0.336823734729494</v>
      </c>
      <c r="G57" s="13" t="n">
        <f aca="false">'M15 default'!Q70</f>
        <v>0.336823734729494</v>
      </c>
      <c r="H57" s="13" t="n">
        <f aca="false">'M15 default'!R70</f>
        <v>0.62478184991274</v>
      </c>
      <c r="I57" s="13" t="n">
        <f aca="false">'M15 default'!S70</f>
        <v>0.485165794066318</v>
      </c>
      <c r="J57" s="13" t="n">
        <f aca="false">'M15 default'!T70</f>
        <v>0.383944153577661</v>
      </c>
      <c r="K57" s="13" t="n">
        <f aca="false">'M15 default'!U70</f>
        <v>0.336823734729494</v>
      </c>
      <c r="L57" s="16" t="n">
        <f aca="false">'M15 default'!M70</f>
        <v>-4.1867</v>
      </c>
      <c r="M57" s="15" t="n">
        <f aca="false">'M15 default'!V70</f>
        <v>0.0104712041884817</v>
      </c>
      <c r="N57" s="15" t="n">
        <f aca="false">'M15 default'!W70</f>
        <v>-0.00730663176265271</v>
      </c>
      <c r="O57" s="14" t="n">
        <f aca="false">'M15 default'!N70</f>
        <v>4</v>
      </c>
      <c r="P57" s="14" t="n">
        <f aca="false">'M15 default'!O70</f>
        <v>18</v>
      </c>
    </row>
    <row r="58" customFormat="false" ht="15" hidden="false" customHeight="false" outlineLevel="0" collapsed="false">
      <c r="A58" s="8" t="s">
        <v>87</v>
      </c>
      <c r="B58" s="8" t="s">
        <v>148</v>
      </c>
      <c r="C58" s="8" t="s">
        <v>154</v>
      </c>
      <c r="D58" s="14" t="n">
        <f aca="false">'M15 default'!C81</f>
        <v>415</v>
      </c>
      <c r="E58" s="19" t="n">
        <f aca="false">D58/195</f>
        <v>2.12820512820513</v>
      </c>
      <c r="F58" s="13" t="n">
        <f aca="false">'M15 default'!P81</f>
        <v>0.349397590361446</v>
      </c>
      <c r="G58" s="13" t="n">
        <f aca="false">'M15 default'!Q81</f>
        <v>0.349397590361446</v>
      </c>
      <c r="H58" s="13" t="n">
        <f aca="false">'M15 default'!R81</f>
        <v>0.6</v>
      </c>
      <c r="I58" s="13" t="n">
        <f aca="false">'M15 default'!S81</f>
        <v>0.481927710843374</v>
      </c>
      <c r="J58" s="13" t="n">
        <f aca="false">'M15 default'!T81</f>
        <v>0.407228915662651</v>
      </c>
      <c r="K58" s="13" t="n">
        <f aca="false">'M15 default'!U81</f>
        <v>0.349397590361446</v>
      </c>
      <c r="L58" s="16" t="n">
        <f aca="false">'M15 default'!M81</f>
        <v>15.3783</v>
      </c>
      <c r="M58" s="15" t="n">
        <f aca="false">'M15 default'!V81</f>
        <v>0.0481927710843374</v>
      </c>
      <c r="N58" s="15" t="n">
        <f aca="false">'M15 default'!W81</f>
        <v>0.0370561445783133</v>
      </c>
      <c r="O58" s="14" t="n">
        <f aca="false">'M15 default'!N81</f>
        <v>4</v>
      </c>
      <c r="P58" s="14" t="n">
        <f aca="false">'M15 default'!O81</f>
        <v>11</v>
      </c>
    </row>
    <row r="59" customFormat="false" ht="15" hidden="false" customHeight="false" outlineLevel="0" collapsed="false">
      <c r="A59" s="5" t="s">
        <v>87</v>
      </c>
      <c r="B59" s="5" t="s">
        <v>148</v>
      </c>
      <c r="C59" s="5" t="s">
        <v>155</v>
      </c>
      <c r="D59" s="20" t="n">
        <f aca="false">'M15 default'!C82</f>
        <v>3169</v>
      </c>
      <c r="E59" s="21" t="n">
        <f aca="false">D59/1485</f>
        <v>2.13400673400673</v>
      </c>
      <c r="F59" s="22" t="n">
        <f aca="false">'M15 default'!P82</f>
        <v>0.331965919848533</v>
      </c>
      <c r="G59" s="22" t="n">
        <f aca="false">'M15 default'!Q82</f>
        <v>0.331965919848533</v>
      </c>
      <c r="H59" s="22" t="n">
        <f aca="false">'M15 default'!R82</f>
        <v>0.604922688545282</v>
      </c>
      <c r="I59" s="22" t="n">
        <f aca="false">'M15 default'!S82</f>
        <v>0.485957715367624</v>
      </c>
      <c r="J59" s="22" t="n">
        <f aca="false">'M15 default'!T82</f>
        <v>0.387819501420006</v>
      </c>
      <c r="K59" s="22" t="n">
        <f aca="false">'M15 default'!U82</f>
        <v>0.331965919848533</v>
      </c>
      <c r="L59" s="23" t="n">
        <f aca="false">'M15 default'!M82</f>
        <v>-174.0816</v>
      </c>
      <c r="M59" s="24" t="n">
        <f aca="false">'M15 default'!V82</f>
        <v>-0.00410224045440202</v>
      </c>
      <c r="N59" s="24" t="n">
        <f aca="false">'M15 default'!W82</f>
        <v>-0.0549326601451562</v>
      </c>
      <c r="O59" s="20" t="n">
        <f aca="false">'M15 default'!N82</f>
        <v>6</v>
      </c>
      <c r="P59" s="20" t="n">
        <f aca="false">'M15 default'!O82</f>
        <v>18</v>
      </c>
    </row>
    <row r="61" customFormat="false" ht="15" hidden="false" customHeight="false" outlineLevel="0" collapsed="false">
      <c r="A61" s="8" t="s">
        <v>87</v>
      </c>
      <c r="B61" s="8" t="s">
        <v>24</v>
      </c>
      <c r="C61" s="8" t="s">
        <v>149</v>
      </c>
      <c r="D61" s="14" t="n">
        <f aca="false">'M15 best'!C18</f>
        <v>222</v>
      </c>
      <c r="E61" s="19" t="n">
        <f aca="false">D61/258</f>
        <v>0.86046511627907</v>
      </c>
      <c r="F61" s="13" t="n">
        <f aca="false">'M15 best'!P18</f>
        <v>0.234234234234234</v>
      </c>
      <c r="G61" s="13" t="n">
        <f aca="false">'M15 best'!Q18</f>
        <v>0.441441441441441</v>
      </c>
      <c r="H61" s="13" t="n">
        <f aca="false">'M15 best'!R18</f>
        <v>0.666666666666667</v>
      </c>
      <c r="I61" s="13" t="n">
        <f aca="false">'M15 best'!S18</f>
        <v>0.54954954954955</v>
      </c>
      <c r="J61" s="13" t="n">
        <f aca="false">'M15 best'!T18</f>
        <v>0.441441441441441</v>
      </c>
      <c r="K61" s="13" t="n">
        <f aca="false">'M15 best'!U18</f>
        <v>0.234234234234234</v>
      </c>
      <c r="L61" s="16" t="n">
        <f aca="false">'M15 best'!M18</f>
        <v>17.9557</v>
      </c>
      <c r="M61" s="15" t="n">
        <f aca="false">'M15 best'!V18</f>
        <v>0.117117117117117</v>
      </c>
      <c r="N61" s="15" t="n">
        <f aca="false">'M15 best'!W18</f>
        <v>0.0808815315315315</v>
      </c>
      <c r="O61" s="14" t="n">
        <f aca="false">'M15 best'!N18</f>
        <v>8</v>
      </c>
      <c r="P61" s="14" t="n">
        <f aca="false">'M15 best'!O18</f>
        <v>9</v>
      </c>
    </row>
    <row r="62" customFormat="false" ht="15" hidden="false" customHeight="false" outlineLevel="0" collapsed="false">
      <c r="A62" s="8" t="s">
        <v>87</v>
      </c>
      <c r="B62" s="8" t="s">
        <v>24</v>
      </c>
      <c r="C62" s="8" t="s">
        <v>150</v>
      </c>
      <c r="D62" s="14" t="n">
        <f aca="false">'M15 best'!C31</f>
        <v>246</v>
      </c>
      <c r="E62" s="19" t="n">
        <f aca="false">D62/258</f>
        <v>0.953488372093023</v>
      </c>
      <c r="F62" s="13" t="n">
        <f aca="false">'M15 best'!P31</f>
        <v>0.260162601626016</v>
      </c>
      <c r="G62" s="13" t="n">
        <f aca="false">'M15 best'!Q31</f>
        <v>0.463414634146342</v>
      </c>
      <c r="H62" s="13" t="n">
        <f aca="false">'M15 best'!R31</f>
        <v>0.658536585365854</v>
      </c>
      <c r="I62" s="13" t="n">
        <f aca="false">'M15 best'!S31</f>
        <v>0.556910569105691</v>
      </c>
      <c r="J62" s="13" t="n">
        <f aca="false">'M15 best'!T31</f>
        <v>0.463414634146342</v>
      </c>
      <c r="K62" s="13" t="n">
        <f aca="false">'M15 best'!U31</f>
        <v>0.260162601626016</v>
      </c>
      <c r="L62" s="16" t="n">
        <f aca="false">'M15 best'!M31</f>
        <v>35.9094</v>
      </c>
      <c r="M62" s="15" t="n">
        <f aca="false">'M15 best'!V31</f>
        <v>0.186991869918699</v>
      </c>
      <c r="N62" s="15" t="n">
        <f aca="false">'M15 best'!W31</f>
        <v>0.145973170731707</v>
      </c>
      <c r="O62" s="14" t="n">
        <f aca="false">'M15 best'!N31</f>
        <v>7</v>
      </c>
      <c r="P62" s="14" t="n">
        <f aca="false">'M15 best'!O31</f>
        <v>7</v>
      </c>
    </row>
    <row r="63" customFormat="false" ht="15" hidden="false" customHeight="false" outlineLevel="0" collapsed="false">
      <c r="A63" s="8" t="s">
        <v>87</v>
      </c>
      <c r="B63" s="8" t="s">
        <v>24</v>
      </c>
      <c r="C63" s="8" t="s">
        <v>151</v>
      </c>
      <c r="D63" s="14" t="n">
        <f aca="false">'M15 best'!C44</f>
        <v>219</v>
      </c>
      <c r="E63" s="19" t="n">
        <f aca="false">D63/257</f>
        <v>0.852140077821012</v>
      </c>
      <c r="F63" s="13" t="n">
        <f aca="false">'M15 best'!P44</f>
        <v>0.273972602739726</v>
      </c>
      <c r="G63" s="13" t="n">
        <f aca="false">'M15 best'!Q44</f>
        <v>0.474885844748858</v>
      </c>
      <c r="H63" s="13" t="n">
        <f aca="false">'M15 best'!R44</f>
        <v>0.707762557077626</v>
      </c>
      <c r="I63" s="13" t="n">
        <f aca="false">'M15 best'!S44</f>
        <v>0.584474885844749</v>
      </c>
      <c r="J63" s="13" t="n">
        <f aca="false">'M15 best'!T44</f>
        <v>0.474885844748858</v>
      </c>
      <c r="K63" s="13" t="n">
        <f aca="false">'M15 best'!U44</f>
        <v>0.273972602739726</v>
      </c>
      <c r="L63" s="16" t="n">
        <f aca="false">'M15 best'!M44</f>
        <v>39.0532</v>
      </c>
      <c r="M63" s="15" t="n">
        <f aca="false">'M15 best'!V44</f>
        <v>0.223744292237443</v>
      </c>
      <c r="N63" s="15" t="n">
        <f aca="false">'M15 best'!W44</f>
        <v>0.178325114155251</v>
      </c>
      <c r="O63" s="14" t="n">
        <f aca="false">'M15 best'!N44</f>
        <v>7</v>
      </c>
      <c r="P63" s="14" t="n">
        <f aca="false">'M15 best'!O44</f>
        <v>17</v>
      </c>
    </row>
    <row r="64" customFormat="false" ht="15" hidden="false" customHeight="false" outlineLevel="0" collapsed="false">
      <c r="A64" s="8" t="s">
        <v>87</v>
      </c>
      <c r="B64" s="8" t="s">
        <v>24</v>
      </c>
      <c r="C64" s="8" t="s">
        <v>152</v>
      </c>
      <c r="D64" s="14" t="n">
        <f aca="false">'M15 best'!C57</f>
        <v>246</v>
      </c>
      <c r="E64" s="19" t="n">
        <f aca="false">D64/259</f>
        <v>0.94980694980695</v>
      </c>
      <c r="F64" s="13" t="n">
        <f aca="false">'M15 best'!P57</f>
        <v>0.207317073170732</v>
      </c>
      <c r="G64" s="13" t="n">
        <f aca="false">'M15 best'!Q57</f>
        <v>0.422764227642276</v>
      </c>
      <c r="H64" s="13" t="n">
        <f aca="false">'M15 best'!R57</f>
        <v>0.638211382113821</v>
      </c>
      <c r="I64" s="13" t="n">
        <f aca="false">'M15 best'!S57</f>
        <v>0.532520325203252</v>
      </c>
      <c r="J64" s="13" t="n">
        <f aca="false">'M15 best'!T57</f>
        <v>0.422764227642276</v>
      </c>
      <c r="K64" s="13" t="n">
        <f aca="false">'M15 best'!U57</f>
        <v>0.207317073170732</v>
      </c>
      <c r="L64" s="16" t="n">
        <f aca="false">'M15 best'!M57</f>
        <v>9.5198</v>
      </c>
      <c r="M64" s="15" t="n">
        <f aca="false">'M15 best'!V57</f>
        <v>0.0528455284552846</v>
      </c>
      <c r="N64" s="15" t="n">
        <f aca="false">'M15 best'!W57</f>
        <v>0.0386983739837398</v>
      </c>
      <c r="O64" s="14" t="n">
        <f aca="false">'M15 best'!N57</f>
        <v>5</v>
      </c>
      <c r="P64" s="14" t="n">
        <f aca="false">'M15 best'!O57</f>
        <v>7</v>
      </c>
    </row>
    <row r="65" customFormat="false" ht="15" hidden="false" customHeight="false" outlineLevel="0" collapsed="false">
      <c r="A65" s="8" t="s">
        <v>87</v>
      </c>
      <c r="B65" s="8" t="s">
        <v>24</v>
      </c>
      <c r="C65" s="8" t="s">
        <v>153</v>
      </c>
      <c r="D65" s="14" t="n">
        <f aca="false">'M15 best'!C70</f>
        <v>270</v>
      </c>
      <c r="E65" s="19" t="n">
        <f aca="false">D65/258</f>
        <v>1.04651162790698</v>
      </c>
      <c r="F65" s="13" t="n">
        <f aca="false">'M15 best'!P70</f>
        <v>0.288888888888889</v>
      </c>
      <c r="G65" s="13" t="n">
        <f aca="false">'M15 best'!Q70</f>
        <v>0.462962962962963</v>
      </c>
      <c r="H65" s="13" t="n">
        <f aca="false">'M15 best'!R70</f>
        <v>0.640740740740741</v>
      </c>
      <c r="I65" s="13" t="n">
        <f aca="false">'M15 best'!S70</f>
        <v>0.540740740740741</v>
      </c>
      <c r="J65" s="13" t="n">
        <f aca="false">'M15 best'!T70</f>
        <v>0.462962962962963</v>
      </c>
      <c r="K65" s="13" t="n">
        <f aca="false">'M15 best'!U70</f>
        <v>0.288888888888889</v>
      </c>
      <c r="L65" s="16" t="n">
        <f aca="false">'M15 best'!M70</f>
        <v>55.4431</v>
      </c>
      <c r="M65" s="15" t="n">
        <f aca="false">'M15 best'!V70</f>
        <v>0.214814814814815</v>
      </c>
      <c r="N65" s="15" t="n">
        <f aca="false">'M15 best'!W70</f>
        <v>0.205344814814815</v>
      </c>
      <c r="O65" s="14" t="n">
        <f aca="false">'M15 best'!N70</f>
        <v>5</v>
      </c>
      <c r="P65" s="14" t="n">
        <f aca="false">'M15 best'!O70</f>
        <v>8</v>
      </c>
    </row>
    <row r="66" customFormat="false" ht="15" hidden="false" customHeight="false" outlineLevel="0" collapsed="false">
      <c r="A66" s="8" t="s">
        <v>87</v>
      </c>
      <c r="B66" s="8" t="s">
        <v>24</v>
      </c>
      <c r="C66" s="8" t="s">
        <v>154</v>
      </c>
      <c r="D66" s="14" t="n">
        <f aca="false">'M15 best'!C81</f>
        <v>185</v>
      </c>
      <c r="E66" s="19" t="n">
        <f aca="false">D66/195</f>
        <v>0.948717948717949</v>
      </c>
      <c r="F66" s="13" t="n">
        <f aca="false">'M15 best'!P81</f>
        <v>0.237837837837838</v>
      </c>
      <c r="G66" s="13" t="n">
        <f aca="false">'M15 best'!Q81</f>
        <v>0.45945945945946</v>
      </c>
      <c r="H66" s="13" t="n">
        <f aca="false">'M15 best'!R81</f>
        <v>0.675675675675676</v>
      </c>
      <c r="I66" s="13" t="n">
        <f aca="false">'M15 best'!S81</f>
        <v>0.567567567567568</v>
      </c>
      <c r="J66" s="13" t="n">
        <f aca="false">'M15 best'!T81</f>
        <v>0.45945945945946</v>
      </c>
      <c r="K66" s="13" t="n">
        <f aca="false">'M15 best'!U81</f>
        <v>0.237837837837838</v>
      </c>
      <c r="L66" s="16" t="n">
        <f aca="false">'M15 best'!M81</f>
        <v>27.8622</v>
      </c>
      <c r="M66" s="15" t="n">
        <f aca="false">'M15 best'!V81</f>
        <v>0.156756756756757</v>
      </c>
      <c r="N66" s="15" t="n">
        <f aca="false">'M15 best'!W81</f>
        <v>0.150606486486487</v>
      </c>
      <c r="O66" s="14" t="n">
        <f aca="false">'M15 best'!N81</f>
        <v>5</v>
      </c>
      <c r="P66" s="14" t="n">
        <f aca="false">'M15 best'!O81</f>
        <v>7</v>
      </c>
    </row>
    <row r="67" customFormat="false" ht="15" hidden="false" customHeight="false" outlineLevel="0" collapsed="false">
      <c r="A67" s="5" t="s">
        <v>87</v>
      </c>
      <c r="B67" s="5" t="s">
        <v>24</v>
      </c>
      <c r="C67" s="5" t="s">
        <v>155</v>
      </c>
      <c r="D67" s="20" t="n">
        <f aca="false">'M15 best'!C82</f>
        <v>1388</v>
      </c>
      <c r="E67" s="21" t="n">
        <f aca="false">D67/1485</f>
        <v>0.934680134680135</v>
      </c>
      <c r="F67" s="22" t="n">
        <f aca="false">'M15 best'!P82</f>
        <v>0.251440922190202</v>
      </c>
      <c r="G67" s="22" t="n">
        <f aca="false">'M15 best'!Q82</f>
        <v>0.453890489913545</v>
      </c>
      <c r="H67" s="22" t="n">
        <f aca="false">'M15 best'!R82</f>
        <v>0.662824207492795</v>
      </c>
      <c r="I67" s="22" t="n">
        <f aca="false">'M15 best'!S82</f>
        <v>0.554034582132565</v>
      </c>
      <c r="J67" s="22" t="n">
        <f aca="false">'M15 best'!T82</f>
        <v>0.453890489913545</v>
      </c>
      <c r="K67" s="22" t="n">
        <f aca="false">'M15 best'!U82</f>
        <v>0.251440922190202</v>
      </c>
      <c r="L67" s="23" t="n">
        <f aca="false">'M15 best'!M82</f>
        <v>185.7434</v>
      </c>
      <c r="M67" s="24" t="n">
        <f aca="false">'M15 best'!V82</f>
        <v>0.159221902017291</v>
      </c>
      <c r="N67" s="24" t="n">
        <f aca="false">'M15 best'!W82</f>
        <v>0.133820893371758</v>
      </c>
      <c r="O67" s="20" t="n">
        <f aca="false">'M15 best'!N82</f>
        <v>8</v>
      </c>
      <c r="P67" s="20" t="n">
        <f aca="false">'M15 best'!O82</f>
        <v>17</v>
      </c>
    </row>
    <row r="69" customFormat="false" ht="15" hidden="false" customHeight="false" outlineLevel="0" collapsed="false">
      <c r="A69" s="8" t="s">
        <v>87</v>
      </c>
      <c r="B69" s="8" t="s">
        <v>59</v>
      </c>
      <c r="C69" s="8" t="s">
        <v>149</v>
      </c>
      <c r="D69" s="14" t="n">
        <f aca="false">'M15 low-streak'!C18</f>
        <v>180</v>
      </c>
      <c r="E69" s="19" t="n">
        <f aca="false">D69/258</f>
        <v>0.697674418604651</v>
      </c>
      <c r="F69" s="13" t="n">
        <f aca="false">'M15 low-streak'!P18</f>
        <v>0.261111111111111</v>
      </c>
      <c r="G69" s="13" t="n">
        <f aca="false">'M15 low-streak'!Q18</f>
        <v>0.677777777777778</v>
      </c>
      <c r="H69" s="13" t="n">
        <f aca="false">'M15 low-streak'!R18</f>
        <v>0.677777777777778</v>
      </c>
      <c r="I69" s="13" t="n">
        <f aca="false">'M15 low-streak'!S18</f>
        <v>0.561111111111111</v>
      </c>
      <c r="J69" s="13" t="n">
        <f aca="false">'M15 low-streak'!T18</f>
        <v>0.455555555555556</v>
      </c>
      <c r="K69" s="13" t="n">
        <f aca="false">'M15 low-streak'!U18</f>
        <v>0.261111111111111</v>
      </c>
      <c r="L69" s="16" t="n">
        <f aca="false">'M15 low-streak'!M18</f>
        <v>13.4464</v>
      </c>
      <c r="M69" s="15" t="n">
        <f aca="false">'M15 low-streak'!V18</f>
        <v>0.110777777777778</v>
      </c>
      <c r="N69" s="15" t="n">
        <f aca="false">'M15 low-streak'!W18</f>
        <v>0.0747022222222222</v>
      </c>
      <c r="O69" s="14" t="n">
        <f aca="false">'M15 low-streak'!N18</f>
        <v>18</v>
      </c>
      <c r="P69" s="14" t="n">
        <f aca="false">'M15 low-streak'!O18</f>
        <v>4</v>
      </c>
    </row>
    <row r="70" customFormat="false" ht="15" hidden="false" customHeight="false" outlineLevel="0" collapsed="false">
      <c r="A70" s="8" t="s">
        <v>87</v>
      </c>
      <c r="B70" s="8" t="s">
        <v>59</v>
      </c>
      <c r="C70" s="8" t="s">
        <v>150</v>
      </c>
      <c r="D70" s="14" t="n">
        <f aca="false">'M15 low-streak'!C31</f>
        <v>220</v>
      </c>
      <c r="E70" s="19" t="n">
        <f aca="false">D70/258</f>
        <v>0.852713178294574</v>
      </c>
      <c r="F70" s="13" t="n">
        <f aca="false">'M15 low-streak'!P31</f>
        <v>0.272727272727273</v>
      </c>
      <c r="G70" s="13" t="n">
        <f aca="false">'M15 low-streak'!Q31</f>
        <v>0.663636363636364</v>
      </c>
      <c r="H70" s="13" t="n">
        <f aca="false">'M15 low-streak'!R31</f>
        <v>0.663636363636364</v>
      </c>
      <c r="I70" s="13" t="n">
        <f aca="false">'M15 low-streak'!S31</f>
        <v>0.554545454545455</v>
      </c>
      <c r="J70" s="13" t="n">
        <f aca="false">'M15 low-streak'!T31</f>
        <v>0.468181818181818</v>
      </c>
      <c r="K70" s="13" t="n">
        <f aca="false">'M15 low-streak'!U31</f>
        <v>0.272727272727273</v>
      </c>
      <c r="L70" s="16" t="n">
        <f aca="false">'M15 low-streak'!M31</f>
        <v>14.8362</v>
      </c>
      <c r="M70" s="15" t="n">
        <f aca="false">'M15 low-streak'!V31</f>
        <v>0.106</v>
      </c>
      <c r="N70" s="15" t="n">
        <f aca="false">'M15 low-streak'!W31</f>
        <v>0.0674372727272727</v>
      </c>
      <c r="O70" s="14" t="n">
        <f aca="false">'M15 low-streak'!N31</f>
        <v>8</v>
      </c>
      <c r="P70" s="14" t="n">
        <f aca="false">'M15 low-streak'!O31</f>
        <v>5</v>
      </c>
    </row>
    <row r="71" customFormat="false" ht="15" hidden="false" customHeight="false" outlineLevel="0" collapsed="false">
      <c r="A71" s="8" t="s">
        <v>87</v>
      </c>
      <c r="B71" s="8" t="s">
        <v>59</v>
      </c>
      <c r="C71" s="8" t="s">
        <v>151</v>
      </c>
      <c r="D71" s="14" t="n">
        <f aca="false">'M15 low-streak'!C44</f>
        <v>185</v>
      </c>
      <c r="E71" s="19" t="n">
        <f aca="false">D71/257</f>
        <v>0.719844357976654</v>
      </c>
      <c r="F71" s="13" t="n">
        <f aca="false">'M15 low-streak'!P44</f>
        <v>0.281081081081081</v>
      </c>
      <c r="G71" s="13" t="n">
        <f aca="false">'M15 low-streak'!Q44</f>
        <v>0.675675675675676</v>
      </c>
      <c r="H71" s="13" t="n">
        <f aca="false">'M15 low-streak'!R44</f>
        <v>0.675675675675676</v>
      </c>
      <c r="I71" s="13" t="n">
        <f aca="false">'M15 low-streak'!S44</f>
        <v>0.540540540540541</v>
      </c>
      <c r="J71" s="13" t="n">
        <f aca="false">'M15 low-streak'!T44</f>
        <v>0.427027027027027</v>
      </c>
      <c r="K71" s="13" t="n">
        <f aca="false">'M15 low-streak'!U44</f>
        <v>0.281081081081081</v>
      </c>
      <c r="L71" s="16" t="n">
        <f aca="false">'M15 low-streak'!M44</f>
        <v>9.6189</v>
      </c>
      <c r="M71" s="15" t="n">
        <f aca="false">'M15 low-streak'!V44</f>
        <v>0.0972972972972973</v>
      </c>
      <c r="N71" s="15" t="n">
        <f aca="false">'M15 low-streak'!W44</f>
        <v>0.0519940540540541</v>
      </c>
      <c r="O71" s="14" t="n">
        <f aca="false">'M15 low-streak'!N44</f>
        <v>12</v>
      </c>
      <c r="P71" s="14" t="n">
        <f aca="false">'M15 low-streak'!O44</f>
        <v>5</v>
      </c>
    </row>
    <row r="72" customFormat="false" ht="15" hidden="false" customHeight="false" outlineLevel="0" collapsed="false">
      <c r="A72" s="8" t="s">
        <v>87</v>
      </c>
      <c r="B72" s="8" t="s">
        <v>59</v>
      </c>
      <c r="C72" s="8" t="s">
        <v>152</v>
      </c>
      <c r="D72" s="14" t="n">
        <f aca="false">'M15 low-streak'!C57</f>
        <v>200</v>
      </c>
      <c r="E72" s="19" t="n">
        <f aca="false">D72/259</f>
        <v>0.772200772200772</v>
      </c>
      <c r="F72" s="13" t="n">
        <f aca="false">'M15 low-streak'!P57</f>
        <v>0.25</v>
      </c>
      <c r="G72" s="13" t="n">
        <f aca="false">'M15 low-streak'!Q57</f>
        <v>0.68</v>
      </c>
      <c r="H72" s="13" t="n">
        <f aca="false">'M15 low-streak'!R57</f>
        <v>0.68</v>
      </c>
      <c r="I72" s="13" t="n">
        <f aca="false">'M15 low-streak'!S57</f>
        <v>0.59</v>
      </c>
      <c r="J72" s="13" t="n">
        <f aca="false">'M15 low-streak'!T57</f>
        <v>0.48</v>
      </c>
      <c r="K72" s="13" t="n">
        <f aca="false">'M15 low-streak'!U57</f>
        <v>0.25</v>
      </c>
      <c r="L72" s="16" t="n">
        <f aca="false">'M15 low-streak'!M57</f>
        <v>21.9132</v>
      </c>
      <c r="M72" s="15" t="n">
        <f aca="false">'M15 low-streak'!V57</f>
        <v>0.1246</v>
      </c>
      <c r="N72" s="15" t="n">
        <f aca="false">'M15 low-streak'!W57</f>
        <v>0.109566</v>
      </c>
      <c r="O72" s="14" t="n">
        <f aca="false">'M15 low-streak'!N57</f>
        <v>9</v>
      </c>
      <c r="P72" s="14" t="n">
        <f aca="false">'M15 low-streak'!O57</f>
        <v>4</v>
      </c>
    </row>
    <row r="73" customFormat="false" ht="15" hidden="false" customHeight="false" outlineLevel="0" collapsed="false">
      <c r="A73" s="8" t="s">
        <v>87</v>
      </c>
      <c r="B73" s="8" t="s">
        <v>59</v>
      </c>
      <c r="C73" s="8" t="s">
        <v>153</v>
      </c>
      <c r="D73" s="14" t="n">
        <f aca="false">'M15 low-streak'!C70</f>
        <v>203</v>
      </c>
      <c r="E73" s="19" t="n">
        <f aca="false">D73/258</f>
        <v>0.786821705426357</v>
      </c>
      <c r="F73" s="13" t="n">
        <f aca="false">'M15 low-streak'!P70</f>
        <v>0.285714285714286</v>
      </c>
      <c r="G73" s="13" t="n">
        <f aca="false">'M15 low-streak'!Q70</f>
        <v>0.600985221674877</v>
      </c>
      <c r="H73" s="13" t="n">
        <f aca="false">'M15 low-streak'!R70</f>
        <v>0.600985221674877</v>
      </c>
      <c r="I73" s="13" t="n">
        <f aca="false">'M15 low-streak'!S70</f>
        <v>0.527093596059113</v>
      </c>
      <c r="J73" s="13" t="n">
        <f aca="false">'M15 low-streak'!T70</f>
        <v>0.433497536945813</v>
      </c>
      <c r="K73" s="13" t="n">
        <f aca="false">'M15 low-streak'!U70</f>
        <v>0.285714285714286</v>
      </c>
      <c r="L73" s="16" t="n">
        <f aca="false">'M15 low-streak'!M70</f>
        <v>2.1829</v>
      </c>
      <c r="M73" s="15" t="n">
        <f aca="false">'M15 low-streak'!V70</f>
        <v>0.0189162561576355</v>
      </c>
      <c r="N73" s="15" t="n">
        <f aca="false">'M15 low-streak'!W70</f>
        <v>0.0107532019704434</v>
      </c>
      <c r="O73" s="14" t="n">
        <f aca="false">'M15 low-streak'!N70</f>
        <v>6</v>
      </c>
      <c r="P73" s="14" t="n">
        <f aca="false">'M15 low-streak'!O70</f>
        <v>5</v>
      </c>
    </row>
    <row r="74" customFormat="false" ht="15" hidden="false" customHeight="false" outlineLevel="0" collapsed="false">
      <c r="A74" s="8" t="s">
        <v>87</v>
      </c>
      <c r="B74" s="8" t="s">
        <v>59</v>
      </c>
      <c r="C74" s="8" t="s">
        <v>154</v>
      </c>
      <c r="D74" s="14" t="n">
        <f aca="false">'M15 low-streak'!C81</f>
        <v>149</v>
      </c>
      <c r="E74" s="19" t="n">
        <f aca="false">D74/195</f>
        <v>0.764102564102564</v>
      </c>
      <c r="F74" s="13" t="n">
        <f aca="false">'M15 low-streak'!P81</f>
        <v>0.228187919463087</v>
      </c>
      <c r="G74" s="13" t="n">
        <f aca="false">'M15 low-streak'!Q81</f>
        <v>0.677852348993289</v>
      </c>
      <c r="H74" s="13" t="n">
        <f aca="false">'M15 low-streak'!R81</f>
        <v>0.677852348993289</v>
      </c>
      <c r="I74" s="13" t="n">
        <f aca="false">'M15 low-streak'!S81</f>
        <v>0.550335570469799</v>
      </c>
      <c r="J74" s="13" t="n">
        <f aca="false">'M15 low-streak'!T81</f>
        <v>0.449664429530201</v>
      </c>
      <c r="K74" s="13" t="n">
        <f aca="false">'M15 low-streak'!U81</f>
        <v>0.228187919463087</v>
      </c>
      <c r="L74" s="16" t="n">
        <f aca="false">'M15 low-streak'!M81</f>
        <v>13.5514</v>
      </c>
      <c r="M74" s="15" t="n">
        <f aca="false">'M15 low-streak'!V81</f>
        <v>0.0974496644295302</v>
      </c>
      <c r="N74" s="15" t="n">
        <f aca="false">'M15 low-streak'!W81</f>
        <v>0.0909489932885906</v>
      </c>
      <c r="O74" s="14" t="n">
        <f aca="false">'M15 low-streak'!N81</f>
        <v>11</v>
      </c>
      <c r="P74" s="14" t="n">
        <f aca="false">'M15 low-streak'!O81</f>
        <v>4</v>
      </c>
    </row>
    <row r="75" customFormat="false" ht="15" hidden="false" customHeight="false" outlineLevel="0" collapsed="false">
      <c r="A75" s="5" t="s">
        <v>87</v>
      </c>
      <c r="B75" s="5" t="s">
        <v>59</v>
      </c>
      <c r="C75" s="5" t="s">
        <v>155</v>
      </c>
      <c r="D75" s="20" t="n">
        <f aca="false">'M15 low-streak'!C82</f>
        <v>1137</v>
      </c>
      <c r="E75" s="21" t="n">
        <f aca="false">D75/1485</f>
        <v>0.765656565656566</v>
      </c>
      <c r="F75" s="22" t="n">
        <f aca="false">'M15 low-streak'!P82</f>
        <v>0.264731750219877</v>
      </c>
      <c r="G75" s="22" t="n">
        <f aca="false">'M15 low-streak'!Q82</f>
        <v>0.661389621811785</v>
      </c>
      <c r="H75" s="22" t="n">
        <f aca="false">'M15 low-streak'!R82</f>
        <v>0.661389621811785</v>
      </c>
      <c r="I75" s="22" t="n">
        <f aca="false">'M15 low-streak'!S82</f>
        <v>0.554089709762533</v>
      </c>
      <c r="J75" s="22" t="n">
        <f aca="false">'M15 low-streak'!T82</f>
        <v>0.452946350043975</v>
      </c>
      <c r="K75" s="22" t="n">
        <f aca="false">'M15 low-streak'!U82</f>
        <v>0.264731750219877</v>
      </c>
      <c r="L75" s="23" t="n">
        <f aca="false">'M15 low-streak'!M82</f>
        <v>75.549</v>
      </c>
      <c r="M75" s="24" t="n">
        <f aca="false">'M15 low-streak'!V82</f>
        <v>0.0919437115215479</v>
      </c>
      <c r="N75" s="24" t="n">
        <f aca="false">'M15 low-streak'!W82</f>
        <v>0.0664459102902375</v>
      </c>
      <c r="O75" s="20" t="n">
        <f aca="false">'M15 low-streak'!N82</f>
        <v>18</v>
      </c>
      <c r="P75" s="20" t="n">
        <f aca="false">'M15 low-streak'!O82</f>
        <v>5</v>
      </c>
    </row>
    <row r="77" customFormat="false" ht="15" hidden="false" customHeight="false" outlineLevel="0" collapsed="false">
      <c r="A77" s="8" t="s">
        <v>109</v>
      </c>
      <c r="B77" s="8" t="s">
        <v>148</v>
      </c>
      <c r="C77" s="8" t="s">
        <v>149</v>
      </c>
      <c r="D77" s="14" t="n">
        <f aca="false">'H1 default'!C18</f>
        <v>167</v>
      </c>
      <c r="E77" s="19" t="n">
        <f aca="false">D77/258</f>
        <v>0.647286821705426</v>
      </c>
      <c r="F77" s="13" t="n">
        <f aca="false">'H1 default'!P18</f>
        <v>0.239520958083832</v>
      </c>
      <c r="G77" s="13" t="n">
        <f aca="false">'H1 default'!Q18</f>
        <v>0.239520958083832</v>
      </c>
      <c r="H77" s="13" t="n">
        <f aca="false">'H1 default'!R18</f>
        <v>0.532934131736527</v>
      </c>
      <c r="I77" s="13" t="n">
        <f aca="false">'H1 default'!S18</f>
        <v>0.389221556886228</v>
      </c>
      <c r="J77" s="13" t="n">
        <f aca="false">'H1 default'!T18</f>
        <v>0.293413173652695</v>
      </c>
      <c r="K77" s="13" t="n">
        <f aca="false">'H1 default'!U18</f>
        <v>0.239520958083832</v>
      </c>
      <c r="L77" s="16" t="n">
        <f aca="false">'H1 default'!M18</f>
        <v>-52.6411</v>
      </c>
      <c r="M77" s="15" t="n">
        <f aca="false">'H1 default'!V18</f>
        <v>-0.281437125748503</v>
      </c>
      <c r="N77" s="15" t="n">
        <f aca="false">'H1 default'!W18</f>
        <v>-0.315216167664671</v>
      </c>
      <c r="O77" s="14" t="n">
        <f aca="false">'H1 default'!N18</f>
        <v>4</v>
      </c>
      <c r="P77" s="14" t="n">
        <f aca="false">'H1 default'!O18</f>
        <v>15</v>
      </c>
    </row>
    <row r="78" customFormat="false" ht="15" hidden="false" customHeight="false" outlineLevel="0" collapsed="false">
      <c r="A78" s="8" t="s">
        <v>109</v>
      </c>
      <c r="B78" s="8" t="s">
        <v>148</v>
      </c>
      <c r="C78" s="8" t="s">
        <v>150</v>
      </c>
      <c r="D78" s="14" t="n">
        <f aca="false">'H1 default'!C31</f>
        <v>147</v>
      </c>
      <c r="E78" s="19" t="n">
        <f aca="false">D78/258</f>
        <v>0.569767441860465</v>
      </c>
      <c r="F78" s="13" t="n">
        <f aca="false">'H1 default'!P31</f>
        <v>0.387755102040816</v>
      </c>
      <c r="G78" s="13" t="n">
        <f aca="false">'H1 default'!Q31</f>
        <v>0.387755102040816</v>
      </c>
      <c r="H78" s="13" t="n">
        <f aca="false">'H1 default'!R31</f>
        <v>0.619047619047619</v>
      </c>
      <c r="I78" s="13" t="n">
        <f aca="false">'H1 default'!S31</f>
        <v>0.496598639455782</v>
      </c>
      <c r="J78" s="13" t="n">
        <f aca="false">'H1 default'!T31</f>
        <v>0.428571428571429</v>
      </c>
      <c r="K78" s="13" t="n">
        <f aca="false">'H1 default'!U31</f>
        <v>0.387755102040816</v>
      </c>
      <c r="L78" s="16" t="n">
        <f aca="false">'H1 default'!M31</f>
        <v>19.3941</v>
      </c>
      <c r="M78" s="15" t="n">
        <f aca="false">'H1 default'!V31</f>
        <v>0.163265306122449</v>
      </c>
      <c r="N78" s="15" t="n">
        <f aca="false">'H1 default'!W31</f>
        <v>0.131932653061225</v>
      </c>
      <c r="O78" s="14" t="n">
        <f aca="false">'H1 default'!N31</f>
        <v>5</v>
      </c>
      <c r="P78" s="14" t="n">
        <f aca="false">'H1 default'!O31</f>
        <v>7</v>
      </c>
    </row>
    <row r="79" customFormat="false" ht="15" hidden="false" customHeight="false" outlineLevel="0" collapsed="false">
      <c r="A79" s="8" t="s">
        <v>109</v>
      </c>
      <c r="B79" s="8" t="s">
        <v>148</v>
      </c>
      <c r="C79" s="8" t="s">
        <v>151</v>
      </c>
      <c r="D79" s="14" t="n">
        <f aca="false">'H1 default'!C44</f>
        <v>147</v>
      </c>
      <c r="E79" s="19" t="n">
        <f aca="false">D79/257</f>
        <v>0.571984435797665</v>
      </c>
      <c r="F79" s="13" t="n">
        <f aca="false">'H1 default'!P44</f>
        <v>0.312925170068027</v>
      </c>
      <c r="G79" s="13" t="n">
        <f aca="false">'H1 default'!Q44</f>
        <v>0.312925170068027</v>
      </c>
      <c r="H79" s="13" t="n">
        <f aca="false">'H1 default'!R44</f>
        <v>0.571428571428571</v>
      </c>
      <c r="I79" s="13" t="n">
        <f aca="false">'H1 default'!S44</f>
        <v>0.476190476190476</v>
      </c>
      <c r="J79" s="13" t="n">
        <f aca="false">'H1 default'!T44</f>
        <v>0.340136054421769</v>
      </c>
      <c r="K79" s="13" t="n">
        <f aca="false">'H1 default'!U44</f>
        <v>0.312925170068027</v>
      </c>
      <c r="L79" s="16" t="n">
        <f aca="false">'H1 default'!M44</f>
        <v>-14.375</v>
      </c>
      <c r="M79" s="15" t="n">
        <f aca="false">'H1 default'!V44</f>
        <v>-0.0612244897959184</v>
      </c>
      <c r="N79" s="15" t="n">
        <f aca="false">'H1 default'!W44</f>
        <v>-0.0977891156462585</v>
      </c>
      <c r="O79" s="14" t="n">
        <f aca="false">'H1 default'!N44</f>
        <v>4</v>
      </c>
      <c r="P79" s="14" t="n">
        <f aca="false">'H1 default'!O44</f>
        <v>10</v>
      </c>
    </row>
    <row r="80" customFormat="false" ht="15" hidden="false" customHeight="false" outlineLevel="0" collapsed="false">
      <c r="A80" s="8" t="s">
        <v>109</v>
      </c>
      <c r="B80" s="8" t="s">
        <v>148</v>
      </c>
      <c r="C80" s="8" t="s">
        <v>152</v>
      </c>
      <c r="D80" s="14" t="n">
        <f aca="false">'H1 default'!C57</f>
        <v>156</v>
      </c>
      <c r="E80" s="19" t="n">
        <f aca="false">D80/259</f>
        <v>0.602316602316602</v>
      </c>
      <c r="F80" s="13" t="n">
        <f aca="false">'H1 default'!P57</f>
        <v>0.320512820512821</v>
      </c>
      <c r="G80" s="13" t="n">
        <f aca="false">'H1 default'!Q57</f>
        <v>0.320512820512821</v>
      </c>
      <c r="H80" s="13" t="n">
        <f aca="false">'H1 default'!R57</f>
        <v>0.621794871794872</v>
      </c>
      <c r="I80" s="13" t="n">
        <f aca="false">'H1 default'!S57</f>
        <v>0.506410256410256</v>
      </c>
      <c r="J80" s="13" t="n">
        <f aca="false">'H1 default'!T57</f>
        <v>0.365384615384615</v>
      </c>
      <c r="K80" s="13" t="n">
        <f aca="false">'H1 default'!U57</f>
        <v>0.320512820512821</v>
      </c>
      <c r="L80" s="16" t="n">
        <f aca="false">'H1 default'!M57</f>
        <v>-7.9442</v>
      </c>
      <c r="M80" s="15" t="n">
        <f aca="false">'H1 default'!V57</f>
        <v>-0.0384615384615385</v>
      </c>
      <c r="N80" s="15" t="n">
        <f aca="false">'H1 default'!W57</f>
        <v>-0.050924358974359</v>
      </c>
      <c r="O80" s="14" t="n">
        <f aca="false">'H1 default'!N57</f>
        <v>3</v>
      </c>
      <c r="P80" s="14" t="n">
        <f aca="false">'H1 default'!O57</f>
        <v>11</v>
      </c>
    </row>
    <row r="81" customFormat="false" ht="15" hidden="false" customHeight="false" outlineLevel="0" collapsed="false">
      <c r="A81" s="8" t="s">
        <v>109</v>
      </c>
      <c r="B81" s="8" t="s">
        <v>148</v>
      </c>
      <c r="C81" s="8" t="s">
        <v>153</v>
      </c>
      <c r="D81" s="14" t="n">
        <f aca="false">'H1 default'!C70</f>
        <v>169</v>
      </c>
      <c r="E81" s="19" t="n">
        <f aca="false">D81/258</f>
        <v>0.655038759689923</v>
      </c>
      <c r="F81" s="13" t="n">
        <f aca="false">'H1 default'!P70</f>
        <v>0.307692307692308</v>
      </c>
      <c r="G81" s="13" t="n">
        <f aca="false">'H1 default'!Q70</f>
        <v>0.307692307692308</v>
      </c>
      <c r="H81" s="13" t="n">
        <f aca="false">'H1 default'!R70</f>
        <v>0.57396449704142</v>
      </c>
      <c r="I81" s="13" t="n">
        <f aca="false">'H1 default'!S70</f>
        <v>0.461538461538462</v>
      </c>
      <c r="J81" s="13" t="n">
        <f aca="false">'H1 default'!T70</f>
        <v>0.372781065088757</v>
      </c>
      <c r="K81" s="13" t="n">
        <f aca="false">'H1 default'!U70</f>
        <v>0.307692307692308</v>
      </c>
      <c r="L81" s="16" t="n">
        <f aca="false">'H1 default'!M70</f>
        <v>-14.3818</v>
      </c>
      <c r="M81" s="15" t="n">
        <f aca="false">'H1 default'!V70</f>
        <v>-0.0769230769230769</v>
      </c>
      <c r="N81" s="15" t="n">
        <f aca="false">'H1 default'!W70</f>
        <v>-0.0850994082840237</v>
      </c>
      <c r="O81" s="14" t="n">
        <f aca="false">'H1 default'!N70</f>
        <v>4</v>
      </c>
      <c r="P81" s="14" t="n">
        <f aca="false">'H1 default'!O70</f>
        <v>10</v>
      </c>
    </row>
    <row r="82" customFormat="false" ht="15" hidden="false" customHeight="false" outlineLevel="0" collapsed="false">
      <c r="A82" s="8" t="s">
        <v>109</v>
      </c>
      <c r="B82" s="8" t="s">
        <v>148</v>
      </c>
      <c r="C82" s="8" t="s">
        <v>154</v>
      </c>
      <c r="D82" s="14" t="n">
        <f aca="false">'H1 default'!C81</f>
        <v>98</v>
      </c>
      <c r="E82" s="19" t="n">
        <f aca="false">D82/195</f>
        <v>0.502564102564103</v>
      </c>
      <c r="F82" s="13" t="n">
        <f aca="false">'H1 default'!P81</f>
        <v>0.438775510204082</v>
      </c>
      <c r="G82" s="13" t="n">
        <f aca="false">'H1 default'!Q81</f>
        <v>0.438775510204082</v>
      </c>
      <c r="H82" s="13" t="n">
        <f aca="false">'H1 default'!R81</f>
        <v>0.714285714285714</v>
      </c>
      <c r="I82" s="13" t="n">
        <f aca="false">'H1 default'!S81</f>
        <v>0.63265306122449</v>
      </c>
      <c r="J82" s="13" t="n">
        <f aca="false">'H1 default'!T81</f>
        <v>0.510204081632653</v>
      </c>
      <c r="K82" s="13" t="n">
        <f aca="false">'H1 default'!U81</f>
        <v>0.438775510204082</v>
      </c>
      <c r="L82" s="16" t="n">
        <f aca="false">'H1 default'!M81</f>
        <v>30.5281</v>
      </c>
      <c r="M82" s="15" t="n">
        <f aca="false">'H1 default'!V81</f>
        <v>0.316326530612245</v>
      </c>
      <c r="N82" s="15" t="n">
        <f aca="false">'H1 default'!W81</f>
        <v>0.311511224489796</v>
      </c>
      <c r="O82" s="14" t="n">
        <f aca="false">'H1 default'!N81</f>
        <v>9</v>
      </c>
      <c r="P82" s="14" t="n">
        <f aca="false">'H1 default'!O81</f>
        <v>8</v>
      </c>
    </row>
    <row r="83" customFormat="false" ht="15" hidden="false" customHeight="false" outlineLevel="0" collapsed="false">
      <c r="A83" s="5" t="s">
        <v>109</v>
      </c>
      <c r="B83" s="5" t="s">
        <v>148</v>
      </c>
      <c r="C83" s="5" t="s">
        <v>155</v>
      </c>
      <c r="D83" s="20" t="n">
        <f aca="false">'H1 default'!C82</f>
        <v>884</v>
      </c>
      <c r="E83" s="21" t="n">
        <f aca="false">D83/1485</f>
        <v>0.595286195286195</v>
      </c>
      <c r="F83" s="22" t="n">
        <f aca="false">'H1 default'!P82</f>
        <v>0.32579185520362</v>
      </c>
      <c r="G83" s="22" t="n">
        <f aca="false">'H1 default'!Q82</f>
        <v>0.32579185520362</v>
      </c>
      <c r="H83" s="22" t="n">
        <f aca="false">'H1 default'!R82</f>
        <v>0.597285067873303</v>
      </c>
      <c r="I83" s="22" t="n">
        <f aca="false">'H1 default'!S82</f>
        <v>0.483031674208145</v>
      </c>
      <c r="J83" s="22" t="n">
        <f aca="false">'H1 default'!T82</f>
        <v>0.375565610859729</v>
      </c>
      <c r="K83" s="22" t="n">
        <f aca="false">'H1 default'!U82</f>
        <v>0.32579185520362</v>
      </c>
      <c r="L83" s="23" t="n">
        <f aca="false">'H1 default'!M82</f>
        <v>-39.4199</v>
      </c>
      <c r="M83" s="24" t="n">
        <f aca="false">'H1 default'!V82</f>
        <v>-0.0226244343891403</v>
      </c>
      <c r="N83" s="24" t="n">
        <f aca="false">'H1 default'!W82</f>
        <v>-0.0445926470588235</v>
      </c>
      <c r="O83" s="20" t="n">
        <f aca="false">'H1 default'!N82</f>
        <v>9</v>
      </c>
      <c r="P83" s="20" t="n">
        <f aca="false">'H1 default'!O82</f>
        <v>15</v>
      </c>
    </row>
    <row r="85" customFormat="false" ht="15" hidden="false" customHeight="false" outlineLevel="0" collapsed="false">
      <c r="A85" s="8" t="s">
        <v>109</v>
      </c>
      <c r="B85" s="8" t="s">
        <v>24</v>
      </c>
      <c r="C85" s="8" t="s">
        <v>149</v>
      </c>
      <c r="D85" s="14" t="n">
        <f aca="false">'H1 best'!C18</f>
        <v>36</v>
      </c>
      <c r="E85" s="19" t="n">
        <f aca="false">D85/258</f>
        <v>0.13953488372093</v>
      </c>
      <c r="F85" s="13" t="n">
        <f aca="false">'H1 best'!P18</f>
        <v>0.388888888888889</v>
      </c>
      <c r="G85" s="13" t="n">
        <f aca="false">'H1 best'!Q18</f>
        <v>0.388888888888889</v>
      </c>
      <c r="H85" s="13" t="n">
        <f aca="false">'H1 best'!R18</f>
        <v>0.638888888888889</v>
      </c>
      <c r="I85" s="13" t="n">
        <f aca="false">'H1 best'!S18</f>
        <v>0.555555555555556</v>
      </c>
      <c r="J85" s="13" t="n">
        <f aca="false">'H1 best'!T18</f>
        <v>0.527777777777778</v>
      </c>
      <c r="K85" s="13" t="n">
        <f aca="false">'H1 best'!U18</f>
        <v>0.388888888888889</v>
      </c>
      <c r="L85" s="16" t="n">
        <f aca="false">'H1 best'!M18</f>
        <v>4.9702</v>
      </c>
      <c r="M85" s="15" t="n">
        <f aca="false">'H1 best'!V18</f>
        <v>0.166666666666667</v>
      </c>
      <c r="N85" s="15" t="n">
        <f aca="false">'H1 best'!W18</f>
        <v>0.138061111111111</v>
      </c>
      <c r="O85" s="14" t="n">
        <f aca="false">'H1 best'!N18</f>
        <v>3</v>
      </c>
      <c r="P85" s="14" t="n">
        <f aca="false">'H1 best'!O18</f>
        <v>7</v>
      </c>
    </row>
    <row r="86" customFormat="false" ht="15" hidden="false" customHeight="false" outlineLevel="0" collapsed="false">
      <c r="A86" s="8" t="s">
        <v>109</v>
      </c>
      <c r="B86" s="8" t="s">
        <v>24</v>
      </c>
      <c r="C86" s="8" t="s">
        <v>150</v>
      </c>
      <c r="D86" s="14" t="n">
        <f aca="false">'H1 best'!C31</f>
        <v>28</v>
      </c>
      <c r="E86" s="19" t="n">
        <f aca="false">D86/258</f>
        <v>0.108527131782946</v>
      </c>
      <c r="F86" s="13" t="n">
        <f aca="false">'H1 best'!P31</f>
        <v>0.607142857142857</v>
      </c>
      <c r="G86" s="13" t="n">
        <f aca="false">'H1 best'!Q31</f>
        <v>0.607142857142857</v>
      </c>
      <c r="H86" s="13" t="n">
        <f aca="false">'H1 best'!R31</f>
        <v>0.821428571428571</v>
      </c>
      <c r="I86" s="13" t="n">
        <f aca="false">'H1 best'!S31</f>
        <v>0.75</v>
      </c>
      <c r="J86" s="13" t="n">
        <f aca="false">'H1 best'!T31</f>
        <v>0.714285714285714</v>
      </c>
      <c r="K86" s="13" t="n">
        <f aca="false">'H1 best'!U31</f>
        <v>0.607142857142857</v>
      </c>
      <c r="L86" s="16" t="n">
        <f aca="false">'H1 best'!M31</f>
        <v>22.3292</v>
      </c>
      <c r="M86" s="15" t="n">
        <f aca="false">'H1 best'!V31</f>
        <v>0.821428571428571</v>
      </c>
      <c r="N86" s="15" t="n">
        <f aca="false">'H1 best'!W31</f>
        <v>0.797471428571429</v>
      </c>
      <c r="O86" s="14" t="n">
        <f aca="false">'H1 best'!N31</f>
        <v>7</v>
      </c>
      <c r="P86" s="14" t="n">
        <f aca="false">'H1 best'!O31</f>
        <v>2</v>
      </c>
    </row>
    <row r="87" customFormat="false" ht="15" hidden="false" customHeight="false" outlineLevel="0" collapsed="false">
      <c r="A87" s="8" t="s">
        <v>109</v>
      </c>
      <c r="B87" s="8" t="s">
        <v>24</v>
      </c>
      <c r="C87" s="8" t="s">
        <v>151</v>
      </c>
      <c r="D87" s="14" t="n">
        <f aca="false">'H1 best'!C44</f>
        <v>31</v>
      </c>
      <c r="E87" s="19" t="n">
        <f aca="false">D87/257</f>
        <v>0.120622568093385</v>
      </c>
      <c r="F87" s="13" t="n">
        <f aca="false">'H1 best'!P44</f>
        <v>0.419354838709677</v>
      </c>
      <c r="G87" s="13" t="n">
        <f aca="false">'H1 best'!Q44</f>
        <v>0.419354838709677</v>
      </c>
      <c r="H87" s="13" t="n">
        <f aca="false">'H1 best'!R44</f>
        <v>0.645161290322581</v>
      </c>
      <c r="I87" s="13" t="n">
        <f aca="false">'H1 best'!S44</f>
        <v>0.516129032258065</v>
      </c>
      <c r="J87" s="13" t="n">
        <f aca="false">'H1 best'!T44</f>
        <v>0.451612903225806</v>
      </c>
      <c r="K87" s="13" t="n">
        <f aca="false">'H1 best'!U44</f>
        <v>0.419354838709677</v>
      </c>
      <c r="L87" s="16" t="n">
        <f aca="false">'H1 best'!M44</f>
        <v>7.0698</v>
      </c>
      <c r="M87" s="15" t="n">
        <f aca="false">'H1 best'!V44</f>
        <v>0.258064516129032</v>
      </c>
      <c r="N87" s="15" t="n">
        <f aca="false">'H1 best'!W44</f>
        <v>0.228058064516129</v>
      </c>
      <c r="O87" s="14" t="n">
        <f aca="false">'H1 best'!N44</f>
        <v>2</v>
      </c>
      <c r="P87" s="14" t="n">
        <f aca="false">'H1 best'!O44</f>
        <v>4</v>
      </c>
    </row>
    <row r="88" customFormat="false" ht="15" hidden="false" customHeight="false" outlineLevel="0" collapsed="false">
      <c r="A88" s="8" t="s">
        <v>109</v>
      </c>
      <c r="B88" s="8" t="s">
        <v>24</v>
      </c>
      <c r="C88" s="8" t="s">
        <v>152</v>
      </c>
      <c r="D88" s="14" t="n">
        <f aca="false">'H1 best'!C57</f>
        <v>28</v>
      </c>
      <c r="E88" s="19" t="n">
        <f aca="false">D88/259</f>
        <v>0.108108108108108</v>
      </c>
      <c r="F88" s="13" t="n">
        <f aca="false">'H1 best'!P57</f>
        <v>0.428571428571429</v>
      </c>
      <c r="G88" s="13" t="n">
        <f aca="false">'H1 best'!Q57</f>
        <v>0.428571428571429</v>
      </c>
      <c r="H88" s="13" t="n">
        <f aca="false">'H1 best'!R57</f>
        <v>0.642857142857143</v>
      </c>
      <c r="I88" s="13" t="n">
        <f aca="false">'H1 best'!S57</f>
        <v>0.535714285714286</v>
      </c>
      <c r="J88" s="13" t="n">
        <f aca="false">'H1 best'!T57</f>
        <v>0.5</v>
      </c>
      <c r="K88" s="13" t="n">
        <f aca="false">'H1 best'!U57</f>
        <v>0.428571428571429</v>
      </c>
      <c r="L88" s="16" t="n">
        <f aca="false">'H1 best'!M57</f>
        <v>7.6695</v>
      </c>
      <c r="M88" s="15" t="n">
        <f aca="false">'H1 best'!V57</f>
        <v>0.285714285714286</v>
      </c>
      <c r="N88" s="15" t="n">
        <f aca="false">'H1 best'!W57</f>
        <v>0.273910714285714</v>
      </c>
      <c r="O88" s="14" t="n">
        <f aca="false">'H1 best'!N57</f>
        <v>4</v>
      </c>
      <c r="P88" s="14" t="n">
        <f aca="false">'H1 best'!O57</f>
        <v>7</v>
      </c>
    </row>
    <row r="89" customFormat="false" ht="15" hidden="false" customHeight="false" outlineLevel="0" collapsed="false">
      <c r="A89" s="8" t="s">
        <v>109</v>
      </c>
      <c r="B89" s="8" t="s">
        <v>24</v>
      </c>
      <c r="C89" s="8" t="s">
        <v>153</v>
      </c>
      <c r="D89" s="14" t="n">
        <f aca="false">'H1 best'!C70</f>
        <v>41</v>
      </c>
      <c r="E89" s="19" t="n">
        <f aca="false">D89/258</f>
        <v>0.158914728682171</v>
      </c>
      <c r="F89" s="13" t="n">
        <f aca="false">'H1 best'!P70</f>
        <v>0.439024390243902</v>
      </c>
      <c r="G89" s="13" t="n">
        <f aca="false">'H1 best'!Q70</f>
        <v>0.439024390243902</v>
      </c>
      <c r="H89" s="13" t="n">
        <f aca="false">'H1 best'!R70</f>
        <v>0.609756097560976</v>
      </c>
      <c r="I89" s="13" t="n">
        <f aca="false">'H1 best'!S70</f>
        <v>0.51219512195122</v>
      </c>
      <c r="J89" s="13" t="n">
        <f aca="false">'H1 best'!T70</f>
        <v>0.487804878048781</v>
      </c>
      <c r="K89" s="13" t="n">
        <f aca="false">'H1 best'!U70</f>
        <v>0.439024390243902</v>
      </c>
      <c r="L89" s="16" t="n">
        <f aca="false">'H1 best'!M70</f>
        <v>12.7497</v>
      </c>
      <c r="M89" s="15" t="n">
        <f aca="false">'H1 best'!V70</f>
        <v>0.317073170731707</v>
      </c>
      <c r="N89" s="15" t="n">
        <f aca="false">'H1 best'!W70</f>
        <v>0.310968292682927</v>
      </c>
      <c r="O89" s="14" t="n">
        <f aca="false">'H1 best'!N70</f>
        <v>5</v>
      </c>
      <c r="P89" s="14" t="n">
        <f aca="false">'H1 best'!O70</f>
        <v>4</v>
      </c>
    </row>
    <row r="90" customFormat="false" ht="15" hidden="false" customHeight="false" outlineLevel="0" collapsed="false">
      <c r="A90" s="8" t="s">
        <v>109</v>
      </c>
      <c r="B90" s="8" t="s">
        <v>24</v>
      </c>
      <c r="C90" s="8" t="s">
        <v>154</v>
      </c>
      <c r="D90" s="14" t="n">
        <f aca="false">'H1 best'!C81</f>
        <v>22</v>
      </c>
      <c r="E90" s="19" t="n">
        <f aca="false">D90/195</f>
        <v>0.112820512820513</v>
      </c>
      <c r="F90" s="13" t="n">
        <f aca="false">'H1 best'!P81</f>
        <v>0.454545454545455</v>
      </c>
      <c r="G90" s="13" t="n">
        <f aca="false">'H1 best'!Q81</f>
        <v>0.454545454545455</v>
      </c>
      <c r="H90" s="13" t="n">
        <f aca="false">'H1 best'!R81</f>
        <v>0.590909090909091</v>
      </c>
      <c r="I90" s="13" t="n">
        <f aca="false">'H1 best'!S81</f>
        <v>0.545454545454545</v>
      </c>
      <c r="J90" s="13" t="n">
        <f aca="false">'H1 best'!T81</f>
        <v>0.545454545454545</v>
      </c>
      <c r="K90" s="13" t="n">
        <f aca="false">'H1 best'!U81</f>
        <v>0.454545454545455</v>
      </c>
      <c r="L90" s="16" t="n">
        <f aca="false">'H1 best'!M81</f>
        <v>7.9177</v>
      </c>
      <c r="M90" s="15" t="n">
        <f aca="false">'H1 best'!V81</f>
        <v>0.363636363636364</v>
      </c>
      <c r="N90" s="15" t="n">
        <f aca="false">'H1 best'!W81</f>
        <v>0.359895454545455</v>
      </c>
      <c r="O90" s="14" t="n">
        <f aca="false">'H1 best'!N81</f>
        <v>3</v>
      </c>
      <c r="P90" s="14" t="n">
        <f aca="false">'H1 best'!O81</f>
        <v>4</v>
      </c>
    </row>
    <row r="91" customFormat="false" ht="15" hidden="false" customHeight="false" outlineLevel="0" collapsed="false">
      <c r="A91" s="5" t="s">
        <v>109</v>
      </c>
      <c r="B91" s="5" t="s">
        <v>24</v>
      </c>
      <c r="C91" s="5" t="s">
        <v>155</v>
      </c>
      <c r="D91" s="20" t="n">
        <f aca="false">'H1 best'!C82</f>
        <v>186</v>
      </c>
      <c r="E91" s="21" t="n">
        <f aca="false">D91/1485</f>
        <v>0.125252525252525</v>
      </c>
      <c r="F91" s="22" t="n">
        <f aca="false">'H1 best'!P82</f>
        <v>0.451612903225806</v>
      </c>
      <c r="G91" s="22" t="n">
        <f aca="false">'H1 best'!Q82</f>
        <v>0.451612903225806</v>
      </c>
      <c r="H91" s="22" t="n">
        <f aca="false">'H1 best'!R82</f>
        <v>0.655913978494624</v>
      </c>
      <c r="I91" s="22" t="n">
        <f aca="false">'H1 best'!S82</f>
        <v>0.564516129032258</v>
      </c>
      <c r="J91" s="22" t="n">
        <f aca="false">'H1 best'!T82</f>
        <v>0.532258064516129</v>
      </c>
      <c r="K91" s="22" t="n">
        <f aca="false">'H1 best'!U82</f>
        <v>0.451612903225806</v>
      </c>
      <c r="L91" s="23" t="n">
        <f aca="false">'H1 best'!M82</f>
        <v>62.7061</v>
      </c>
      <c r="M91" s="24" t="n">
        <f aca="false">'H1 best'!V82</f>
        <v>0.354838709677419</v>
      </c>
      <c r="N91" s="24" t="n">
        <f aca="false">'H1 best'!W82</f>
        <v>0.337129569892473</v>
      </c>
      <c r="O91" s="20" t="n">
        <f aca="false">'H1 best'!N82</f>
        <v>8</v>
      </c>
      <c r="P91" s="20" t="n">
        <f aca="false">'H1 best'!O82</f>
        <v>8</v>
      </c>
    </row>
    <row r="93" customFormat="false" ht="15" hidden="false" customHeight="false" outlineLevel="0" collapsed="false">
      <c r="A93" s="8" t="s">
        <v>109</v>
      </c>
      <c r="B93" s="8" t="s">
        <v>59</v>
      </c>
      <c r="C93" s="8" t="s">
        <v>149</v>
      </c>
      <c r="D93" s="14" t="n">
        <f aca="false">'H1 low-streak'!C18</f>
        <v>34</v>
      </c>
      <c r="E93" s="19" t="n">
        <f aca="false">D93/258</f>
        <v>0.131782945736434</v>
      </c>
      <c r="F93" s="13" t="n">
        <f aca="false">'H1 low-streak'!P18</f>
        <v>0.5</v>
      </c>
      <c r="G93" s="13" t="n">
        <f aca="false">'H1 low-streak'!Q18</f>
        <v>0.764705882352941</v>
      </c>
      <c r="H93" s="13" t="n">
        <f aca="false">'H1 low-streak'!R18</f>
        <v>0.764705882352941</v>
      </c>
      <c r="I93" s="13" t="n">
        <f aca="false">'H1 low-streak'!S18</f>
        <v>0.676470588235294</v>
      </c>
      <c r="J93" s="13" t="n">
        <f aca="false">'H1 low-streak'!T18</f>
        <v>0.558823529411765</v>
      </c>
      <c r="K93" s="13" t="n">
        <f aca="false">'H1 low-streak'!U18</f>
        <v>0.5</v>
      </c>
      <c r="L93" s="16" t="n">
        <f aca="false">'H1 low-streak'!M18</f>
        <v>9.4233</v>
      </c>
      <c r="M93" s="15" t="n">
        <f aca="false">'H1 low-streak'!V18</f>
        <v>0.306470588235294</v>
      </c>
      <c r="N93" s="15" t="n">
        <f aca="false">'H1 low-streak'!W18</f>
        <v>0.277155882352941</v>
      </c>
      <c r="O93" s="14" t="n">
        <f aca="false">'H1 low-streak'!N18</f>
        <v>7</v>
      </c>
      <c r="P93" s="14" t="n">
        <f aca="false">'H1 low-streak'!O18</f>
        <v>2</v>
      </c>
    </row>
    <row r="94" customFormat="false" ht="15" hidden="false" customHeight="false" outlineLevel="0" collapsed="false">
      <c r="A94" s="8" t="s">
        <v>109</v>
      </c>
      <c r="B94" s="8" t="s">
        <v>59</v>
      </c>
      <c r="C94" s="8" t="s">
        <v>150</v>
      </c>
      <c r="D94" s="14" t="n">
        <f aca="false">'H1 low-streak'!C31</f>
        <v>34</v>
      </c>
      <c r="E94" s="19" t="n">
        <f aca="false">D94/258</f>
        <v>0.131782945736434</v>
      </c>
      <c r="F94" s="13" t="n">
        <f aca="false">'H1 low-streak'!P31</f>
        <v>0.5</v>
      </c>
      <c r="G94" s="13" t="n">
        <f aca="false">'H1 low-streak'!Q31</f>
        <v>0.794117647058824</v>
      </c>
      <c r="H94" s="13" t="n">
        <f aca="false">'H1 low-streak'!R31</f>
        <v>0.794117647058824</v>
      </c>
      <c r="I94" s="13" t="n">
        <f aca="false">'H1 low-streak'!S31</f>
        <v>0.588235294117647</v>
      </c>
      <c r="J94" s="13" t="n">
        <f aca="false">'H1 low-streak'!T31</f>
        <v>0.529411764705882</v>
      </c>
      <c r="K94" s="13" t="n">
        <f aca="false">'H1 low-streak'!U31</f>
        <v>0.5</v>
      </c>
      <c r="L94" s="16" t="n">
        <f aca="false">'H1 low-streak'!M31</f>
        <v>10.6059</v>
      </c>
      <c r="M94" s="15" t="n">
        <f aca="false">'H1 low-streak'!V31</f>
        <v>0.339411764705882</v>
      </c>
      <c r="N94" s="15" t="n">
        <f aca="false">'H1 low-streak'!W31</f>
        <v>0.311938235294118</v>
      </c>
      <c r="O94" s="14" t="n">
        <f aca="false">'H1 low-streak'!N31</f>
        <v>7</v>
      </c>
      <c r="P94" s="14" t="n">
        <f aca="false">'H1 low-streak'!O31</f>
        <v>2</v>
      </c>
    </row>
    <row r="95" customFormat="false" ht="15" hidden="false" customHeight="false" outlineLevel="0" collapsed="false">
      <c r="A95" s="8" t="s">
        <v>109</v>
      </c>
      <c r="B95" s="8" t="s">
        <v>59</v>
      </c>
      <c r="C95" s="8" t="s">
        <v>151</v>
      </c>
      <c r="D95" s="14" t="n">
        <f aca="false">'H1 low-streak'!C44</f>
        <v>30</v>
      </c>
      <c r="E95" s="19" t="n">
        <f aca="false">D95/257</f>
        <v>0.116731517509728</v>
      </c>
      <c r="F95" s="13" t="n">
        <f aca="false">'H1 low-streak'!P44</f>
        <v>0.433333333333333</v>
      </c>
      <c r="G95" s="13" t="n">
        <f aca="false">'H1 low-streak'!Q44</f>
        <v>0.6</v>
      </c>
      <c r="H95" s="13" t="n">
        <f aca="false">'H1 low-streak'!R44</f>
        <v>0.6</v>
      </c>
      <c r="I95" s="13" t="n">
        <f aca="false">'H1 low-streak'!S44</f>
        <v>0.466666666666667</v>
      </c>
      <c r="J95" s="13" t="n">
        <f aca="false">'H1 low-streak'!T44</f>
        <v>0.433333333333333</v>
      </c>
      <c r="K95" s="13" t="n">
        <f aca="false">'H1 low-streak'!U44</f>
        <v>0.433333333333333</v>
      </c>
      <c r="L95" s="16" t="n">
        <f aca="false">'H1 low-streak'!M44</f>
        <v>0.8827</v>
      </c>
      <c r="M95" s="15" t="n">
        <f aca="false">'H1 low-streak'!V44</f>
        <v>0.062</v>
      </c>
      <c r="N95" s="15" t="n">
        <f aca="false">'H1 low-streak'!W44</f>
        <v>0.0294233333333333</v>
      </c>
      <c r="O95" s="14" t="n">
        <f aca="false">'H1 low-streak'!N44</f>
        <v>7</v>
      </c>
      <c r="P95" s="14" t="n">
        <f aca="false">'H1 low-streak'!O44</f>
        <v>3</v>
      </c>
    </row>
    <row r="96" customFormat="false" ht="15" hidden="false" customHeight="false" outlineLevel="0" collapsed="false">
      <c r="A96" s="8" t="s">
        <v>109</v>
      </c>
      <c r="B96" s="8" t="s">
        <v>59</v>
      </c>
      <c r="C96" s="8" t="s">
        <v>152</v>
      </c>
      <c r="D96" s="14" t="n">
        <f aca="false">'H1 low-streak'!C57</f>
        <v>40</v>
      </c>
      <c r="E96" s="19" t="n">
        <f aca="false">D96/259</f>
        <v>0.154440154440154</v>
      </c>
      <c r="F96" s="13" t="n">
        <f aca="false">'H1 low-streak'!P57</f>
        <v>0.375</v>
      </c>
      <c r="G96" s="13" t="n">
        <f aca="false">'H1 low-streak'!Q57</f>
        <v>0.65</v>
      </c>
      <c r="H96" s="13" t="n">
        <f aca="false">'H1 low-streak'!R57</f>
        <v>0.65</v>
      </c>
      <c r="I96" s="13" t="n">
        <f aca="false">'H1 low-streak'!S57</f>
        <v>0.55</v>
      </c>
      <c r="J96" s="13" t="n">
        <f aca="false">'H1 low-streak'!T57</f>
        <v>0.45</v>
      </c>
      <c r="K96" s="13" t="n">
        <f aca="false">'H1 low-streak'!U57</f>
        <v>0.375</v>
      </c>
      <c r="L96" s="16" t="n">
        <f aca="false">'H1 low-streak'!M57</f>
        <v>2.1829</v>
      </c>
      <c r="M96" s="15" t="n">
        <f aca="false">'H1 low-streak'!V57</f>
        <v>0.0655</v>
      </c>
      <c r="N96" s="15" t="n">
        <f aca="false">'H1 low-streak'!W57</f>
        <v>0.0545725</v>
      </c>
      <c r="O96" s="14" t="n">
        <f aca="false">'H1 low-streak'!N57</f>
        <v>5</v>
      </c>
      <c r="P96" s="14" t="n">
        <f aca="false">'H1 low-streak'!O57</f>
        <v>3</v>
      </c>
    </row>
    <row r="97" customFormat="false" ht="15" hidden="false" customHeight="false" outlineLevel="0" collapsed="false">
      <c r="A97" s="8" t="s">
        <v>109</v>
      </c>
      <c r="B97" s="8" t="s">
        <v>59</v>
      </c>
      <c r="C97" s="8" t="s">
        <v>153</v>
      </c>
      <c r="D97" s="14" t="n">
        <f aca="false">'H1 low-streak'!C70</f>
        <v>35</v>
      </c>
      <c r="E97" s="19" t="n">
        <f aca="false">D97/258</f>
        <v>0.135658914728682</v>
      </c>
      <c r="F97" s="13" t="n">
        <f aca="false">'H1 low-streak'!P70</f>
        <v>0.428571428571429</v>
      </c>
      <c r="G97" s="13" t="n">
        <f aca="false">'H1 low-streak'!Q70</f>
        <v>0.8</v>
      </c>
      <c r="H97" s="13" t="n">
        <f aca="false">'H1 low-streak'!R70</f>
        <v>0.8</v>
      </c>
      <c r="I97" s="13" t="n">
        <f aca="false">'H1 low-streak'!S70</f>
        <v>0.6</v>
      </c>
      <c r="J97" s="13" t="n">
        <f aca="false">'H1 low-streak'!T70</f>
        <v>0.485714285714286</v>
      </c>
      <c r="K97" s="13" t="n">
        <f aca="false">'H1 low-streak'!U70</f>
        <v>0.428571428571429</v>
      </c>
      <c r="L97" s="16" t="n">
        <f aca="false">'H1 low-streak'!M70</f>
        <v>9.6557</v>
      </c>
      <c r="M97" s="15" t="n">
        <f aca="false">'H1 low-streak'!V70</f>
        <v>0.281714285714286</v>
      </c>
      <c r="N97" s="15" t="n">
        <f aca="false">'H1 low-streak'!W70</f>
        <v>0.275877142857143</v>
      </c>
      <c r="O97" s="14" t="n">
        <f aca="false">'H1 low-streak'!N70</f>
        <v>8</v>
      </c>
      <c r="P97" s="14" t="n">
        <f aca="false">'H1 low-streak'!O70</f>
        <v>2</v>
      </c>
    </row>
    <row r="98" customFormat="false" ht="15" hidden="false" customHeight="false" outlineLevel="0" collapsed="false">
      <c r="A98" s="8" t="s">
        <v>109</v>
      </c>
      <c r="B98" s="8" t="s">
        <v>59</v>
      </c>
      <c r="C98" s="8" t="s">
        <v>154</v>
      </c>
      <c r="D98" s="14" t="n">
        <f aca="false">'H1 low-streak'!C81</f>
        <v>22</v>
      </c>
      <c r="E98" s="19" t="n">
        <f aca="false">D98/195</f>
        <v>0.112820512820513</v>
      </c>
      <c r="F98" s="13" t="n">
        <f aca="false">'H1 low-streak'!P81</f>
        <v>0.409090909090909</v>
      </c>
      <c r="G98" s="13" t="n">
        <f aca="false">'H1 low-streak'!Q81</f>
        <v>0.636363636363636</v>
      </c>
      <c r="H98" s="13" t="n">
        <f aca="false">'H1 low-streak'!R81</f>
        <v>0.636363636363636</v>
      </c>
      <c r="I98" s="13" t="n">
        <f aca="false">'H1 low-streak'!S81</f>
        <v>0.5</v>
      </c>
      <c r="J98" s="13" t="n">
        <f aca="false">'H1 low-streak'!T81</f>
        <v>0.409090909090909</v>
      </c>
      <c r="K98" s="13" t="n">
        <f aca="false">'H1 low-streak'!U81</f>
        <v>0.409090909090909</v>
      </c>
      <c r="L98" s="16" t="n">
        <f aca="false">'H1 low-streak'!M81</f>
        <v>1.6649</v>
      </c>
      <c r="M98" s="15" t="n">
        <f aca="false">'H1 low-streak'!V81</f>
        <v>0.0809090909090909</v>
      </c>
      <c r="N98" s="15" t="n">
        <f aca="false">'H1 low-streak'!W81</f>
        <v>0.0756772727272727</v>
      </c>
      <c r="O98" s="14" t="n">
        <f aca="false">'H1 low-streak'!N81</f>
        <v>9</v>
      </c>
      <c r="P98" s="14" t="n">
        <f aca="false">'H1 low-streak'!O81</f>
        <v>3</v>
      </c>
    </row>
    <row r="99" customFormat="false" ht="15" hidden="false" customHeight="false" outlineLevel="0" collapsed="false">
      <c r="A99" s="5" t="s">
        <v>109</v>
      </c>
      <c r="B99" s="5" t="s">
        <v>59</v>
      </c>
      <c r="C99" s="5" t="s">
        <v>155</v>
      </c>
      <c r="D99" s="20" t="n">
        <f aca="false">'H1 low-streak'!C82</f>
        <v>195</v>
      </c>
      <c r="E99" s="21" t="n">
        <f aca="false">D99/1485</f>
        <v>0.131313131313131</v>
      </c>
      <c r="F99" s="22" t="n">
        <f aca="false">'H1 low-streak'!P82</f>
        <v>0.441025641025641</v>
      </c>
      <c r="G99" s="22" t="n">
        <f aca="false">'H1 low-streak'!Q82</f>
        <v>0.712820512820513</v>
      </c>
      <c r="H99" s="22" t="n">
        <f aca="false">'H1 low-streak'!R82</f>
        <v>0.712820512820513</v>
      </c>
      <c r="I99" s="22" t="n">
        <f aca="false">'H1 low-streak'!S82</f>
        <v>0.569230769230769</v>
      </c>
      <c r="J99" s="22" t="n">
        <f aca="false">'H1 low-streak'!T82</f>
        <v>0.482051282051282</v>
      </c>
      <c r="K99" s="22" t="n">
        <f aca="false">'H1 low-streak'!U82</f>
        <v>0.441025641025641</v>
      </c>
      <c r="L99" s="23" t="n">
        <f aca="false">'H1 low-streak'!M82</f>
        <v>34.4154</v>
      </c>
      <c r="M99" s="24" t="n">
        <f aca="false">'H1 low-streak'!V82</f>
        <v>0.195282051282051</v>
      </c>
      <c r="N99" s="24" t="n">
        <f aca="false">'H1 low-streak'!W82</f>
        <v>0.176489230769231</v>
      </c>
      <c r="O99" s="20" t="n">
        <f aca="false">'H1 low-streak'!N82</f>
        <v>12</v>
      </c>
      <c r="P99" s="20" t="n">
        <f aca="false">'H1 low-streak'!O82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156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100</v>
      </c>
      <c r="D6" s="26" t="n">
        <v>31</v>
      </c>
      <c r="E6" s="26" t="n">
        <v>31</v>
      </c>
      <c r="F6" s="26" t="n">
        <v>52</v>
      </c>
      <c r="G6" s="26" t="n">
        <v>46</v>
      </c>
      <c r="H6" s="26" t="n">
        <v>34</v>
      </c>
      <c r="I6" s="26" t="n">
        <v>31</v>
      </c>
      <c r="J6" s="26" t="n">
        <v>0</v>
      </c>
      <c r="K6" s="27" t="n">
        <v>-7</v>
      </c>
      <c r="L6" s="27" t="n">
        <v>36.5878</v>
      </c>
      <c r="M6" s="19" t="n">
        <f aca="false">K6-L6</f>
        <v>-43.5878</v>
      </c>
      <c r="N6" s="26" t="n">
        <v>5</v>
      </c>
      <c r="O6" s="26" t="n">
        <v>10</v>
      </c>
      <c r="P6" s="28" t="n">
        <f aca="false">IF($C6=0,"",D6/$C6)</f>
        <v>0.31</v>
      </c>
      <c r="Q6" s="28" t="n">
        <f aca="false">IF($C6=0,"",E6/$C6)</f>
        <v>0.31</v>
      </c>
      <c r="R6" s="28" t="n">
        <f aca="false">IF($C6=0,"",F6/$C6)</f>
        <v>0.52</v>
      </c>
      <c r="S6" s="28" t="n">
        <f aca="false">IF($C6=0,"",G6/$C6)</f>
        <v>0.46</v>
      </c>
      <c r="T6" s="28" t="n">
        <f aca="false">IF($C6=0,"",H6/$C6)</f>
        <v>0.34</v>
      </c>
      <c r="U6" s="28" t="n">
        <f aca="false">IF($C6=0,"",I6/$C6)</f>
        <v>0.31</v>
      </c>
      <c r="V6" s="29" t="n">
        <f aca="false">IF($C6=0,"",K6/$C6)</f>
        <v>-0.07</v>
      </c>
      <c r="W6" s="29" t="n">
        <f aca="false">IF($C6=0,"",M6/$C6)</f>
        <v>-0.435878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100</v>
      </c>
      <c r="D7" s="26" t="n">
        <v>28</v>
      </c>
      <c r="E7" s="26" t="n">
        <v>28</v>
      </c>
      <c r="F7" s="26" t="n">
        <v>50</v>
      </c>
      <c r="G7" s="26" t="n">
        <v>40</v>
      </c>
      <c r="H7" s="26" t="n">
        <v>35</v>
      </c>
      <c r="I7" s="26" t="n">
        <v>28</v>
      </c>
      <c r="J7" s="26" t="n">
        <v>0</v>
      </c>
      <c r="K7" s="27" t="n">
        <v>-16</v>
      </c>
      <c r="L7" s="27" t="n">
        <v>37.2194</v>
      </c>
      <c r="M7" s="19" t="n">
        <f aca="false">K7-L7</f>
        <v>-53.2194</v>
      </c>
      <c r="N7" s="26" t="n">
        <v>3</v>
      </c>
      <c r="O7" s="26" t="n">
        <v>11</v>
      </c>
      <c r="P7" s="28" t="n">
        <f aca="false">IF($C7=0,"",D7/$C7)</f>
        <v>0.28</v>
      </c>
      <c r="Q7" s="28" t="n">
        <f aca="false">IF($C7=0,"",E7/$C7)</f>
        <v>0.28</v>
      </c>
      <c r="R7" s="28" t="n">
        <f aca="false">IF($C7=0,"",F7/$C7)</f>
        <v>0.5</v>
      </c>
      <c r="S7" s="28" t="n">
        <f aca="false">IF($C7=0,"",G7/$C7)</f>
        <v>0.4</v>
      </c>
      <c r="T7" s="28" t="n">
        <f aca="false">IF($C7=0,"",H7/$C7)</f>
        <v>0.35</v>
      </c>
      <c r="U7" s="28" t="n">
        <f aca="false">IF($C7=0,"",I7/$C7)</f>
        <v>0.28</v>
      </c>
      <c r="V7" s="29" t="n">
        <f aca="false">IF($C7=0,"",K7/$C7)</f>
        <v>-0.16</v>
      </c>
      <c r="W7" s="29" t="n">
        <f aca="false">IF($C7=0,"",M7/$C7)</f>
        <v>-0.532194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115</v>
      </c>
      <c r="D8" s="26" t="n">
        <v>29</v>
      </c>
      <c r="E8" s="26" t="n">
        <v>29</v>
      </c>
      <c r="F8" s="26" t="n">
        <v>64</v>
      </c>
      <c r="G8" s="26" t="n">
        <v>48</v>
      </c>
      <c r="H8" s="26" t="n">
        <v>37</v>
      </c>
      <c r="I8" s="26" t="n">
        <v>29</v>
      </c>
      <c r="J8" s="26" t="n">
        <v>0</v>
      </c>
      <c r="K8" s="27" t="n">
        <v>-28</v>
      </c>
      <c r="L8" s="27" t="n">
        <v>48.6534</v>
      </c>
      <c r="M8" s="19" t="n">
        <f aca="false">K8-L8</f>
        <v>-76.6534</v>
      </c>
      <c r="N8" s="26" t="n">
        <v>3</v>
      </c>
      <c r="O8" s="26" t="n">
        <v>16</v>
      </c>
      <c r="P8" s="28" t="n">
        <f aca="false">IF($C8=0,"",D8/$C8)</f>
        <v>0.252173913043478</v>
      </c>
      <c r="Q8" s="28" t="n">
        <f aca="false">IF($C8=0,"",E8/$C8)</f>
        <v>0.252173913043478</v>
      </c>
      <c r="R8" s="28" t="n">
        <f aca="false">IF($C8=0,"",F8/$C8)</f>
        <v>0.556521739130435</v>
      </c>
      <c r="S8" s="28" t="n">
        <f aca="false">IF($C8=0,"",G8/$C8)</f>
        <v>0.417391304347826</v>
      </c>
      <c r="T8" s="28" t="n">
        <f aca="false">IF($C8=0,"",H8/$C8)</f>
        <v>0.321739130434783</v>
      </c>
      <c r="U8" s="28" t="n">
        <f aca="false">IF($C8=0,"",I8/$C8)</f>
        <v>0.252173913043478</v>
      </c>
      <c r="V8" s="29" t="n">
        <f aca="false">IF($C8=0,"",K8/$C8)</f>
        <v>-0.243478260869565</v>
      </c>
      <c r="W8" s="29" t="n">
        <f aca="false">IF($C8=0,"",M8/$C8)</f>
        <v>-0.666551304347826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105</v>
      </c>
      <c r="D9" s="26" t="n">
        <v>25</v>
      </c>
      <c r="E9" s="26" t="n">
        <v>25</v>
      </c>
      <c r="F9" s="26" t="n">
        <v>57</v>
      </c>
      <c r="G9" s="26" t="n">
        <v>45</v>
      </c>
      <c r="H9" s="26" t="n">
        <v>33</v>
      </c>
      <c r="I9" s="26" t="n">
        <v>25</v>
      </c>
      <c r="J9" s="26" t="n">
        <v>0</v>
      </c>
      <c r="K9" s="27" t="n">
        <v>-30</v>
      </c>
      <c r="L9" s="27" t="n">
        <v>65.1954</v>
      </c>
      <c r="M9" s="19" t="n">
        <f aca="false">K9-L9</f>
        <v>-95.1954</v>
      </c>
      <c r="N9" s="26" t="n">
        <v>3</v>
      </c>
      <c r="O9" s="26" t="n">
        <v>12</v>
      </c>
      <c r="P9" s="28" t="n">
        <f aca="false">IF($C9=0,"",D9/$C9)</f>
        <v>0.238095238095238</v>
      </c>
      <c r="Q9" s="28" t="n">
        <f aca="false">IF($C9=0,"",E9/$C9)</f>
        <v>0.238095238095238</v>
      </c>
      <c r="R9" s="28" t="n">
        <f aca="false">IF($C9=0,"",F9/$C9)</f>
        <v>0.542857142857143</v>
      </c>
      <c r="S9" s="28" t="n">
        <f aca="false">IF($C9=0,"",G9/$C9)</f>
        <v>0.428571428571429</v>
      </c>
      <c r="T9" s="28" t="n">
        <f aca="false">IF($C9=0,"",H9/$C9)</f>
        <v>0.314285714285714</v>
      </c>
      <c r="U9" s="28" t="n">
        <f aca="false">IF($C9=0,"",I9/$C9)</f>
        <v>0.238095238095238</v>
      </c>
      <c r="V9" s="29" t="n">
        <f aca="false">IF($C9=0,"",K9/$C9)</f>
        <v>-0.285714285714286</v>
      </c>
      <c r="W9" s="29" t="n">
        <f aca="false">IF($C9=0,"",M9/$C9)</f>
        <v>-0.906622857142857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105</v>
      </c>
      <c r="D10" s="26" t="n">
        <v>30</v>
      </c>
      <c r="E10" s="26" t="n">
        <v>30</v>
      </c>
      <c r="F10" s="26" t="n">
        <v>55</v>
      </c>
      <c r="G10" s="26" t="n">
        <v>43</v>
      </c>
      <c r="H10" s="26" t="n">
        <v>37</v>
      </c>
      <c r="I10" s="26" t="n">
        <v>30</v>
      </c>
      <c r="J10" s="26" t="n">
        <v>0</v>
      </c>
      <c r="K10" s="27" t="n">
        <v>-15</v>
      </c>
      <c r="L10" s="27" t="n">
        <v>55.0736</v>
      </c>
      <c r="M10" s="19" t="n">
        <f aca="false">K10-L10</f>
        <v>-70.0736</v>
      </c>
      <c r="N10" s="26" t="n">
        <v>3</v>
      </c>
      <c r="O10" s="26" t="n">
        <v>7</v>
      </c>
      <c r="P10" s="28" t="n">
        <f aca="false">IF($C10=0,"",D10/$C10)</f>
        <v>0.285714285714286</v>
      </c>
      <c r="Q10" s="28" t="n">
        <f aca="false">IF($C10=0,"",E10/$C10)</f>
        <v>0.285714285714286</v>
      </c>
      <c r="R10" s="28" t="n">
        <f aca="false">IF($C10=0,"",F10/$C10)</f>
        <v>0.523809523809524</v>
      </c>
      <c r="S10" s="28" t="n">
        <f aca="false">IF($C10=0,"",G10/$C10)</f>
        <v>0.40952380952381</v>
      </c>
      <c r="T10" s="28" t="n">
        <f aca="false">IF($C10=0,"",H10/$C10)</f>
        <v>0.352380952380952</v>
      </c>
      <c r="U10" s="28" t="n">
        <f aca="false">IF($C10=0,"",I10/$C10)</f>
        <v>0.285714285714286</v>
      </c>
      <c r="V10" s="29" t="n">
        <f aca="false">IF($C10=0,"",K10/$C10)</f>
        <v>-0.142857142857143</v>
      </c>
      <c r="W10" s="29" t="n">
        <f aca="false">IF($C10=0,"",M10/$C10)</f>
        <v>-0.667367619047619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110</v>
      </c>
      <c r="D11" s="26" t="n">
        <v>29</v>
      </c>
      <c r="E11" s="26" t="n">
        <v>29</v>
      </c>
      <c r="F11" s="26" t="n">
        <v>65</v>
      </c>
      <c r="G11" s="26" t="n">
        <v>49</v>
      </c>
      <c r="H11" s="26" t="n">
        <v>39</v>
      </c>
      <c r="I11" s="26" t="n">
        <v>29</v>
      </c>
      <c r="J11" s="26" t="n">
        <v>0</v>
      </c>
      <c r="K11" s="27" t="n">
        <v>-23</v>
      </c>
      <c r="L11" s="27" t="n">
        <v>69.3858</v>
      </c>
      <c r="M11" s="19" t="n">
        <f aca="false">K11-L11</f>
        <v>-92.3858</v>
      </c>
      <c r="N11" s="26" t="n">
        <v>5</v>
      </c>
      <c r="O11" s="26" t="n">
        <v>11</v>
      </c>
      <c r="P11" s="28" t="n">
        <f aca="false">IF($C11=0,"",D11/$C11)</f>
        <v>0.263636363636364</v>
      </c>
      <c r="Q11" s="28" t="n">
        <f aca="false">IF($C11=0,"",E11/$C11)</f>
        <v>0.263636363636364</v>
      </c>
      <c r="R11" s="28" t="n">
        <f aca="false">IF($C11=0,"",F11/$C11)</f>
        <v>0.590909090909091</v>
      </c>
      <c r="S11" s="28" t="n">
        <f aca="false">IF($C11=0,"",G11/$C11)</f>
        <v>0.445454545454545</v>
      </c>
      <c r="T11" s="28" t="n">
        <f aca="false">IF($C11=0,"",H11/$C11)</f>
        <v>0.354545454545455</v>
      </c>
      <c r="U11" s="28" t="n">
        <f aca="false">IF($C11=0,"",I11/$C11)</f>
        <v>0.263636363636364</v>
      </c>
      <c r="V11" s="29" t="n">
        <f aca="false">IF($C11=0,"",K11/$C11)</f>
        <v>-0.209090909090909</v>
      </c>
      <c r="W11" s="29" t="n">
        <f aca="false">IF($C11=0,"",M11/$C11)</f>
        <v>-0.839870909090909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110</v>
      </c>
      <c r="D12" s="26" t="n">
        <v>34</v>
      </c>
      <c r="E12" s="26" t="n">
        <v>34</v>
      </c>
      <c r="F12" s="26" t="n">
        <v>68</v>
      </c>
      <c r="G12" s="26" t="n">
        <v>54</v>
      </c>
      <c r="H12" s="26" t="n">
        <v>41</v>
      </c>
      <c r="I12" s="26" t="n">
        <v>34</v>
      </c>
      <c r="J12" s="26" t="n">
        <v>0</v>
      </c>
      <c r="K12" s="27" t="n">
        <v>-8</v>
      </c>
      <c r="L12" s="27" t="n">
        <v>81.9522</v>
      </c>
      <c r="M12" s="19" t="n">
        <f aca="false">K12-L12</f>
        <v>-89.9522</v>
      </c>
      <c r="N12" s="26" t="n">
        <v>2</v>
      </c>
      <c r="O12" s="26" t="n">
        <v>11</v>
      </c>
      <c r="P12" s="28" t="n">
        <f aca="false">IF($C12=0,"",D12/$C12)</f>
        <v>0.309090909090909</v>
      </c>
      <c r="Q12" s="28" t="n">
        <f aca="false">IF($C12=0,"",E12/$C12)</f>
        <v>0.309090909090909</v>
      </c>
      <c r="R12" s="28" t="n">
        <f aca="false">IF($C12=0,"",F12/$C12)</f>
        <v>0.618181818181818</v>
      </c>
      <c r="S12" s="28" t="n">
        <f aca="false">IF($C12=0,"",G12/$C12)</f>
        <v>0.490909090909091</v>
      </c>
      <c r="T12" s="28" t="n">
        <f aca="false">IF($C12=0,"",H12/$C12)</f>
        <v>0.372727272727273</v>
      </c>
      <c r="U12" s="28" t="n">
        <f aca="false">IF($C12=0,"",I12/$C12)</f>
        <v>0.309090909090909</v>
      </c>
      <c r="V12" s="29" t="n">
        <f aca="false">IF($C12=0,"",K12/$C12)</f>
        <v>-0.0727272727272727</v>
      </c>
      <c r="W12" s="29" t="n">
        <f aca="false">IF($C12=0,"",M12/$C12)</f>
        <v>-0.817747272727273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110</v>
      </c>
      <c r="D13" s="26" t="n">
        <v>37</v>
      </c>
      <c r="E13" s="26" t="n">
        <v>37</v>
      </c>
      <c r="F13" s="26" t="n">
        <v>63</v>
      </c>
      <c r="G13" s="26" t="n">
        <v>54</v>
      </c>
      <c r="H13" s="26" t="n">
        <v>45</v>
      </c>
      <c r="I13" s="26" t="n">
        <v>37</v>
      </c>
      <c r="J13" s="26" t="n">
        <v>0</v>
      </c>
      <c r="K13" s="27" t="n">
        <v>1</v>
      </c>
      <c r="L13" s="27" t="n">
        <v>85.345</v>
      </c>
      <c r="M13" s="19" t="n">
        <f aca="false">K13-L13</f>
        <v>-84.345</v>
      </c>
      <c r="N13" s="26" t="n">
        <v>4</v>
      </c>
      <c r="O13" s="26" t="n">
        <v>8</v>
      </c>
      <c r="P13" s="28" t="n">
        <f aca="false">IF($C13=0,"",D13/$C13)</f>
        <v>0.336363636363636</v>
      </c>
      <c r="Q13" s="28" t="n">
        <f aca="false">IF($C13=0,"",E13/$C13)</f>
        <v>0.336363636363636</v>
      </c>
      <c r="R13" s="28" t="n">
        <f aca="false">IF($C13=0,"",F13/$C13)</f>
        <v>0.572727272727273</v>
      </c>
      <c r="S13" s="28" t="n">
        <f aca="false">IF($C13=0,"",G13/$C13)</f>
        <v>0.490909090909091</v>
      </c>
      <c r="T13" s="28" t="n">
        <f aca="false">IF($C13=0,"",H13/$C13)</f>
        <v>0.409090909090909</v>
      </c>
      <c r="U13" s="28" t="n">
        <f aca="false">IF($C13=0,"",I13/$C13)</f>
        <v>0.336363636363636</v>
      </c>
      <c r="V13" s="29" t="n">
        <f aca="false">IF($C13=0,"",K13/$C13)</f>
        <v>0.00909090909090909</v>
      </c>
      <c r="W13" s="29" t="n">
        <f aca="false">IF($C13=0,"",M13/$C13)</f>
        <v>-0.766772727272727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110</v>
      </c>
      <c r="D14" s="26" t="n">
        <v>35</v>
      </c>
      <c r="E14" s="26" t="n">
        <v>35</v>
      </c>
      <c r="F14" s="26" t="n">
        <v>59</v>
      </c>
      <c r="G14" s="26" t="n">
        <v>45</v>
      </c>
      <c r="H14" s="26" t="n">
        <v>38</v>
      </c>
      <c r="I14" s="26" t="n">
        <v>35</v>
      </c>
      <c r="J14" s="26" t="n">
        <v>0</v>
      </c>
      <c r="K14" s="27" t="n">
        <v>-5</v>
      </c>
      <c r="L14" s="27" t="n">
        <v>80.3941</v>
      </c>
      <c r="M14" s="19" t="n">
        <f aca="false">K14-L14</f>
        <v>-85.3941</v>
      </c>
      <c r="N14" s="26" t="n">
        <v>3</v>
      </c>
      <c r="O14" s="26" t="n">
        <v>13</v>
      </c>
      <c r="P14" s="28" t="n">
        <f aca="false">IF($C14=0,"",D14/$C14)</f>
        <v>0.318181818181818</v>
      </c>
      <c r="Q14" s="28" t="n">
        <f aca="false">IF($C14=0,"",E14/$C14)</f>
        <v>0.318181818181818</v>
      </c>
      <c r="R14" s="28" t="n">
        <f aca="false">IF($C14=0,"",F14/$C14)</f>
        <v>0.536363636363636</v>
      </c>
      <c r="S14" s="28" t="n">
        <f aca="false">IF($C14=0,"",G14/$C14)</f>
        <v>0.409090909090909</v>
      </c>
      <c r="T14" s="28" t="n">
        <f aca="false">IF($C14=0,"",H14/$C14)</f>
        <v>0.345454545454545</v>
      </c>
      <c r="U14" s="28" t="n">
        <f aca="false">IF($C14=0,"",I14/$C14)</f>
        <v>0.318181818181818</v>
      </c>
      <c r="V14" s="29" t="n">
        <f aca="false">IF($C14=0,"",K14/$C14)</f>
        <v>-0.0454545454545455</v>
      </c>
      <c r="W14" s="29" t="n">
        <f aca="false">IF($C14=0,"",M14/$C14)</f>
        <v>-0.77631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105</v>
      </c>
      <c r="D15" s="26" t="n">
        <v>36</v>
      </c>
      <c r="E15" s="26" t="n">
        <v>36</v>
      </c>
      <c r="F15" s="26" t="n">
        <v>64</v>
      </c>
      <c r="G15" s="26" t="n">
        <v>52</v>
      </c>
      <c r="H15" s="26" t="n">
        <v>45</v>
      </c>
      <c r="I15" s="26" t="n">
        <v>36</v>
      </c>
      <c r="J15" s="26" t="n">
        <v>0</v>
      </c>
      <c r="K15" s="27" t="n">
        <v>3</v>
      </c>
      <c r="L15" s="27" t="n">
        <v>77.6831</v>
      </c>
      <c r="M15" s="19" t="n">
        <f aca="false">K15-L15</f>
        <v>-74.6831</v>
      </c>
      <c r="N15" s="26" t="n">
        <v>4</v>
      </c>
      <c r="O15" s="26" t="n">
        <v>15</v>
      </c>
      <c r="P15" s="28" t="n">
        <f aca="false">IF($C15=0,"",D15/$C15)</f>
        <v>0.342857142857143</v>
      </c>
      <c r="Q15" s="28" t="n">
        <f aca="false">IF($C15=0,"",E15/$C15)</f>
        <v>0.342857142857143</v>
      </c>
      <c r="R15" s="28" t="n">
        <f aca="false">IF($C15=0,"",F15/$C15)</f>
        <v>0.60952380952381</v>
      </c>
      <c r="S15" s="28" t="n">
        <f aca="false">IF($C15=0,"",G15/$C15)</f>
        <v>0.495238095238095</v>
      </c>
      <c r="T15" s="28" t="n">
        <f aca="false">IF($C15=0,"",H15/$C15)</f>
        <v>0.428571428571429</v>
      </c>
      <c r="U15" s="28" t="n">
        <f aca="false">IF($C15=0,"",I15/$C15)</f>
        <v>0.342857142857143</v>
      </c>
      <c r="V15" s="29" t="n">
        <f aca="false">IF($C15=0,"",K15/$C15)</f>
        <v>0.0285714285714286</v>
      </c>
      <c r="W15" s="29" t="n">
        <f aca="false">IF($C15=0,"",M15/$C15)</f>
        <v>-0.711267619047619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110</v>
      </c>
      <c r="D16" s="26" t="n">
        <v>25</v>
      </c>
      <c r="E16" s="26" t="n">
        <v>25</v>
      </c>
      <c r="F16" s="26" t="n">
        <v>48</v>
      </c>
      <c r="G16" s="26" t="n">
        <v>39</v>
      </c>
      <c r="H16" s="26" t="n">
        <v>31</v>
      </c>
      <c r="I16" s="26" t="n">
        <v>25</v>
      </c>
      <c r="J16" s="26" t="n">
        <v>0</v>
      </c>
      <c r="K16" s="27" t="n">
        <v>-35</v>
      </c>
      <c r="L16" s="27" t="n">
        <v>65.4417</v>
      </c>
      <c r="M16" s="19" t="n">
        <f aca="false">K16-L16</f>
        <v>-100.4417</v>
      </c>
      <c r="N16" s="26" t="n">
        <v>4</v>
      </c>
      <c r="O16" s="26" t="n">
        <v>15</v>
      </c>
      <c r="P16" s="28" t="n">
        <f aca="false">IF($C16=0,"",D16/$C16)</f>
        <v>0.227272727272727</v>
      </c>
      <c r="Q16" s="28" t="n">
        <f aca="false">IF($C16=0,"",E16/$C16)</f>
        <v>0.227272727272727</v>
      </c>
      <c r="R16" s="28" t="n">
        <f aca="false">IF($C16=0,"",F16/$C16)</f>
        <v>0.436363636363636</v>
      </c>
      <c r="S16" s="28" t="n">
        <f aca="false">IF($C16=0,"",G16/$C16)</f>
        <v>0.354545454545455</v>
      </c>
      <c r="T16" s="28" t="n">
        <f aca="false">IF($C16=0,"",H16/$C16)</f>
        <v>0.281818181818182</v>
      </c>
      <c r="U16" s="28" t="n">
        <f aca="false">IF($C16=0,"",I16/$C16)</f>
        <v>0.227272727272727</v>
      </c>
      <c r="V16" s="29" t="n">
        <f aca="false">IF($C16=0,"",K16/$C16)</f>
        <v>-0.318181818181818</v>
      </c>
      <c r="W16" s="29" t="n">
        <f aca="false">IF($C16=0,"",M16/$C16)</f>
        <v>-0.913106363636364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110</v>
      </c>
      <c r="D17" s="26" t="n">
        <v>28</v>
      </c>
      <c r="E17" s="26" t="n">
        <v>28</v>
      </c>
      <c r="F17" s="26" t="n">
        <v>61</v>
      </c>
      <c r="G17" s="26" t="n">
        <v>52</v>
      </c>
      <c r="H17" s="26" t="n">
        <v>40</v>
      </c>
      <c r="I17" s="26" t="n">
        <v>28</v>
      </c>
      <c r="J17" s="26" t="n">
        <v>0</v>
      </c>
      <c r="K17" s="27" t="n">
        <v>-26</v>
      </c>
      <c r="L17" s="27" t="n">
        <v>72.0903</v>
      </c>
      <c r="M17" s="19" t="n">
        <f aca="false">K17-L17</f>
        <v>-98.0903</v>
      </c>
      <c r="N17" s="26" t="n">
        <v>3</v>
      </c>
      <c r="O17" s="26" t="n">
        <v>22</v>
      </c>
      <c r="P17" s="28" t="n">
        <f aca="false">IF($C17=0,"",D17/$C17)</f>
        <v>0.254545454545455</v>
      </c>
      <c r="Q17" s="28" t="n">
        <f aca="false">IF($C17=0,"",E17/$C17)</f>
        <v>0.254545454545455</v>
      </c>
      <c r="R17" s="28" t="n">
        <f aca="false">IF($C17=0,"",F17/$C17)</f>
        <v>0.554545454545455</v>
      </c>
      <c r="S17" s="28" t="n">
        <f aca="false">IF($C17=0,"",G17/$C17)</f>
        <v>0.472727272727273</v>
      </c>
      <c r="T17" s="28" t="n">
        <f aca="false">IF($C17=0,"",H17/$C17)</f>
        <v>0.363636363636364</v>
      </c>
      <c r="U17" s="28" t="n">
        <f aca="false">IF($C17=0,"",I17/$C17)</f>
        <v>0.254545454545455</v>
      </c>
      <c r="V17" s="29" t="n">
        <f aca="false">IF($C17=0,"",K17/$C17)</f>
        <v>-0.236363636363636</v>
      </c>
      <c r="W17" s="29" t="n">
        <f aca="false">IF($C17=0,"",M17/$C17)</f>
        <v>-0.89173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1290</v>
      </c>
      <c r="D18" s="30" t="n">
        <f aca="false">SUM(D6:D17)</f>
        <v>367</v>
      </c>
      <c r="E18" s="30" t="n">
        <f aca="false">SUM(E6:E17)</f>
        <v>367</v>
      </c>
      <c r="F18" s="30" t="n">
        <f aca="false">SUM(F6:F17)</f>
        <v>706</v>
      </c>
      <c r="G18" s="30" t="n">
        <f aca="false">SUM(G6:G17)</f>
        <v>567</v>
      </c>
      <c r="H18" s="30" t="n">
        <f aca="false">SUM(H6:H17)</f>
        <v>455</v>
      </c>
      <c r="I18" s="30" t="n">
        <f aca="false">SUM(I6:I17)</f>
        <v>367</v>
      </c>
      <c r="J18" s="30" t="n">
        <f aca="false">SUM(J6:J17)</f>
        <v>0</v>
      </c>
      <c r="K18" s="31" t="n">
        <f aca="false">SUM(K6:K17)</f>
        <v>-189</v>
      </c>
      <c r="L18" s="31" t="n">
        <f aca="false">SUM(L6:L17)</f>
        <v>775.0218</v>
      </c>
      <c r="M18" s="31" t="n">
        <f aca="false">K18-L18</f>
        <v>-964.0218</v>
      </c>
      <c r="N18" s="32" t="n">
        <v>5</v>
      </c>
      <c r="O18" s="32" t="n">
        <v>22</v>
      </c>
      <c r="P18" s="33" t="n">
        <f aca="false">IF($C18=0,"",D18/$C18)</f>
        <v>0.284496124031008</v>
      </c>
      <c r="Q18" s="33" t="n">
        <f aca="false">IF($C18=0,"",E18/$C18)</f>
        <v>0.284496124031008</v>
      </c>
      <c r="R18" s="33" t="n">
        <f aca="false">IF($C18=0,"",F18/$C18)</f>
        <v>0.547286821705426</v>
      </c>
      <c r="S18" s="33" t="n">
        <f aca="false">IF($C18=0,"",G18/$C18)</f>
        <v>0.43953488372093</v>
      </c>
      <c r="T18" s="33" t="n">
        <f aca="false">IF($C18=0,"",H18/$C18)</f>
        <v>0.352713178294574</v>
      </c>
      <c r="U18" s="33" t="n">
        <f aca="false">IF($C18=0,"",I18/$C18)</f>
        <v>0.284496124031008</v>
      </c>
      <c r="V18" s="34" t="n">
        <f aca="false">IF($C18=0,"",K18/$C18)</f>
        <v>-0.146511627906977</v>
      </c>
      <c r="W18" s="34" t="n">
        <f aca="false">IF($C18=0,"",M18/$C18)</f>
        <v>-0.747303720930233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105</v>
      </c>
      <c r="D19" s="26" t="n">
        <v>36</v>
      </c>
      <c r="E19" s="26" t="n">
        <v>36</v>
      </c>
      <c r="F19" s="26" t="n">
        <v>62</v>
      </c>
      <c r="G19" s="26" t="n">
        <v>49</v>
      </c>
      <c r="H19" s="26" t="n">
        <v>40</v>
      </c>
      <c r="I19" s="26" t="n">
        <v>36</v>
      </c>
      <c r="J19" s="26" t="n">
        <v>0</v>
      </c>
      <c r="K19" s="27" t="n">
        <v>3</v>
      </c>
      <c r="L19" s="27" t="n">
        <v>69.8141</v>
      </c>
      <c r="M19" s="19" t="n">
        <f aca="false">K19-L19</f>
        <v>-66.8141</v>
      </c>
      <c r="N19" s="26" t="n">
        <v>3</v>
      </c>
      <c r="O19" s="26" t="n">
        <v>7</v>
      </c>
      <c r="P19" s="28" t="n">
        <f aca="false">IF($C19=0,"",D19/$C19)</f>
        <v>0.342857142857143</v>
      </c>
      <c r="Q19" s="28" t="n">
        <f aca="false">IF($C19=0,"",E19/$C19)</f>
        <v>0.342857142857143</v>
      </c>
      <c r="R19" s="28" t="n">
        <f aca="false">IF($C19=0,"",F19/$C19)</f>
        <v>0.590476190476191</v>
      </c>
      <c r="S19" s="28" t="n">
        <f aca="false">IF($C19=0,"",G19/$C19)</f>
        <v>0.466666666666667</v>
      </c>
      <c r="T19" s="28" t="n">
        <f aca="false">IF($C19=0,"",H19/$C19)</f>
        <v>0.380952380952381</v>
      </c>
      <c r="U19" s="28" t="n">
        <f aca="false">IF($C19=0,"",I19/$C19)</f>
        <v>0.342857142857143</v>
      </c>
      <c r="V19" s="29" t="n">
        <f aca="false">IF($C19=0,"",K19/$C19)</f>
        <v>0.0285714285714286</v>
      </c>
      <c r="W19" s="29" t="n">
        <f aca="false">IF($C19=0,"",M19/$C19)</f>
        <v>-0.636324761904762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100</v>
      </c>
      <c r="D20" s="26" t="n">
        <v>26</v>
      </c>
      <c r="E20" s="26" t="n">
        <v>26</v>
      </c>
      <c r="F20" s="26" t="n">
        <v>48</v>
      </c>
      <c r="G20" s="26" t="n">
        <v>35</v>
      </c>
      <c r="H20" s="26" t="n">
        <v>32</v>
      </c>
      <c r="I20" s="26" t="n">
        <v>26</v>
      </c>
      <c r="J20" s="26" t="n">
        <v>0</v>
      </c>
      <c r="K20" s="27" t="n">
        <v>-22</v>
      </c>
      <c r="L20" s="27" t="n">
        <v>59.3136</v>
      </c>
      <c r="M20" s="19" t="n">
        <f aca="false">K20-L20</f>
        <v>-81.3136</v>
      </c>
      <c r="N20" s="26" t="n">
        <v>4</v>
      </c>
      <c r="O20" s="26" t="n">
        <v>9</v>
      </c>
      <c r="P20" s="28" t="n">
        <f aca="false">IF($C20=0,"",D20/$C20)</f>
        <v>0.26</v>
      </c>
      <c r="Q20" s="28" t="n">
        <f aca="false">IF($C20=0,"",E20/$C20)</f>
        <v>0.26</v>
      </c>
      <c r="R20" s="28" t="n">
        <f aca="false">IF($C20=0,"",F20/$C20)</f>
        <v>0.48</v>
      </c>
      <c r="S20" s="28" t="n">
        <f aca="false">IF($C20=0,"",G20/$C20)</f>
        <v>0.35</v>
      </c>
      <c r="T20" s="28" t="n">
        <f aca="false">IF($C20=0,"",H20/$C20)</f>
        <v>0.32</v>
      </c>
      <c r="U20" s="28" t="n">
        <f aca="false">IF($C20=0,"",I20/$C20)</f>
        <v>0.26</v>
      </c>
      <c r="V20" s="29" t="n">
        <f aca="false">IF($C20=0,"",K20/$C20)</f>
        <v>-0.22</v>
      </c>
      <c r="W20" s="29" t="n">
        <f aca="false">IF($C20=0,"",M20/$C20)</f>
        <v>-0.813136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115</v>
      </c>
      <c r="D21" s="26" t="n">
        <v>39</v>
      </c>
      <c r="E21" s="26" t="n">
        <v>39</v>
      </c>
      <c r="F21" s="26" t="n">
        <v>72</v>
      </c>
      <c r="G21" s="26" t="n">
        <v>57</v>
      </c>
      <c r="H21" s="26" t="n">
        <v>46</v>
      </c>
      <c r="I21" s="26" t="n">
        <v>39</v>
      </c>
      <c r="J21" s="26" t="n">
        <v>0</v>
      </c>
      <c r="K21" s="27" t="n">
        <v>2</v>
      </c>
      <c r="L21" s="27" t="n">
        <v>51.3935</v>
      </c>
      <c r="M21" s="19" t="n">
        <f aca="false">K21-L21</f>
        <v>-49.3935</v>
      </c>
      <c r="N21" s="26" t="n">
        <v>6</v>
      </c>
      <c r="O21" s="26" t="n">
        <v>8</v>
      </c>
      <c r="P21" s="28" t="n">
        <f aca="false">IF($C21=0,"",D21/$C21)</f>
        <v>0.339130434782609</v>
      </c>
      <c r="Q21" s="28" t="n">
        <f aca="false">IF($C21=0,"",E21/$C21)</f>
        <v>0.339130434782609</v>
      </c>
      <c r="R21" s="28" t="n">
        <f aca="false">IF($C21=0,"",F21/$C21)</f>
        <v>0.626086956521739</v>
      </c>
      <c r="S21" s="28" t="n">
        <f aca="false">IF($C21=0,"",G21/$C21)</f>
        <v>0.495652173913044</v>
      </c>
      <c r="T21" s="28" t="n">
        <f aca="false">IF($C21=0,"",H21/$C21)</f>
        <v>0.4</v>
      </c>
      <c r="U21" s="28" t="n">
        <f aca="false">IF($C21=0,"",I21/$C21)</f>
        <v>0.339130434782609</v>
      </c>
      <c r="V21" s="29" t="n">
        <f aca="false">IF($C21=0,"",K21/$C21)</f>
        <v>0.0173913043478261</v>
      </c>
      <c r="W21" s="29" t="n">
        <f aca="false">IF($C21=0,"",M21/$C21)</f>
        <v>-0.429508695652174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100</v>
      </c>
      <c r="D22" s="26" t="n">
        <v>27</v>
      </c>
      <c r="E22" s="26" t="n">
        <v>27</v>
      </c>
      <c r="F22" s="26" t="n">
        <v>53</v>
      </c>
      <c r="G22" s="26" t="n">
        <v>41</v>
      </c>
      <c r="H22" s="26" t="n">
        <v>32</v>
      </c>
      <c r="I22" s="26" t="n">
        <v>27</v>
      </c>
      <c r="J22" s="26" t="n">
        <v>0</v>
      </c>
      <c r="K22" s="27" t="n">
        <v>-19</v>
      </c>
      <c r="L22" s="27" t="n">
        <v>59.6185</v>
      </c>
      <c r="M22" s="19" t="n">
        <f aca="false">K22-L22</f>
        <v>-78.6185</v>
      </c>
      <c r="N22" s="26" t="n">
        <v>4</v>
      </c>
      <c r="O22" s="26" t="n">
        <v>16</v>
      </c>
      <c r="P22" s="28" t="n">
        <f aca="false">IF($C22=0,"",D22/$C22)</f>
        <v>0.27</v>
      </c>
      <c r="Q22" s="28" t="n">
        <f aca="false">IF($C22=0,"",E22/$C22)</f>
        <v>0.27</v>
      </c>
      <c r="R22" s="28" t="n">
        <f aca="false">IF($C22=0,"",F22/$C22)</f>
        <v>0.53</v>
      </c>
      <c r="S22" s="28" t="n">
        <f aca="false">IF($C22=0,"",G22/$C22)</f>
        <v>0.41</v>
      </c>
      <c r="T22" s="28" t="n">
        <f aca="false">IF($C22=0,"",H22/$C22)</f>
        <v>0.32</v>
      </c>
      <c r="U22" s="28" t="n">
        <f aca="false">IF($C22=0,"",I22/$C22)</f>
        <v>0.27</v>
      </c>
      <c r="V22" s="29" t="n">
        <f aca="false">IF($C22=0,"",K22/$C22)</f>
        <v>-0.19</v>
      </c>
      <c r="W22" s="29" t="n">
        <f aca="false">IF($C22=0,"",M22/$C22)</f>
        <v>-0.786185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110</v>
      </c>
      <c r="D23" s="26" t="n">
        <v>31</v>
      </c>
      <c r="E23" s="26" t="n">
        <v>31</v>
      </c>
      <c r="F23" s="26" t="n">
        <v>63</v>
      </c>
      <c r="G23" s="26" t="n">
        <v>50</v>
      </c>
      <c r="H23" s="26" t="n">
        <v>37</v>
      </c>
      <c r="I23" s="26" t="n">
        <v>31</v>
      </c>
      <c r="J23" s="26" t="n">
        <v>0</v>
      </c>
      <c r="K23" s="27" t="n">
        <v>-17</v>
      </c>
      <c r="L23" s="27" t="n">
        <v>56.9175</v>
      </c>
      <c r="M23" s="19" t="n">
        <f aca="false">K23-L23</f>
        <v>-73.9175</v>
      </c>
      <c r="N23" s="26" t="n">
        <v>3</v>
      </c>
      <c r="O23" s="26" t="n">
        <v>13</v>
      </c>
      <c r="P23" s="28" t="n">
        <f aca="false">IF($C23=0,"",D23/$C23)</f>
        <v>0.281818181818182</v>
      </c>
      <c r="Q23" s="28" t="n">
        <f aca="false">IF($C23=0,"",E23/$C23)</f>
        <v>0.281818181818182</v>
      </c>
      <c r="R23" s="28" t="n">
        <f aca="false">IF($C23=0,"",F23/$C23)</f>
        <v>0.572727272727273</v>
      </c>
      <c r="S23" s="28" t="n">
        <f aca="false">IF($C23=0,"",G23/$C23)</f>
        <v>0.454545454545455</v>
      </c>
      <c r="T23" s="28" t="n">
        <f aca="false">IF($C23=0,"",H23/$C23)</f>
        <v>0.336363636363636</v>
      </c>
      <c r="U23" s="28" t="n">
        <f aca="false">IF($C23=0,"",I23/$C23)</f>
        <v>0.281818181818182</v>
      </c>
      <c r="V23" s="29" t="n">
        <f aca="false">IF($C23=0,"",K23/$C23)</f>
        <v>-0.154545454545455</v>
      </c>
      <c r="W23" s="29" t="n">
        <f aca="false">IF($C23=0,"",M23/$C23)</f>
        <v>-0.671977272727273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110</v>
      </c>
      <c r="D24" s="26" t="n">
        <v>34</v>
      </c>
      <c r="E24" s="26" t="n">
        <v>34</v>
      </c>
      <c r="F24" s="26" t="n">
        <v>66</v>
      </c>
      <c r="G24" s="26" t="n">
        <v>52</v>
      </c>
      <c r="H24" s="26" t="n">
        <v>43</v>
      </c>
      <c r="I24" s="26" t="n">
        <v>34</v>
      </c>
      <c r="J24" s="26" t="n">
        <v>0</v>
      </c>
      <c r="K24" s="27" t="n">
        <v>-8</v>
      </c>
      <c r="L24" s="27" t="n">
        <v>71.9575</v>
      </c>
      <c r="M24" s="19" t="n">
        <f aca="false">K24-L24</f>
        <v>-79.9575</v>
      </c>
      <c r="N24" s="26" t="n">
        <v>3</v>
      </c>
      <c r="O24" s="26" t="n">
        <v>11</v>
      </c>
      <c r="P24" s="28" t="n">
        <f aca="false">IF($C24=0,"",D24/$C24)</f>
        <v>0.309090909090909</v>
      </c>
      <c r="Q24" s="28" t="n">
        <f aca="false">IF($C24=0,"",E24/$C24)</f>
        <v>0.309090909090909</v>
      </c>
      <c r="R24" s="28" t="n">
        <f aca="false">IF($C24=0,"",F24/$C24)</f>
        <v>0.6</v>
      </c>
      <c r="S24" s="28" t="n">
        <f aca="false">IF($C24=0,"",G24/$C24)</f>
        <v>0.472727272727273</v>
      </c>
      <c r="T24" s="28" t="n">
        <f aca="false">IF($C24=0,"",H24/$C24)</f>
        <v>0.390909090909091</v>
      </c>
      <c r="U24" s="28" t="n">
        <f aca="false">IF($C24=0,"",I24/$C24)</f>
        <v>0.309090909090909</v>
      </c>
      <c r="V24" s="29" t="n">
        <f aca="false">IF($C24=0,"",K24/$C24)</f>
        <v>-0.0727272727272727</v>
      </c>
      <c r="W24" s="29" t="n">
        <f aca="false">IF($C24=0,"",M24/$C24)</f>
        <v>-0.726886363636364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105</v>
      </c>
      <c r="D25" s="26" t="n">
        <v>37</v>
      </c>
      <c r="E25" s="26" t="n">
        <v>37</v>
      </c>
      <c r="F25" s="26" t="n">
        <v>65</v>
      </c>
      <c r="G25" s="26" t="n">
        <v>52</v>
      </c>
      <c r="H25" s="26" t="n">
        <v>46</v>
      </c>
      <c r="I25" s="26" t="n">
        <v>37</v>
      </c>
      <c r="J25" s="26" t="n">
        <v>0</v>
      </c>
      <c r="K25" s="27" t="n">
        <v>6</v>
      </c>
      <c r="L25" s="27" t="n">
        <v>66.8647</v>
      </c>
      <c r="M25" s="19" t="n">
        <f aca="false">K25-L25</f>
        <v>-60.8647</v>
      </c>
      <c r="N25" s="26" t="n">
        <v>4</v>
      </c>
      <c r="O25" s="26" t="n">
        <v>9</v>
      </c>
      <c r="P25" s="28" t="n">
        <f aca="false">IF($C25=0,"",D25/$C25)</f>
        <v>0.352380952380952</v>
      </c>
      <c r="Q25" s="28" t="n">
        <f aca="false">IF($C25=0,"",E25/$C25)</f>
        <v>0.352380952380952</v>
      </c>
      <c r="R25" s="28" t="n">
        <f aca="false">IF($C25=0,"",F25/$C25)</f>
        <v>0.619047619047619</v>
      </c>
      <c r="S25" s="28" t="n">
        <f aca="false">IF($C25=0,"",G25/$C25)</f>
        <v>0.495238095238095</v>
      </c>
      <c r="T25" s="28" t="n">
        <f aca="false">IF($C25=0,"",H25/$C25)</f>
        <v>0.438095238095238</v>
      </c>
      <c r="U25" s="28" t="n">
        <f aca="false">IF($C25=0,"",I25/$C25)</f>
        <v>0.352380952380952</v>
      </c>
      <c r="V25" s="29" t="n">
        <f aca="false">IF($C25=0,"",K25/$C25)</f>
        <v>0.0571428571428571</v>
      </c>
      <c r="W25" s="29" t="n">
        <f aca="false">IF($C25=0,"",M25/$C25)</f>
        <v>-0.57966380952381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115</v>
      </c>
      <c r="D26" s="26" t="n">
        <v>33</v>
      </c>
      <c r="E26" s="26" t="n">
        <v>33</v>
      </c>
      <c r="F26" s="26" t="n">
        <v>67</v>
      </c>
      <c r="G26" s="26" t="n">
        <v>55</v>
      </c>
      <c r="H26" s="26" t="n">
        <v>41</v>
      </c>
      <c r="I26" s="26" t="n">
        <v>33</v>
      </c>
      <c r="J26" s="26" t="n">
        <v>0</v>
      </c>
      <c r="K26" s="27" t="n">
        <v>-16</v>
      </c>
      <c r="L26" s="27" t="n">
        <v>81.0029</v>
      </c>
      <c r="M26" s="19" t="n">
        <f aca="false">K26-L26</f>
        <v>-97.0029</v>
      </c>
      <c r="N26" s="26" t="n">
        <v>5</v>
      </c>
      <c r="O26" s="26" t="n">
        <v>10</v>
      </c>
      <c r="P26" s="28" t="n">
        <f aca="false">IF($C26=0,"",D26/$C26)</f>
        <v>0.28695652173913</v>
      </c>
      <c r="Q26" s="28" t="n">
        <f aca="false">IF($C26=0,"",E26/$C26)</f>
        <v>0.28695652173913</v>
      </c>
      <c r="R26" s="28" t="n">
        <f aca="false">IF($C26=0,"",F26/$C26)</f>
        <v>0.582608695652174</v>
      </c>
      <c r="S26" s="28" t="n">
        <f aca="false">IF($C26=0,"",G26/$C26)</f>
        <v>0.478260869565217</v>
      </c>
      <c r="T26" s="28" t="n">
        <f aca="false">IF($C26=0,"",H26/$C26)</f>
        <v>0.356521739130435</v>
      </c>
      <c r="U26" s="28" t="n">
        <f aca="false">IF($C26=0,"",I26/$C26)</f>
        <v>0.28695652173913</v>
      </c>
      <c r="V26" s="29" t="n">
        <f aca="false">IF($C26=0,"",K26/$C26)</f>
        <v>-0.139130434782609</v>
      </c>
      <c r="W26" s="29" t="n">
        <f aca="false">IF($C26=0,"",M26/$C26)</f>
        <v>-0.84350347826087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110</v>
      </c>
      <c r="D27" s="26" t="n">
        <v>38</v>
      </c>
      <c r="E27" s="26" t="n">
        <v>38</v>
      </c>
      <c r="F27" s="26" t="n">
        <v>61</v>
      </c>
      <c r="G27" s="26" t="n">
        <v>49</v>
      </c>
      <c r="H27" s="26" t="n">
        <v>41</v>
      </c>
      <c r="I27" s="26" t="n">
        <v>38</v>
      </c>
      <c r="J27" s="26" t="n">
        <v>0</v>
      </c>
      <c r="K27" s="27" t="n">
        <v>4</v>
      </c>
      <c r="L27" s="27" t="n">
        <v>69.921</v>
      </c>
      <c r="M27" s="19" t="n">
        <f aca="false">K27-L27</f>
        <v>-65.921</v>
      </c>
      <c r="N27" s="26" t="n">
        <v>6</v>
      </c>
      <c r="O27" s="26" t="n">
        <v>12</v>
      </c>
      <c r="P27" s="28" t="n">
        <f aca="false">IF($C27=0,"",D27/$C27)</f>
        <v>0.345454545454545</v>
      </c>
      <c r="Q27" s="28" t="n">
        <f aca="false">IF($C27=0,"",E27/$C27)</f>
        <v>0.345454545454545</v>
      </c>
      <c r="R27" s="28" t="n">
        <f aca="false">IF($C27=0,"",F27/$C27)</f>
        <v>0.554545454545455</v>
      </c>
      <c r="S27" s="28" t="n">
        <f aca="false">IF($C27=0,"",G27/$C27)</f>
        <v>0.445454545454545</v>
      </c>
      <c r="T27" s="28" t="n">
        <f aca="false">IF($C27=0,"",H27/$C27)</f>
        <v>0.372727272727273</v>
      </c>
      <c r="U27" s="28" t="n">
        <f aca="false">IF($C27=0,"",I27/$C27)</f>
        <v>0.345454545454545</v>
      </c>
      <c r="V27" s="29" t="n">
        <f aca="false">IF($C27=0,"",K27/$C27)</f>
        <v>0.0363636363636364</v>
      </c>
      <c r="W27" s="29" t="n">
        <f aca="false">IF($C27=0,"",M27/$C27)</f>
        <v>-0.599281818181818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105</v>
      </c>
      <c r="D28" s="26" t="n">
        <v>36</v>
      </c>
      <c r="E28" s="26" t="n">
        <v>36</v>
      </c>
      <c r="F28" s="26" t="n">
        <v>57</v>
      </c>
      <c r="G28" s="26" t="n">
        <v>49</v>
      </c>
      <c r="H28" s="26" t="n">
        <v>39</v>
      </c>
      <c r="I28" s="26" t="n">
        <v>36</v>
      </c>
      <c r="J28" s="26" t="n">
        <v>0</v>
      </c>
      <c r="K28" s="27" t="n">
        <v>3</v>
      </c>
      <c r="L28" s="27" t="n">
        <v>66.7744</v>
      </c>
      <c r="M28" s="19" t="n">
        <f aca="false">K28-L28</f>
        <v>-63.7744</v>
      </c>
      <c r="N28" s="26" t="n">
        <v>5</v>
      </c>
      <c r="O28" s="26" t="n">
        <v>7</v>
      </c>
      <c r="P28" s="28" t="n">
        <f aca="false">IF($C28=0,"",D28/$C28)</f>
        <v>0.342857142857143</v>
      </c>
      <c r="Q28" s="28" t="n">
        <f aca="false">IF($C28=0,"",E28/$C28)</f>
        <v>0.342857142857143</v>
      </c>
      <c r="R28" s="28" t="n">
        <f aca="false">IF($C28=0,"",F28/$C28)</f>
        <v>0.542857142857143</v>
      </c>
      <c r="S28" s="28" t="n">
        <f aca="false">IF($C28=0,"",G28/$C28)</f>
        <v>0.466666666666667</v>
      </c>
      <c r="T28" s="28" t="n">
        <f aca="false">IF($C28=0,"",H28/$C28)</f>
        <v>0.371428571428571</v>
      </c>
      <c r="U28" s="28" t="n">
        <f aca="false">IF($C28=0,"",I28/$C28)</f>
        <v>0.342857142857143</v>
      </c>
      <c r="V28" s="29" t="n">
        <f aca="false">IF($C28=0,"",K28/$C28)</f>
        <v>0.0285714285714286</v>
      </c>
      <c r="W28" s="29" t="n">
        <f aca="false">IF($C28=0,"",M28/$C28)</f>
        <v>-0.607375238095238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110</v>
      </c>
      <c r="D29" s="26" t="n">
        <v>25</v>
      </c>
      <c r="E29" s="26" t="n">
        <v>25</v>
      </c>
      <c r="F29" s="26" t="n">
        <v>58</v>
      </c>
      <c r="G29" s="26" t="n">
        <v>40</v>
      </c>
      <c r="H29" s="26" t="n">
        <v>30</v>
      </c>
      <c r="I29" s="26" t="n">
        <v>25</v>
      </c>
      <c r="J29" s="26" t="n">
        <v>0</v>
      </c>
      <c r="K29" s="27" t="n">
        <v>-35</v>
      </c>
      <c r="L29" s="27" t="n">
        <v>54.7948</v>
      </c>
      <c r="M29" s="19" t="n">
        <f aca="false">K29-L29</f>
        <v>-89.7948</v>
      </c>
      <c r="N29" s="26" t="n">
        <v>2</v>
      </c>
      <c r="O29" s="26" t="n">
        <v>11</v>
      </c>
      <c r="P29" s="28" t="n">
        <f aca="false">IF($C29=0,"",D29/$C29)</f>
        <v>0.227272727272727</v>
      </c>
      <c r="Q29" s="28" t="n">
        <f aca="false">IF($C29=0,"",E29/$C29)</f>
        <v>0.227272727272727</v>
      </c>
      <c r="R29" s="28" t="n">
        <f aca="false">IF($C29=0,"",F29/$C29)</f>
        <v>0.527272727272727</v>
      </c>
      <c r="S29" s="28" t="n">
        <f aca="false">IF($C29=0,"",G29/$C29)</f>
        <v>0.363636363636364</v>
      </c>
      <c r="T29" s="28" t="n">
        <f aca="false">IF($C29=0,"",H29/$C29)</f>
        <v>0.272727272727273</v>
      </c>
      <c r="U29" s="28" t="n">
        <f aca="false">IF($C29=0,"",I29/$C29)</f>
        <v>0.227272727272727</v>
      </c>
      <c r="V29" s="29" t="n">
        <f aca="false">IF($C29=0,"",K29/$C29)</f>
        <v>-0.318181818181818</v>
      </c>
      <c r="W29" s="29" t="n">
        <f aca="false">IF($C29=0,"",M29/$C29)</f>
        <v>-0.816316363636364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105</v>
      </c>
      <c r="D30" s="26" t="n">
        <v>41</v>
      </c>
      <c r="E30" s="26" t="n">
        <v>41</v>
      </c>
      <c r="F30" s="26" t="n">
        <v>66</v>
      </c>
      <c r="G30" s="26" t="n">
        <v>53</v>
      </c>
      <c r="H30" s="26" t="n">
        <v>44</v>
      </c>
      <c r="I30" s="26" t="n">
        <v>41</v>
      </c>
      <c r="J30" s="26" t="n">
        <v>0</v>
      </c>
      <c r="K30" s="27" t="n">
        <v>18</v>
      </c>
      <c r="L30" s="27" t="n">
        <v>54.1205</v>
      </c>
      <c r="M30" s="19" t="n">
        <f aca="false">K30-L30</f>
        <v>-36.1205</v>
      </c>
      <c r="N30" s="26" t="n">
        <v>5</v>
      </c>
      <c r="O30" s="26" t="n">
        <v>12</v>
      </c>
      <c r="P30" s="28" t="n">
        <f aca="false">IF($C30=0,"",D30/$C30)</f>
        <v>0.390476190476191</v>
      </c>
      <c r="Q30" s="28" t="n">
        <f aca="false">IF($C30=0,"",E30/$C30)</f>
        <v>0.390476190476191</v>
      </c>
      <c r="R30" s="28" t="n">
        <f aca="false">IF($C30=0,"",F30/$C30)</f>
        <v>0.628571428571429</v>
      </c>
      <c r="S30" s="28" t="n">
        <f aca="false">IF($C30=0,"",G30/$C30)</f>
        <v>0.504761904761905</v>
      </c>
      <c r="T30" s="28" t="n">
        <f aca="false">IF($C30=0,"",H30/$C30)</f>
        <v>0.419047619047619</v>
      </c>
      <c r="U30" s="28" t="n">
        <f aca="false">IF($C30=0,"",I30/$C30)</f>
        <v>0.390476190476191</v>
      </c>
      <c r="V30" s="29" t="n">
        <f aca="false">IF($C30=0,"",K30/$C30)</f>
        <v>0.171428571428571</v>
      </c>
      <c r="W30" s="29" t="n">
        <f aca="false">IF($C30=0,"",M30/$C30)</f>
        <v>-0.344004761904762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1290</v>
      </c>
      <c r="D31" s="30" t="n">
        <f aca="false">SUM(D19:D30)</f>
        <v>403</v>
      </c>
      <c r="E31" s="30" t="n">
        <f aca="false">SUM(E19:E30)</f>
        <v>403</v>
      </c>
      <c r="F31" s="30" t="n">
        <f aca="false">SUM(F19:F30)</f>
        <v>738</v>
      </c>
      <c r="G31" s="30" t="n">
        <f aca="false">SUM(G19:G30)</f>
        <v>582</v>
      </c>
      <c r="H31" s="30" t="n">
        <f aca="false">SUM(H19:H30)</f>
        <v>471</v>
      </c>
      <c r="I31" s="30" t="n">
        <f aca="false">SUM(I19:I30)</f>
        <v>403</v>
      </c>
      <c r="J31" s="30" t="n">
        <f aca="false">SUM(J19:J30)</f>
        <v>0</v>
      </c>
      <c r="K31" s="31" t="n">
        <f aca="false">SUM(K19:K30)</f>
        <v>-81</v>
      </c>
      <c r="L31" s="31" t="n">
        <f aca="false">SUM(L19:L30)</f>
        <v>762.493</v>
      </c>
      <c r="M31" s="31" t="n">
        <f aca="false">K31-L31</f>
        <v>-843.493</v>
      </c>
      <c r="N31" s="32" t="n">
        <v>6</v>
      </c>
      <c r="O31" s="32" t="n">
        <v>16</v>
      </c>
      <c r="P31" s="33" t="n">
        <f aca="false">IF($C31=0,"",D31/$C31)</f>
        <v>0.312403100775194</v>
      </c>
      <c r="Q31" s="33" t="n">
        <f aca="false">IF($C31=0,"",E31/$C31)</f>
        <v>0.312403100775194</v>
      </c>
      <c r="R31" s="33" t="n">
        <f aca="false">IF($C31=0,"",F31/$C31)</f>
        <v>0.572093023255814</v>
      </c>
      <c r="S31" s="33" t="n">
        <f aca="false">IF($C31=0,"",G31/$C31)</f>
        <v>0.451162790697674</v>
      </c>
      <c r="T31" s="33" t="n">
        <f aca="false">IF($C31=0,"",H31/$C31)</f>
        <v>0.365116279069767</v>
      </c>
      <c r="U31" s="33" t="n">
        <f aca="false">IF($C31=0,"",I31/$C31)</f>
        <v>0.312403100775194</v>
      </c>
      <c r="V31" s="34" t="n">
        <f aca="false">IF($C31=0,"",K31/$C31)</f>
        <v>-0.0627906976744186</v>
      </c>
      <c r="W31" s="34" t="n">
        <f aca="false">IF($C31=0,"",M31/$C31)</f>
        <v>-0.653870542635659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105</v>
      </c>
      <c r="D32" s="26" t="n">
        <v>32</v>
      </c>
      <c r="E32" s="26" t="n">
        <v>32</v>
      </c>
      <c r="F32" s="26" t="n">
        <v>58</v>
      </c>
      <c r="G32" s="26" t="n">
        <v>50</v>
      </c>
      <c r="H32" s="26" t="n">
        <v>39</v>
      </c>
      <c r="I32" s="26" t="n">
        <v>32</v>
      </c>
      <c r="J32" s="26" t="n">
        <v>0</v>
      </c>
      <c r="K32" s="27" t="n">
        <v>-9</v>
      </c>
      <c r="L32" s="27" t="n">
        <v>53.8686</v>
      </c>
      <c r="M32" s="19" t="n">
        <f aca="false">K32-L32</f>
        <v>-62.8686</v>
      </c>
      <c r="N32" s="26" t="n">
        <v>3</v>
      </c>
      <c r="O32" s="26" t="n">
        <v>10</v>
      </c>
      <c r="P32" s="28" t="n">
        <f aca="false">IF($C32=0,"",D32/$C32)</f>
        <v>0.304761904761905</v>
      </c>
      <c r="Q32" s="28" t="n">
        <f aca="false">IF($C32=0,"",E32/$C32)</f>
        <v>0.304761904761905</v>
      </c>
      <c r="R32" s="28" t="n">
        <f aca="false">IF($C32=0,"",F32/$C32)</f>
        <v>0.552380952380952</v>
      </c>
      <c r="S32" s="28" t="n">
        <f aca="false">IF($C32=0,"",G32/$C32)</f>
        <v>0.476190476190476</v>
      </c>
      <c r="T32" s="28" t="n">
        <f aca="false">IF($C32=0,"",H32/$C32)</f>
        <v>0.371428571428571</v>
      </c>
      <c r="U32" s="28" t="n">
        <f aca="false">IF($C32=0,"",I32/$C32)</f>
        <v>0.304761904761905</v>
      </c>
      <c r="V32" s="29" t="n">
        <f aca="false">IF($C32=0,"",K32/$C32)</f>
        <v>-0.0857142857142857</v>
      </c>
      <c r="W32" s="29" t="n">
        <f aca="false">IF($C32=0,"",M32/$C32)</f>
        <v>-0.598748571428571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100</v>
      </c>
      <c r="D33" s="26" t="n">
        <v>31</v>
      </c>
      <c r="E33" s="26" t="n">
        <v>31</v>
      </c>
      <c r="F33" s="26" t="n">
        <v>67</v>
      </c>
      <c r="G33" s="26" t="n">
        <v>52</v>
      </c>
      <c r="H33" s="26" t="n">
        <v>39</v>
      </c>
      <c r="I33" s="26" t="n">
        <v>31</v>
      </c>
      <c r="J33" s="26" t="n">
        <v>0</v>
      </c>
      <c r="K33" s="27" t="n">
        <v>-7</v>
      </c>
      <c r="L33" s="27" t="n">
        <v>49.7659</v>
      </c>
      <c r="M33" s="19" t="n">
        <f aca="false">K33-L33</f>
        <v>-56.7659</v>
      </c>
      <c r="N33" s="26" t="n">
        <v>4</v>
      </c>
      <c r="O33" s="26" t="n">
        <v>7</v>
      </c>
      <c r="P33" s="28" t="n">
        <f aca="false">IF($C33=0,"",D33/$C33)</f>
        <v>0.31</v>
      </c>
      <c r="Q33" s="28" t="n">
        <f aca="false">IF($C33=0,"",E33/$C33)</f>
        <v>0.31</v>
      </c>
      <c r="R33" s="28" t="n">
        <f aca="false">IF($C33=0,"",F33/$C33)</f>
        <v>0.67</v>
      </c>
      <c r="S33" s="28" t="n">
        <f aca="false">IF($C33=0,"",G33/$C33)</f>
        <v>0.52</v>
      </c>
      <c r="T33" s="28" t="n">
        <f aca="false">IF($C33=0,"",H33/$C33)</f>
        <v>0.39</v>
      </c>
      <c r="U33" s="28" t="n">
        <f aca="false">IF($C33=0,"",I33/$C33)</f>
        <v>0.31</v>
      </c>
      <c r="V33" s="29" t="n">
        <f aca="false">IF($C33=0,"",K33/$C33)</f>
        <v>-0.07</v>
      </c>
      <c r="W33" s="29" t="n">
        <f aca="false">IF($C33=0,"",M33/$C33)</f>
        <v>-0.567659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115</v>
      </c>
      <c r="D34" s="26" t="n">
        <v>38</v>
      </c>
      <c r="E34" s="26" t="n">
        <v>38</v>
      </c>
      <c r="F34" s="26" t="n">
        <v>66</v>
      </c>
      <c r="G34" s="26" t="n">
        <v>52</v>
      </c>
      <c r="H34" s="26" t="n">
        <v>44</v>
      </c>
      <c r="I34" s="26" t="n">
        <v>38</v>
      </c>
      <c r="J34" s="26" t="n">
        <v>0</v>
      </c>
      <c r="K34" s="27" t="n">
        <v>-1</v>
      </c>
      <c r="L34" s="27" t="n">
        <v>56.9918</v>
      </c>
      <c r="M34" s="19" t="n">
        <f aca="false">K34-L34</f>
        <v>-57.9918</v>
      </c>
      <c r="N34" s="26" t="n">
        <v>2</v>
      </c>
      <c r="O34" s="26" t="n">
        <v>9</v>
      </c>
      <c r="P34" s="28" t="n">
        <f aca="false">IF($C34=0,"",D34/$C34)</f>
        <v>0.330434782608696</v>
      </c>
      <c r="Q34" s="28" t="n">
        <f aca="false">IF($C34=0,"",E34/$C34)</f>
        <v>0.330434782608696</v>
      </c>
      <c r="R34" s="28" t="n">
        <f aca="false">IF($C34=0,"",F34/$C34)</f>
        <v>0.573913043478261</v>
      </c>
      <c r="S34" s="28" t="n">
        <f aca="false">IF($C34=0,"",G34/$C34)</f>
        <v>0.452173913043478</v>
      </c>
      <c r="T34" s="28" t="n">
        <f aca="false">IF($C34=0,"",H34/$C34)</f>
        <v>0.382608695652174</v>
      </c>
      <c r="U34" s="28" t="n">
        <f aca="false">IF($C34=0,"",I34/$C34)</f>
        <v>0.330434782608696</v>
      </c>
      <c r="V34" s="29" t="n">
        <f aca="false">IF($C34=0,"",K34/$C34)</f>
        <v>-0.00869565217391304</v>
      </c>
      <c r="W34" s="29" t="n">
        <f aca="false">IF($C34=0,"",M34/$C34)</f>
        <v>-0.50427652173913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95</v>
      </c>
      <c r="D35" s="26" t="n">
        <v>35</v>
      </c>
      <c r="E35" s="26" t="n">
        <v>35</v>
      </c>
      <c r="F35" s="26" t="n">
        <v>61</v>
      </c>
      <c r="G35" s="26" t="n">
        <v>52</v>
      </c>
      <c r="H35" s="26" t="n">
        <v>42</v>
      </c>
      <c r="I35" s="26" t="n">
        <v>35</v>
      </c>
      <c r="J35" s="26" t="n">
        <v>0</v>
      </c>
      <c r="K35" s="27" t="n">
        <v>10</v>
      </c>
      <c r="L35" s="27" t="n">
        <v>51.2322</v>
      </c>
      <c r="M35" s="19" t="n">
        <f aca="false">K35-L35</f>
        <v>-41.2322</v>
      </c>
      <c r="N35" s="26" t="n">
        <v>3</v>
      </c>
      <c r="O35" s="26" t="n">
        <v>6</v>
      </c>
      <c r="P35" s="28" t="n">
        <f aca="false">IF($C35=0,"",D35/$C35)</f>
        <v>0.368421052631579</v>
      </c>
      <c r="Q35" s="28" t="n">
        <f aca="false">IF($C35=0,"",E35/$C35)</f>
        <v>0.368421052631579</v>
      </c>
      <c r="R35" s="28" t="n">
        <f aca="false">IF($C35=0,"",F35/$C35)</f>
        <v>0.642105263157895</v>
      </c>
      <c r="S35" s="28" t="n">
        <f aca="false">IF($C35=0,"",G35/$C35)</f>
        <v>0.547368421052632</v>
      </c>
      <c r="T35" s="28" t="n">
        <f aca="false">IF($C35=0,"",H35/$C35)</f>
        <v>0.442105263157895</v>
      </c>
      <c r="U35" s="28" t="n">
        <f aca="false">IF($C35=0,"",I35/$C35)</f>
        <v>0.368421052631579</v>
      </c>
      <c r="V35" s="29" t="n">
        <f aca="false">IF($C35=0,"",K35/$C35)</f>
        <v>0.105263157894737</v>
      </c>
      <c r="W35" s="29" t="n">
        <f aca="false">IF($C35=0,"",M35/$C35)</f>
        <v>-0.434023157894737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115</v>
      </c>
      <c r="D36" s="26" t="n">
        <v>36</v>
      </c>
      <c r="E36" s="26" t="n">
        <v>36</v>
      </c>
      <c r="F36" s="26" t="n">
        <v>69</v>
      </c>
      <c r="G36" s="26" t="n">
        <v>57</v>
      </c>
      <c r="H36" s="26" t="n">
        <v>43</v>
      </c>
      <c r="I36" s="26" t="n">
        <v>36</v>
      </c>
      <c r="J36" s="26" t="n">
        <v>0</v>
      </c>
      <c r="K36" s="27" t="n">
        <v>-7</v>
      </c>
      <c r="L36" s="27" t="n">
        <v>65.1799</v>
      </c>
      <c r="M36" s="19" t="n">
        <f aca="false">K36-L36</f>
        <v>-72.1799</v>
      </c>
      <c r="N36" s="26" t="n">
        <v>4</v>
      </c>
      <c r="O36" s="26" t="n">
        <v>8</v>
      </c>
      <c r="P36" s="28" t="n">
        <f aca="false">IF($C36=0,"",D36/$C36)</f>
        <v>0.31304347826087</v>
      </c>
      <c r="Q36" s="28" t="n">
        <f aca="false">IF($C36=0,"",E36/$C36)</f>
        <v>0.31304347826087</v>
      </c>
      <c r="R36" s="28" t="n">
        <f aca="false">IF($C36=0,"",F36/$C36)</f>
        <v>0.6</v>
      </c>
      <c r="S36" s="28" t="n">
        <f aca="false">IF($C36=0,"",G36/$C36)</f>
        <v>0.495652173913044</v>
      </c>
      <c r="T36" s="28" t="n">
        <f aca="false">IF($C36=0,"",H36/$C36)</f>
        <v>0.373913043478261</v>
      </c>
      <c r="U36" s="28" t="n">
        <f aca="false">IF($C36=0,"",I36/$C36)</f>
        <v>0.31304347826087</v>
      </c>
      <c r="V36" s="29" t="n">
        <f aca="false">IF($C36=0,"",K36/$C36)</f>
        <v>-0.0608695652173913</v>
      </c>
      <c r="W36" s="29" t="n">
        <f aca="false">IF($C36=0,"",M36/$C36)</f>
        <v>-0.627651304347826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110</v>
      </c>
      <c r="D37" s="26" t="n">
        <v>30</v>
      </c>
      <c r="E37" s="26" t="n">
        <v>30</v>
      </c>
      <c r="F37" s="26" t="n">
        <v>59</v>
      </c>
      <c r="G37" s="26" t="n">
        <v>43</v>
      </c>
      <c r="H37" s="26" t="n">
        <v>39</v>
      </c>
      <c r="I37" s="26" t="n">
        <v>30</v>
      </c>
      <c r="J37" s="26" t="n">
        <v>0</v>
      </c>
      <c r="K37" s="27" t="n">
        <v>-20</v>
      </c>
      <c r="L37" s="27" t="n">
        <v>71.3123</v>
      </c>
      <c r="M37" s="19" t="n">
        <f aca="false">K37-L37</f>
        <v>-91.3123</v>
      </c>
      <c r="N37" s="26" t="n">
        <v>2</v>
      </c>
      <c r="O37" s="26" t="n">
        <v>15</v>
      </c>
      <c r="P37" s="28" t="n">
        <f aca="false">IF($C37=0,"",D37/$C37)</f>
        <v>0.272727272727273</v>
      </c>
      <c r="Q37" s="28" t="n">
        <f aca="false">IF($C37=0,"",E37/$C37)</f>
        <v>0.272727272727273</v>
      </c>
      <c r="R37" s="28" t="n">
        <f aca="false">IF($C37=0,"",F37/$C37)</f>
        <v>0.536363636363636</v>
      </c>
      <c r="S37" s="28" t="n">
        <f aca="false">IF($C37=0,"",G37/$C37)</f>
        <v>0.390909090909091</v>
      </c>
      <c r="T37" s="28" t="n">
        <f aca="false">IF($C37=0,"",H37/$C37)</f>
        <v>0.354545454545455</v>
      </c>
      <c r="U37" s="28" t="n">
        <f aca="false">IF($C37=0,"",I37/$C37)</f>
        <v>0.272727272727273</v>
      </c>
      <c r="V37" s="29" t="n">
        <f aca="false">IF($C37=0,"",K37/$C37)</f>
        <v>-0.181818181818182</v>
      </c>
      <c r="W37" s="29" t="n">
        <f aca="false">IF($C37=0,"",M37/$C37)</f>
        <v>-0.830111818181818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105</v>
      </c>
      <c r="D38" s="26" t="n">
        <v>30</v>
      </c>
      <c r="E38" s="26" t="n">
        <v>30</v>
      </c>
      <c r="F38" s="26" t="n">
        <v>58</v>
      </c>
      <c r="G38" s="26" t="n">
        <v>41</v>
      </c>
      <c r="H38" s="26" t="n">
        <v>36</v>
      </c>
      <c r="I38" s="26" t="n">
        <v>30</v>
      </c>
      <c r="J38" s="26" t="n">
        <v>0</v>
      </c>
      <c r="K38" s="27" t="n">
        <v>-15</v>
      </c>
      <c r="L38" s="27" t="n">
        <v>88.6088</v>
      </c>
      <c r="M38" s="19" t="n">
        <f aca="false">K38-L38</f>
        <v>-103.6088</v>
      </c>
      <c r="N38" s="26" t="n">
        <v>4</v>
      </c>
      <c r="O38" s="26" t="n">
        <v>8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0.552380952380952</v>
      </c>
      <c r="S38" s="28" t="n">
        <f aca="false">IF($C38=0,"",G38/$C38)</f>
        <v>0.390476190476191</v>
      </c>
      <c r="T38" s="28" t="n">
        <f aca="false">IF($C38=0,"",H38/$C38)</f>
        <v>0.342857142857143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-0.986750476190476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115</v>
      </c>
      <c r="D39" s="26" t="n">
        <v>31</v>
      </c>
      <c r="E39" s="26" t="n">
        <v>31</v>
      </c>
      <c r="F39" s="26" t="n">
        <v>62</v>
      </c>
      <c r="G39" s="26" t="n">
        <v>43</v>
      </c>
      <c r="H39" s="26" t="n">
        <v>37</v>
      </c>
      <c r="I39" s="26" t="n">
        <v>31</v>
      </c>
      <c r="J39" s="26" t="n">
        <v>0</v>
      </c>
      <c r="K39" s="27" t="n">
        <v>-22</v>
      </c>
      <c r="L39" s="27" t="n">
        <v>114.3687</v>
      </c>
      <c r="M39" s="19" t="n">
        <f aca="false">K39-L39</f>
        <v>-136.3687</v>
      </c>
      <c r="N39" s="26" t="n">
        <v>3</v>
      </c>
      <c r="O39" s="26" t="n">
        <v>9</v>
      </c>
      <c r="P39" s="28" t="n">
        <f aca="false">IF($C39=0,"",D39/$C39)</f>
        <v>0.269565217391304</v>
      </c>
      <c r="Q39" s="28" t="n">
        <f aca="false">IF($C39=0,"",E39/$C39)</f>
        <v>0.269565217391304</v>
      </c>
      <c r="R39" s="28" t="n">
        <f aca="false">IF($C39=0,"",F39/$C39)</f>
        <v>0.539130434782609</v>
      </c>
      <c r="S39" s="28" t="n">
        <f aca="false">IF($C39=0,"",G39/$C39)</f>
        <v>0.373913043478261</v>
      </c>
      <c r="T39" s="28" t="n">
        <f aca="false">IF($C39=0,"",H39/$C39)</f>
        <v>0.321739130434783</v>
      </c>
      <c r="U39" s="28" t="n">
        <f aca="false">IF($C39=0,"",I39/$C39)</f>
        <v>0.269565217391304</v>
      </c>
      <c r="V39" s="29" t="n">
        <f aca="false">IF($C39=0,"",K39/$C39)</f>
        <v>-0.191304347826087</v>
      </c>
      <c r="W39" s="29" t="n">
        <f aca="false">IF($C39=0,"",M39/$C39)</f>
        <v>-1.1858147826087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105</v>
      </c>
      <c r="D40" s="26" t="n">
        <v>38</v>
      </c>
      <c r="E40" s="26" t="n">
        <v>38</v>
      </c>
      <c r="F40" s="26" t="n">
        <v>67</v>
      </c>
      <c r="G40" s="26" t="n">
        <v>55</v>
      </c>
      <c r="H40" s="26" t="n">
        <v>46</v>
      </c>
      <c r="I40" s="26" t="n">
        <v>38</v>
      </c>
      <c r="J40" s="26" t="n">
        <v>0</v>
      </c>
      <c r="K40" s="27" t="n">
        <v>9</v>
      </c>
      <c r="L40" s="27" t="n">
        <v>121.3642</v>
      </c>
      <c r="M40" s="19" t="n">
        <f aca="false">K40-L40</f>
        <v>-112.3642</v>
      </c>
      <c r="N40" s="26" t="n">
        <v>3</v>
      </c>
      <c r="O40" s="26" t="n">
        <v>6</v>
      </c>
      <c r="P40" s="28" t="n">
        <f aca="false">IF($C40=0,"",D40/$C40)</f>
        <v>0.361904761904762</v>
      </c>
      <c r="Q40" s="28" t="n">
        <f aca="false">IF($C40=0,"",E40/$C40)</f>
        <v>0.361904761904762</v>
      </c>
      <c r="R40" s="28" t="n">
        <f aca="false">IF($C40=0,"",F40/$C40)</f>
        <v>0.638095238095238</v>
      </c>
      <c r="S40" s="28" t="n">
        <f aca="false">IF($C40=0,"",G40/$C40)</f>
        <v>0.523809523809524</v>
      </c>
      <c r="T40" s="28" t="n">
        <f aca="false">IF($C40=0,"",H40/$C40)</f>
        <v>0.438095238095238</v>
      </c>
      <c r="U40" s="28" t="n">
        <f aca="false">IF($C40=0,"",I40/$C40)</f>
        <v>0.361904761904762</v>
      </c>
      <c r="V40" s="29" t="n">
        <f aca="false">IF($C40=0,"",K40/$C40)</f>
        <v>0.0857142857142857</v>
      </c>
      <c r="W40" s="29" t="n">
        <f aca="false">IF($C40=0,"",M40/$C40)</f>
        <v>-1.07013523809524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110</v>
      </c>
      <c r="D41" s="26" t="n">
        <v>39</v>
      </c>
      <c r="E41" s="26" t="n">
        <v>39</v>
      </c>
      <c r="F41" s="26" t="n">
        <v>68</v>
      </c>
      <c r="G41" s="26" t="n">
        <v>60</v>
      </c>
      <c r="H41" s="26" t="n">
        <v>47</v>
      </c>
      <c r="I41" s="26" t="n">
        <v>39</v>
      </c>
      <c r="J41" s="26" t="n">
        <v>0</v>
      </c>
      <c r="K41" s="27" t="n">
        <v>7</v>
      </c>
      <c r="L41" s="27" t="n">
        <v>52.9515</v>
      </c>
      <c r="M41" s="19" t="n">
        <f aca="false">K41-L41</f>
        <v>-45.9515</v>
      </c>
      <c r="N41" s="26" t="n">
        <v>4</v>
      </c>
      <c r="O41" s="26" t="n">
        <v>17</v>
      </c>
      <c r="P41" s="28" t="n">
        <f aca="false">IF($C41=0,"",D41/$C41)</f>
        <v>0.354545454545455</v>
      </c>
      <c r="Q41" s="28" t="n">
        <f aca="false">IF($C41=0,"",E41/$C41)</f>
        <v>0.354545454545455</v>
      </c>
      <c r="R41" s="28" t="n">
        <f aca="false">IF($C41=0,"",F41/$C41)</f>
        <v>0.618181818181818</v>
      </c>
      <c r="S41" s="28" t="n">
        <f aca="false">IF($C41=0,"",G41/$C41)</f>
        <v>0.545454545454545</v>
      </c>
      <c r="T41" s="28" t="n">
        <f aca="false">IF($C41=0,"",H41/$C41)</f>
        <v>0.427272727272727</v>
      </c>
      <c r="U41" s="28" t="n">
        <f aca="false">IF($C41=0,"",I41/$C41)</f>
        <v>0.354545454545455</v>
      </c>
      <c r="V41" s="29" t="n">
        <f aca="false">IF($C41=0,"",K41/$C41)</f>
        <v>0.0636363636363636</v>
      </c>
      <c r="W41" s="29" t="n">
        <f aca="false">IF($C41=0,"",M41/$C41)</f>
        <v>-0.417740909090909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110</v>
      </c>
      <c r="D42" s="26" t="n">
        <v>34</v>
      </c>
      <c r="E42" s="26" t="n">
        <v>34</v>
      </c>
      <c r="F42" s="26" t="n">
        <v>64</v>
      </c>
      <c r="G42" s="26" t="n">
        <v>49</v>
      </c>
      <c r="H42" s="26" t="n">
        <v>41</v>
      </c>
      <c r="I42" s="26" t="n">
        <v>34</v>
      </c>
      <c r="J42" s="26" t="n">
        <v>0</v>
      </c>
      <c r="K42" s="27" t="n">
        <v>-8</v>
      </c>
      <c r="L42" s="27" t="n">
        <v>40.4811</v>
      </c>
      <c r="M42" s="19" t="n">
        <f aca="false">K42-L42</f>
        <v>-48.4811</v>
      </c>
      <c r="N42" s="26" t="n">
        <v>6</v>
      </c>
      <c r="O42" s="26" t="n">
        <v>8</v>
      </c>
      <c r="P42" s="28" t="n">
        <f aca="false">IF($C42=0,"",D42/$C42)</f>
        <v>0.309090909090909</v>
      </c>
      <c r="Q42" s="28" t="n">
        <f aca="false">IF($C42=0,"",E42/$C42)</f>
        <v>0.309090909090909</v>
      </c>
      <c r="R42" s="28" t="n">
        <f aca="false">IF($C42=0,"",F42/$C42)</f>
        <v>0.581818181818182</v>
      </c>
      <c r="S42" s="28" t="n">
        <f aca="false">IF($C42=0,"",G42/$C42)</f>
        <v>0.445454545454545</v>
      </c>
      <c r="T42" s="28" t="n">
        <f aca="false">IF($C42=0,"",H42/$C42)</f>
        <v>0.372727272727273</v>
      </c>
      <c r="U42" s="28" t="n">
        <f aca="false">IF($C42=0,"",I42/$C42)</f>
        <v>0.309090909090909</v>
      </c>
      <c r="V42" s="29" t="n">
        <f aca="false">IF($C42=0,"",K42/$C42)</f>
        <v>-0.0727272727272727</v>
      </c>
      <c r="W42" s="29" t="n">
        <f aca="false">IF($C42=0,"",M42/$C42)</f>
        <v>-0.440737272727273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100</v>
      </c>
      <c r="D43" s="26" t="n">
        <v>40</v>
      </c>
      <c r="E43" s="26" t="n">
        <v>40</v>
      </c>
      <c r="F43" s="26" t="n">
        <v>59</v>
      </c>
      <c r="G43" s="26" t="n">
        <v>51</v>
      </c>
      <c r="H43" s="26" t="n">
        <v>43</v>
      </c>
      <c r="I43" s="26" t="n">
        <v>40</v>
      </c>
      <c r="J43" s="26" t="n">
        <v>0</v>
      </c>
      <c r="K43" s="27" t="n">
        <v>20</v>
      </c>
      <c r="L43" s="27" t="n">
        <v>26.6796</v>
      </c>
      <c r="M43" s="19" t="n">
        <f aca="false">K43-L43</f>
        <v>-6.6796</v>
      </c>
      <c r="N43" s="26" t="n">
        <v>5</v>
      </c>
      <c r="O43" s="26" t="n">
        <v>7</v>
      </c>
      <c r="P43" s="28" t="n">
        <f aca="false">IF($C43=0,"",D43/$C43)</f>
        <v>0.4</v>
      </c>
      <c r="Q43" s="28" t="n">
        <f aca="false">IF($C43=0,"",E43/$C43)</f>
        <v>0.4</v>
      </c>
      <c r="R43" s="28" t="n">
        <f aca="false">IF($C43=0,"",F43/$C43)</f>
        <v>0.59</v>
      </c>
      <c r="S43" s="28" t="n">
        <f aca="false">IF($C43=0,"",G43/$C43)</f>
        <v>0.51</v>
      </c>
      <c r="T43" s="28" t="n">
        <f aca="false">IF($C43=0,"",H43/$C43)</f>
        <v>0.43</v>
      </c>
      <c r="U43" s="28" t="n">
        <f aca="false">IF($C43=0,"",I43/$C43)</f>
        <v>0.4</v>
      </c>
      <c r="V43" s="29" t="n">
        <f aca="false">IF($C43=0,"",K43/$C43)</f>
        <v>0.2</v>
      </c>
      <c r="W43" s="29" t="n">
        <f aca="false">IF($C43=0,"",M43/$C43)</f>
        <v>-0.066796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1285</v>
      </c>
      <c r="D44" s="30" t="n">
        <f aca="false">SUM(D32:D43)</f>
        <v>414</v>
      </c>
      <c r="E44" s="30" t="n">
        <f aca="false">SUM(E32:E43)</f>
        <v>414</v>
      </c>
      <c r="F44" s="30" t="n">
        <f aca="false">SUM(F32:F43)</f>
        <v>758</v>
      </c>
      <c r="G44" s="30" t="n">
        <f aca="false">SUM(G32:G43)</f>
        <v>605</v>
      </c>
      <c r="H44" s="30" t="n">
        <f aca="false">SUM(H32:H43)</f>
        <v>496</v>
      </c>
      <c r="I44" s="30" t="n">
        <f aca="false">SUM(I32:I43)</f>
        <v>414</v>
      </c>
      <c r="J44" s="30" t="n">
        <f aca="false">SUM(J32:J43)</f>
        <v>0</v>
      </c>
      <c r="K44" s="31" t="n">
        <f aca="false">SUM(K32:K43)</f>
        <v>-43</v>
      </c>
      <c r="L44" s="31" t="n">
        <f aca="false">SUM(L32:L43)</f>
        <v>792.8046</v>
      </c>
      <c r="M44" s="31" t="n">
        <f aca="false">K44-L44</f>
        <v>-835.8046</v>
      </c>
      <c r="N44" s="32" t="n">
        <v>6</v>
      </c>
      <c r="O44" s="32" t="n">
        <v>17</v>
      </c>
      <c r="P44" s="33" t="n">
        <f aca="false">IF($C44=0,"",D44/$C44)</f>
        <v>0.322178988326848</v>
      </c>
      <c r="Q44" s="33" t="n">
        <f aca="false">IF($C44=0,"",E44/$C44)</f>
        <v>0.322178988326848</v>
      </c>
      <c r="R44" s="33" t="n">
        <f aca="false">IF($C44=0,"",F44/$C44)</f>
        <v>0.58988326848249</v>
      </c>
      <c r="S44" s="33" t="n">
        <f aca="false">IF($C44=0,"",G44/$C44)</f>
        <v>0.470817120622568</v>
      </c>
      <c r="T44" s="33" t="n">
        <f aca="false">IF($C44=0,"",H44/$C44)</f>
        <v>0.385992217898833</v>
      </c>
      <c r="U44" s="33" t="n">
        <f aca="false">IF($C44=0,"",I44/$C44)</f>
        <v>0.322178988326848</v>
      </c>
      <c r="V44" s="34" t="n">
        <f aca="false">IF($C44=0,"",K44/$C44)</f>
        <v>-0.0334630350194553</v>
      </c>
      <c r="W44" s="34" t="n">
        <f aca="false">IF($C44=0,"",M44/$C44)</f>
        <v>-0.650431595330739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110</v>
      </c>
      <c r="D45" s="26" t="n">
        <v>43</v>
      </c>
      <c r="E45" s="26" t="n">
        <v>43</v>
      </c>
      <c r="F45" s="26" t="n">
        <v>69</v>
      </c>
      <c r="G45" s="26" t="n">
        <v>61</v>
      </c>
      <c r="H45" s="26" t="n">
        <v>47</v>
      </c>
      <c r="I45" s="26" t="n">
        <v>43</v>
      </c>
      <c r="J45" s="26" t="n">
        <v>0</v>
      </c>
      <c r="K45" s="27" t="n">
        <v>19</v>
      </c>
      <c r="L45" s="27" t="n">
        <v>31.5802</v>
      </c>
      <c r="M45" s="19" t="n">
        <f aca="false">K45-L45</f>
        <v>-12.5802</v>
      </c>
      <c r="N45" s="26" t="n">
        <v>5</v>
      </c>
      <c r="O45" s="26" t="n">
        <v>11</v>
      </c>
      <c r="P45" s="28" t="n">
        <f aca="false">IF($C45=0,"",D45/$C45)</f>
        <v>0.390909090909091</v>
      </c>
      <c r="Q45" s="28" t="n">
        <f aca="false">IF($C45=0,"",E45/$C45)</f>
        <v>0.390909090909091</v>
      </c>
      <c r="R45" s="28" t="n">
        <f aca="false">IF($C45=0,"",F45/$C45)</f>
        <v>0.627272727272727</v>
      </c>
      <c r="S45" s="28" t="n">
        <f aca="false">IF($C45=0,"",G45/$C45)</f>
        <v>0.554545454545455</v>
      </c>
      <c r="T45" s="28" t="n">
        <f aca="false">IF($C45=0,"",H45/$C45)</f>
        <v>0.427272727272727</v>
      </c>
      <c r="U45" s="28" t="n">
        <f aca="false">IF($C45=0,"",I45/$C45)</f>
        <v>0.390909090909091</v>
      </c>
      <c r="V45" s="29" t="n">
        <f aca="false">IF($C45=0,"",K45/$C45)</f>
        <v>0.172727272727273</v>
      </c>
      <c r="W45" s="29" t="n">
        <f aca="false">IF($C45=0,"",M45/$C45)</f>
        <v>-0.114365454545455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105</v>
      </c>
      <c r="D46" s="26" t="n">
        <v>26</v>
      </c>
      <c r="E46" s="26" t="n">
        <v>26</v>
      </c>
      <c r="F46" s="26" t="n">
        <v>57</v>
      </c>
      <c r="G46" s="26" t="n">
        <v>46</v>
      </c>
      <c r="H46" s="26" t="n">
        <v>34</v>
      </c>
      <c r="I46" s="26" t="n">
        <v>26</v>
      </c>
      <c r="J46" s="26" t="n">
        <v>0</v>
      </c>
      <c r="K46" s="27" t="n">
        <v>-27</v>
      </c>
      <c r="L46" s="27" t="n">
        <v>43.289</v>
      </c>
      <c r="M46" s="19" t="n">
        <f aca="false">K46-L46</f>
        <v>-70.289</v>
      </c>
      <c r="N46" s="26" t="n">
        <v>3</v>
      </c>
      <c r="O46" s="26" t="n">
        <v>12</v>
      </c>
      <c r="P46" s="28" t="n">
        <f aca="false">IF($C46=0,"",D46/$C46)</f>
        <v>0.247619047619048</v>
      </c>
      <c r="Q46" s="28" t="n">
        <f aca="false">IF($C46=0,"",E46/$C46)</f>
        <v>0.247619047619048</v>
      </c>
      <c r="R46" s="28" t="n">
        <f aca="false">IF($C46=0,"",F46/$C46)</f>
        <v>0.542857142857143</v>
      </c>
      <c r="S46" s="28" t="n">
        <f aca="false">IF($C46=0,"",G46/$C46)</f>
        <v>0.438095238095238</v>
      </c>
      <c r="T46" s="28" t="n">
        <f aca="false">IF($C46=0,"",H46/$C46)</f>
        <v>0.323809523809524</v>
      </c>
      <c r="U46" s="28" t="n">
        <f aca="false">IF($C46=0,"",I46/$C46)</f>
        <v>0.247619047619048</v>
      </c>
      <c r="V46" s="29" t="n">
        <f aca="false">IF($C46=0,"",K46/$C46)</f>
        <v>-0.257142857142857</v>
      </c>
      <c r="W46" s="29" t="n">
        <f aca="false">IF($C46=0,"",M46/$C46)</f>
        <v>-0.669419047619048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100</v>
      </c>
      <c r="D47" s="26" t="n">
        <v>33</v>
      </c>
      <c r="E47" s="26" t="n">
        <v>33</v>
      </c>
      <c r="F47" s="26" t="n">
        <v>56</v>
      </c>
      <c r="G47" s="26" t="n">
        <v>50</v>
      </c>
      <c r="H47" s="26" t="n">
        <v>40</v>
      </c>
      <c r="I47" s="26" t="n">
        <v>33</v>
      </c>
      <c r="J47" s="26" t="n">
        <v>0</v>
      </c>
      <c r="K47" s="27" t="n">
        <v>-1</v>
      </c>
      <c r="L47" s="27" t="n">
        <v>32.2611</v>
      </c>
      <c r="M47" s="19" t="n">
        <f aca="false">K47-L47</f>
        <v>-33.2611</v>
      </c>
      <c r="N47" s="26" t="n">
        <v>5</v>
      </c>
      <c r="O47" s="26" t="n">
        <v>10</v>
      </c>
      <c r="P47" s="28" t="n">
        <f aca="false">IF($C47=0,"",D47/$C47)</f>
        <v>0.33</v>
      </c>
      <c r="Q47" s="28" t="n">
        <f aca="false">IF($C47=0,"",E47/$C47)</f>
        <v>0.33</v>
      </c>
      <c r="R47" s="28" t="n">
        <f aca="false">IF($C47=0,"",F47/$C47)</f>
        <v>0.56</v>
      </c>
      <c r="S47" s="28" t="n">
        <f aca="false">IF($C47=0,"",G47/$C47)</f>
        <v>0.5</v>
      </c>
      <c r="T47" s="28" t="n">
        <f aca="false">IF($C47=0,"",H47/$C47)</f>
        <v>0.4</v>
      </c>
      <c r="U47" s="28" t="n">
        <f aca="false">IF($C47=0,"",I47/$C47)</f>
        <v>0.33</v>
      </c>
      <c r="V47" s="29" t="n">
        <f aca="false">IF($C47=0,"",K47/$C47)</f>
        <v>-0.01</v>
      </c>
      <c r="W47" s="29" t="n">
        <f aca="false">IF($C47=0,"",M47/$C47)</f>
        <v>-0.332611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110</v>
      </c>
      <c r="D48" s="26" t="n">
        <v>38</v>
      </c>
      <c r="E48" s="26" t="n">
        <v>38</v>
      </c>
      <c r="F48" s="26" t="n">
        <v>66</v>
      </c>
      <c r="G48" s="26" t="n">
        <v>52</v>
      </c>
      <c r="H48" s="26" t="n">
        <v>44</v>
      </c>
      <c r="I48" s="26" t="n">
        <v>38</v>
      </c>
      <c r="J48" s="26" t="n">
        <v>0</v>
      </c>
      <c r="K48" s="27" t="n">
        <v>4</v>
      </c>
      <c r="L48" s="27" t="n">
        <v>24.2508</v>
      </c>
      <c r="M48" s="19" t="n">
        <f aca="false">K48-L48</f>
        <v>-20.2508</v>
      </c>
      <c r="N48" s="26" t="n">
        <v>5</v>
      </c>
      <c r="O48" s="26" t="n">
        <v>13</v>
      </c>
      <c r="P48" s="28" t="n">
        <f aca="false">IF($C48=0,"",D48/$C48)</f>
        <v>0.345454545454545</v>
      </c>
      <c r="Q48" s="28" t="n">
        <f aca="false">IF($C48=0,"",E48/$C48)</f>
        <v>0.345454545454545</v>
      </c>
      <c r="R48" s="28" t="n">
        <f aca="false">IF($C48=0,"",F48/$C48)</f>
        <v>0.6</v>
      </c>
      <c r="S48" s="28" t="n">
        <f aca="false">IF($C48=0,"",G48/$C48)</f>
        <v>0.472727272727273</v>
      </c>
      <c r="T48" s="28" t="n">
        <f aca="false">IF($C48=0,"",H48/$C48)</f>
        <v>0.4</v>
      </c>
      <c r="U48" s="28" t="n">
        <f aca="false">IF($C48=0,"",I48/$C48)</f>
        <v>0.345454545454545</v>
      </c>
      <c r="V48" s="29" t="n">
        <f aca="false">IF($C48=0,"",K48/$C48)</f>
        <v>0.0363636363636364</v>
      </c>
      <c r="W48" s="29" t="n">
        <f aca="false">IF($C48=0,"",M48/$C48)</f>
        <v>-0.184098181818182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115</v>
      </c>
      <c r="D49" s="26" t="n">
        <v>36</v>
      </c>
      <c r="E49" s="26" t="n">
        <v>36</v>
      </c>
      <c r="F49" s="26" t="n">
        <v>70</v>
      </c>
      <c r="G49" s="26" t="n">
        <v>52</v>
      </c>
      <c r="H49" s="26" t="n">
        <v>42</v>
      </c>
      <c r="I49" s="26" t="n">
        <v>36</v>
      </c>
      <c r="J49" s="26" t="n">
        <v>0</v>
      </c>
      <c r="K49" s="27" t="n">
        <v>-7</v>
      </c>
      <c r="L49" s="27" t="n">
        <v>32.0235</v>
      </c>
      <c r="M49" s="19" t="n">
        <f aca="false">K49-L49</f>
        <v>-39.0235</v>
      </c>
      <c r="N49" s="26" t="n">
        <v>4</v>
      </c>
      <c r="O49" s="26" t="n">
        <v>8</v>
      </c>
      <c r="P49" s="28" t="n">
        <f aca="false">IF($C49=0,"",D49/$C49)</f>
        <v>0.31304347826087</v>
      </c>
      <c r="Q49" s="28" t="n">
        <f aca="false">IF($C49=0,"",E49/$C49)</f>
        <v>0.31304347826087</v>
      </c>
      <c r="R49" s="28" t="n">
        <f aca="false">IF($C49=0,"",F49/$C49)</f>
        <v>0.608695652173913</v>
      </c>
      <c r="S49" s="28" t="n">
        <f aca="false">IF($C49=0,"",G49/$C49)</f>
        <v>0.452173913043478</v>
      </c>
      <c r="T49" s="28" t="n">
        <f aca="false">IF($C49=0,"",H49/$C49)</f>
        <v>0.365217391304348</v>
      </c>
      <c r="U49" s="28" t="n">
        <f aca="false">IF($C49=0,"",I49/$C49)</f>
        <v>0.31304347826087</v>
      </c>
      <c r="V49" s="29" t="n">
        <f aca="false">IF($C49=0,"",K49/$C49)</f>
        <v>-0.0608695652173913</v>
      </c>
      <c r="W49" s="29" t="n">
        <f aca="false">IF($C49=0,"",M49/$C49)</f>
        <v>-0.339334782608696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100</v>
      </c>
      <c r="D50" s="26" t="n">
        <v>26</v>
      </c>
      <c r="E50" s="26" t="n">
        <v>26</v>
      </c>
      <c r="F50" s="26" t="n">
        <v>50</v>
      </c>
      <c r="G50" s="26" t="n">
        <v>43</v>
      </c>
      <c r="H50" s="26" t="n">
        <v>32</v>
      </c>
      <c r="I50" s="26" t="n">
        <v>26</v>
      </c>
      <c r="J50" s="26" t="n">
        <v>0</v>
      </c>
      <c r="K50" s="27" t="n">
        <v>-22</v>
      </c>
      <c r="L50" s="27" t="n">
        <v>38.1646</v>
      </c>
      <c r="M50" s="19" t="n">
        <f aca="false">K50-L50</f>
        <v>-60.1646</v>
      </c>
      <c r="N50" s="26" t="n">
        <v>2</v>
      </c>
      <c r="O50" s="26" t="n">
        <v>11</v>
      </c>
      <c r="P50" s="28" t="n">
        <f aca="false">IF($C50=0,"",D50/$C50)</f>
        <v>0.26</v>
      </c>
      <c r="Q50" s="28" t="n">
        <f aca="false">IF($C50=0,"",E50/$C50)</f>
        <v>0.26</v>
      </c>
      <c r="R50" s="28" t="n">
        <f aca="false">IF($C50=0,"",F50/$C50)</f>
        <v>0.5</v>
      </c>
      <c r="S50" s="28" t="n">
        <f aca="false">IF($C50=0,"",G50/$C50)</f>
        <v>0.43</v>
      </c>
      <c r="T50" s="28" t="n">
        <f aca="false">IF($C50=0,"",H50/$C50)</f>
        <v>0.32</v>
      </c>
      <c r="U50" s="28" t="n">
        <f aca="false">IF($C50=0,"",I50/$C50)</f>
        <v>0.26</v>
      </c>
      <c r="V50" s="29" t="n">
        <f aca="false">IF($C50=0,"",K50/$C50)</f>
        <v>-0.22</v>
      </c>
      <c r="W50" s="29" t="n">
        <f aca="false">IF($C50=0,"",M50/$C50)</f>
        <v>-0.601646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115</v>
      </c>
      <c r="D51" s="26" t="n">
        <v>31</v>
      </c>
      <c r="E51" s="26" t="n">
        <v>31</v>
      </c>
      <c r="F51" s="26" t="n">
        <v>66</v>
      </c>
      <c r="G51" s="26" t="n">
        <v>55</v>
      </c>
      <c r="H51" s="26" t="n">
        <v>40</v>
      </c>
      <c r="I51" s="26" t="n">
        <v>31</v>
      </c>
      <c r="J51" s="26" t="n">
        <v>0</v>
      </c>
      <c r="K51" s="27" t="n">
        <v>-22</v>
      </c>
      <c r="L51" s="27" t="n">
        <v>44.2722</v>
      </c>
      <c r="M51" s="19" t="n">
        <f aca="false">K51-L51</f>
        <v>-66.2722</v>
      </c>
      <c r="N51" s="26" t="n">
        <v>4</v>
      </c>
      <c r="O51" s="26" t="n">
        <v>20</v>
      </c>
      <c r="P51" s="28" t="n">
        <f aca="false">IF($C51=0,"",D51/$C51)</f>
        <v>0.269565217391304</v>
      </c>
      <c r="Q51" s="28" t="n">
        <f aca="false">IF($C51=0,"",E51/$C51)</f>
        <v>0.269565217391304</v>
      </c>
      <c r="R51" s="28" t="n">
        <f aca="false">IF($C51=0,"",F51/$C51)</f>
        <v>0.573913043478261</v>
      </c>
      <c r="S51" s="28" t="n">
        <f aca="false">IF($C51=0,"",G51/$C51)</f>
        <v>0.478260869565217</v>
      </c>
      <c r="T51" s="28" t="n">
        <f aca="false">IF($C51=0,"",H51/$C51)</f>
        <v>0.347826086956522</v>
      </c>
      <c r="U51" s="28" t="n">
        <f aca="false">IF($C51=0,"",I51/$C51)</f>
        <v>0.269565217391304</v>
      </c>
      <c r="V51" s="29" t="n">
        <f aca="false">IF($C51=0,"",K51/$C51)</f>
        <v>-0.191304347826087</v>
      </c>
      <c r="W51" s="29" t="n">
        <f aca="false">IF($C51=0,"",M51/$C51)</f>
        <v>-0.57628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110</v>
      </c>
      <c r="D52" s="26" t="n">
        <v>42</v>
      </c>
      <c r="E52" s="26" t="n">
        <v>42</v>
      </c>
      <c r="F52" s="26" t="n">
        <v>70</v>
      </c>
      <c r="G52" s="26" t="n">
        <v>57</v>
      </c>
      <c r="H52" s="26" t="n">
        <v>48</v>
      </c>
      <c r="I52" s="26" t="n">
        <v>42</v>
      </c>
      <c r="J52" s="26" t="n">
        <v>0</v>
      </c>
      <c r="K52" s="27" t="n">
        <v>16</v>
      </c>
      <c r="L52" s="27" t="n">
        <v>35.2701</v>
      </c>
      <c r="M52" s="19" t="n">
        <f aca="false">K52-L52</f>
        <v>-19.2701</v>
      </c>
      <c r="N52" s="26" t="n">
        <v>5</v>
      </c>
      <c r="O52" s="26" t="n">
        <v>12</v>
      </c>
      <c r="P52" s="28" t="n">
        <f aca="false">IF($C52=0,"",D52/$C52)</f>
        <v>0.381818181818182</v>
      </c>
      <c r="Q52" s="28" t="n">
        <f aca="false">IF($C52=0,"",E52/$C52)</f>
        <v>0.381818181818182</v>
      </c>
      <c r="R52" s="28" t="n">
        <f aca="false">IF($C52=0,"",F52/$C52)</f>
        <v>0.636363636363636</v>
      </c>
      <c r="S52" s="28" t="n">
        <f aca="false">IF($C52=0,"",G52/$C52)</f>
        <v>0.518181818181818</v>
      </c>
      <c r="T52" s="28" t="n">
        <f aca="false">IF($C52=0,"",H52/$C52)</f>
        <v>0.436363636363636</v>
      </c>
      <c r="U52" s="28" t="n">
        <f aca="false">IF($C52=0,"",I52/$C52)</f>
        <v>0.381818181818182</v>
      </c>
      <c r="V52" s="29" t="n">
        <f aca="false">IF($C52=0,"",K52/$C52)</f>
        <v>0.145454545454545</v>
      </c>
      <c r="W52" s="29" t="n">
        <f aca="false">IF($C52=0,"",M52/$C52)</f>
        <v>-0.175182727272727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105</v>
      </c>
      <c r="D53" s="26" t="n">
        <v>20</v>
      </c>
      <c r="E53" s="26" t="n">
        <v>20</v>
      </c>
      <c r="F53" s="26" t="n">
        <v>55</v>
      </c>
      <c r="G53" s="26" t="n">
        <v>41</v>
      </c>
      <c r="H53" s="26" t="n">
        <v>29</v>
      </c>
      <c r="I53" s="26" t="n">
        <v>20</v>
      </c>
      <c r="J53" s="26" t="n">
        <v>0</v>
      </c>
      <c r="K53" s="27" t="n">
        <v>-45</v>
      </c>
      <c r="L53" s="27" t="n">
        <v>38.0343</v>
      </c>
      <c r="M53" s="19" t="n">
        <f aca="false">K53-L53</f>
        <v>-83.0343</v>
      </c>
      <c r="N53" s="26" t="n">
        <v>2</v>
      </c>
      <c r="O53" s="26" t="n">
        <v>14</v>
      </c>
      <c r="P53" s="28" t="n">
        <f aca="false">IF($C53=0,"",D53/$C53)</f>
        <v>0.19047619047619</v>
      </c>
      <c r="Q53" s="28" t="n">
        <f aca="false">IF($C53=0,"",E53/$C53)</f>
        <v>0.19047619047619</v>
      </c>
      <c r="R53" s="28" t="n">
        <f aca="false">IF($C53=0,"",F53/$C53)</f>
        <v>0.523809523809524</v>
      </c>
      <c r="S53" s="28" t="n">
        <f aca="false">IF($C53=0,"",G53/$C53)</f>
        <v>0.390476190476191</v>
      </c>
      <c r="T53" s="28" t="n">
        <f aca="false">IF($C53=0,"",H53/$C53)</f>
        <v>0.276190476190476</v>
      </c>
      <c r="U53" s="28" t="n">
        <f aca="false">IF($C53=0,"",I53/$C53)</f>
        <v>0.19047619047619</v>
      </c>
      <c r="V53" s="29" t="n">
        <f aca="false">IF($C53=0,"",K53/$C53)</f>
        <v>-0.428571428571429</v>
      </c>
      <c r="W53" s="29" t="n">
        <f aca="false">IF($C53=0,"",M53/$C53)</f>
        <v>-0.790802857142857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115</v>
      </c>
      <c r="D54" s="26" t="n">
        <v>34</v>
      </c>
      <c r="E54" s="26" t="n">
        <v>34</v>
      </c>
      <c r="F54" s="26" t="n">
        <v>66</v>
      </c>
      <c r="G54" s="26" t="n">
        <v>57</v>
      </c>
      <c r="H54" s="26" t="n">
        <v>41</v>
      </c>
      <c r="I54" s="26" t="n">
        <v>34</v>
      </c>
      <c r="J54" s="26" t="n">
        <v>0</v>
      </c>
      <c r="K54" s="27" t="n">
        <v>-13</v>
      </c>
      <c r="L54" s="27" t="n">
        <v>40.4757</v>
      </c>
      <c r="M54" s="19" t="n">
        <f aca="false">K54-L54</f>
        <v>-53.4757</v>
      </c>
      <c r="N54" s="26" t="n">
        <v>4</v>
      </c>
      <c r="O54" s="26" t="n">
        <v>10</v>
      </c>
      <c r="P54" s="28" t="n">
        <f aca="false">IF($C54=0,"",D54/$C54)</f>
        <v>0.295652173913044</v>
      </c>
      <c r="Q54" s="28" t="n">
        <f aca="false">IF($C54=0,"",E54/$C54)</f>
        <v>0.295652173913044</v>
      </c>
      <c r="R54" s="28" t="n">
        <f aca="false">IF($C54=0,"",F54/$C54)</f>
        <v>0.573913043478261</v>
      </c>
      <c r="S54" s="28" t="n">
        <f aca="false">IF($C54=0,"",G54/$C54)</f>
        <v>0.495652173913044</v>
      </c>
      <c r="T54" s="28" t="n">
        <f aca="false">IF($C54=0,"",H54/$C54)</f>
        <v>0.356521739130435</v>
      </c>
      <c r="U54" s="28" t="n">
        <f aca="false">IF($C54=0,"",I54/$C54)</f>
        <v>0.295652173913044</v>
      </c>
      <c r="V54" s="29" t="n">
        <f aca="false">IF($C54=0,"",K54/$C54)</f>
        <v>-0.11304347826087</v>
      </c>
      <c r="W54" s="29" t="n">
        <f aca="false">IF($C54=0,"",M54/$C54)</f>
        <v>-0.465006086956522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105</v>
      </c>
      <c r="D55" s="26" t="n">
        <v>36</v>
      </c>
      <c r="E55" s="26" t="n">
        <v>36</v>
      </c>
      <c r="F55" s="26" t="n">
        <v>67</v>
      </c>
      <c r="G55" s="26" t="n">
        <v>51</v>
      </c>
      <c r="H55" s="26" t="n">
        <v>42</v>
      </c>
      <c r="I55" s="26" t="n">
        <v>36</v>
      </c>
      <c r="J55" s="26" t="n">
        <v>0</v>
      </c>
      <c r="K55" s="27" t="n">
        <v>3</v>
      </c>
      <c r="L55" s="27" t="n">
        <v>25.014</v>
      </c>
      <c r="M55" s="19" t="n">
        <f aca="false">K55-L55</f>
        <v>-22.014</v>
      </c>
      <c r="N55" s="26" t="n">
        <v>4</v>
      </c>
      <c r="O55" s="26" t="n">
        <v>9</v>
      </c>
      <c r="P55" s="28" t="n">
        <f aca="false">IF($C55=0,"",D55/$C55)</f>
        <v>0.342857142857143</v>
      </c>
      <c r="Q55" s="28" t="n">
        <f aca="false">IF($C55=0,"",E55/$C55)</f>
        <v>0.342857142857143</v>
      </c>
      <c r="R55" s="28" t="n">
        <f aca="false">IF($C55=0,"",F55/$C55)</f>
        <v>0.638095238095238</v>
      </c>
      <c r="S55" s="28" t="n">
        <f aca="false">IF($C55=0,"",G55/$C55)</f>
        <v>0.485714285714286</v>
      </c>
      <c r="T55" s="28" t="n">
        <f aca="false">IF($C55=0,"",H55/$C55)</f>
        <v>0.4</v>
      </c>
      <c r="U55" s="28" t="n">
        <f aca="false">IF($C55=0,"",I55/$C55)</f>
        <v>0.342857142857143</v>
      </c>
      <c r="V55" s="29" t="n">
        <f aca="false">IF($C55=0,"",K55/$C55)</f>
        <v>0.0285714285714286</v>
      </c>
      <c r="W55" s="29" t="n">
        <f aca="false">IF($C55=0,"",M55/$C55)</f>
        <v>-0.209657142857143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105</v>
      </c>
      <c r="D56" s="26" t="n">
        <v>34</v>
      </c>
      <c r="E56" s="26" t="n">
        <v>34</v>
      </c>
      <c r="F56" s="26" t="n">
        <v>60</v>
      </c>
      <c r="G56" s="26" t="n">
        <v>49</v>
      </c>
      <c r="H56" s="26" t="n">
        <v>41</v>
      </c>
      <c r="I56" s="26" t="n">
        <v>34</v>
      </c>
      <c r="J56" s="26" t="n">
        <v>0</v>
      </c>
      <c r="K56" s="27" t="n">
        <v>-3</v>
      </c>
      <c r="L56" s="27" t="n">
        <v>23.5954</v>
      </c>
      <c r="M56" s="19" t="n">
        <f aca="false">K56-L56</f>
        <v>-26.5954</v>
      </c>
      <c r="N56" s="26" t="n">
        <v>3</v>
      </c>
      <c r="O56" s="26" t="n">
        <v>8</v>
      </c>
      <c r="P56" s="28" t="n">
        <f aca="false">IF($C56=0,"",D56/$C56)</f>
        <v>0.323809523809524</v>
      </c>
      <c r="Q56" s="28" t="n">
        <f aca="false">IF($C56=0,"",E56/$C56)</f>
        <v>0.323809523809524</v>
      </c>
      <c r="R56" s="28" t="n">
        <f aca="false">IF($C56=0,"",F56/$C56)</f>
        <v>0.571428571428571</v>
      </c>
      <c r="S56" s="28" t="n">
        <f aca="false">IF($C56=0,"",G56/$C56)</f>
        <v>0.466666666666667</v>
      </c>
      <c r="T56" s="28" t="n">
        <f aca="false">IF($C56=0,"",H56/$C56)</f>
        <v>0.390476190476191</v>
      </c>
      <c r="U56" s="28" t="n">
        <f aca="false">IF($C56=0,"",I56/$C56)</f>
        <v>0.323809523809524</v>
      </c>
      <c r="V56" s="29" t="n">
        <f aca="false">IF($C56=0,"",K56/$C56)</f>
        <v>-0.0285714285714286</v>
      </c>
      <c r="W56" s="29" t="n">
        <f aca="false">IF($C56=0,"",M56/$C56)</f>
        <v>-0.253289523809524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1295</v>
      </c>
      <c r="D57" s="30" t="n">
        <f aca="false">SUM(D45:D56)</f>
        <v>399</v>
      </c>
      <c r="E57" s="30" t="n">
        <f aca="false">SUM(E45:E56)</f>
        <v>399</v>
      </c>
      <c r="F57" s="30" t="n">
        <f aca="false">SUM(F45:F56)</f>
        <v>752</v>
      </c>
      <c r="G57" s="30" t="n">
        <f aca="false">SUM(G45:G56)</f>
        <v>614</v>
      </c>
      <c r="H57" s="30" t="n">
        <f aca="false">SUM(H45:H56)</f>
        <v>480</v>
      </c>
      <c r="I57" s="30" t="n">
        <f aca="false">SUM(I45:I56)</f>
        <v>399</v>
      </c>
      <c r="J57" s="30" t="n">
        <f aca="false">SUM(J45:J56)</f>
        <v>0</v>
      </c>
      <c r="K57" s="31" t="n">
        <f aca="false">SUM(K45:K56)</f>
        <v>-98</v>
      </c>
      <c r="L57" s="31" t="n">
        <f aca="false">SUM(L45:L56)</f>
        <v>408.2309</v>
      </c>
      <c r="M57" s="31" t="n">
        <f aca="false">K57-L57</f>
        <v>-506.2309</v>
      </c>
      <c r="N57" s="32" t="n">
        <v>5</v>
      </c>
      <c r="O57" s="32" t="n">
        <v>20</v>
      </c>
      <c r="P57" s="33" t="n">
        <f aca="false">IF($C57=0,"",D57/$C57)</f>
        <v>0.308108108108108</v>
      </c>
      <c r="Q57" s="33" t="n">
        <f aca="false">IF($C57=0,"",E57/$C57)</f>
        <v>0.308108108108108</v>
      </c>
      <c r="R57" s="33" t="n">
        <f aca="false">IF($C57=0,"",F57/$C57)</f>
        <v>0.580694980694981</v>
      </c>
      <c r="S57" s="33" t="n">
        <f aca="false">IF($C57=0,"",G57/$C57)</f>
        <v>0.474131274131274</v>
      </c>
      <c r="T57" s="33" t="n">
        <f aca="false">IF($C57=0,"",H57/$C57)</f>
        <v>0.370656370656371</v>
      </c>
      <c r="U57" s="33" t="n">
        <f aca="false">IF($C57=0,"",I57/$C57)</f>
        <v>0.308108108108108</v>
      </c>
      <c r="V57" s="34" t="n">
        <f aca="false">IF($C57=0,"",K57/$C57)</f>
        <v>-0.0756756756756757</v>
      </c>
      <c r="W57" s="34" t="n">
        <f aca="false">IF($C57=0,"",M57/$C57)</f>
        <v>-0.390911891891892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110</v>
      </c>
      <c r="D58" s="26" t="n">
        <v>30</v>
      </c>
      <c r="E58" s="26" t="n">
        <v>30</v>
      </c>
      <c r="F58" s="26" t="n">
        <v>58</v>
      </c>
      <c r="G58" s="26" t="n">
        <v>49</v>
      </c>
      <c r="H58" s="26" t="n">
        <v>41</v>
      </c>
      <c r="I58" s="26" t="n">
        <v>30</v>
      </c>
      <c r="J58" s="26" t="n">
        <v>0</v>
      </c>
      <c r="K58" s="27" t="n">
        <v>-20</v>
      </c>
      <c r="L58" s="27" t="n">
        <v>27.3723</v>
      </c>
      <c r="M58" s="19" t="n">
        <f aca="false">K58-L58</f>
        <v>-47.3723</v>
      </c>
      <c r="N58" s="26" t="n">
        <v>3</v>
      </c>
      <c r="O58" s="26" t="n">
        <v>11</v>
      </c>
      <c r="P58" s="28" t="n">
        <f aca="false">IF($C58=0,"",D58/$C58)</f>
        <v>0.272727272727273</v>
      </c>
      <c r="Q58" s="28" t="n">
        <f aca="false">IF($C58=0,"",E58/$C58)</f>
        <v>0.272727272727273</v>
      </c>
      <c r="R58" s="28" t="n">
        <f aca="false">IF($C58=0,"",F58/$C58)</f>
        <v>0.527272727272727</v>
      </c>
      <c r="S58" s="28" t="n">
        <f aca="false">IF($C58=0,"",G58/$C58)</f>
        <v>0.445454545454545</v>
      </c>
      <c r="T58" s="28" t="n">
        <f aca="false">IF($C58=0,"",H58/$C58)</f>
        <v>0.372727272727273</v>
      </c>
      <c r="U58" s="28" t="n">
        <f aca="false">IF($C58=0,"",I58/$C58)</f>
        <v>0.272727272727273</v>
      </c>
      <c r="V58" s="29" t="n">
        <f aca="false">IF($C58=0,"",K58/$C58)</f>
        <v>-0.181818181818182</v>
      </c>
      <c r="W58" s="29" t="n">
        <f aca="false">IF($C58=0,"",M58/$C58)</f>
        <v>-0.430657272727273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100</v>
      </c>
      <c r="D59" s="26" t="n">
        <v>43</v>
      </c>
      <c r="E59" s="26" t="n">
        <v>43</v>
      </c>
      <c r="F59" s="26" t="n">
        <v>68</v>
      </c>
      <c r="G59" s="26" t="n">
        <v>54</v>
      </c>
      <c r="H59" s="26" t="n">
        <v>50</v>
      </c>
      <c r="I59" s="26" t="n">
        <v>43</v>
      </c>
      <c r="J59" s="26" t="n">
        <v>0</v>
      </c>
      <c r="K59" s="27" t="n">
        <v>29</v>
      </c>
      <c r="L59" s="27" t="n">
        <v>19.5013</v>
      </c>
      <c r="M59" s="19" t="n">
        <f aca="false">K59-L59</f>
        <v>9.4987</v>
      </c>
      <c r="N59" s="26" t="n">
        <v>3</v>
      </c>
      <c r="O59" s="26" t="n">
        <v>8</v>
      </c>
      <c r="P59" s="28" t="n">
        <f aca="false">IF($C59=0,"",D59/$C59)</f>
        <v>0.43</v>
      </c>
      <c r="Q59" s="28" t="n">
        <f aca="false">IF($C59=0,"",E59/$C59)</f>
        <v>0.43</v>
      </c>
      <c r="R59" s="28" t="n">
        <f aca="false">IF($C59=0,"",F59/$C59)</f>
        <v>0.68</v>
      </c>
      <c r="S59" s="28" t="n">
        <f aca="false">IF($C59=0,"",G59/$C59)</f>
        <v>0.54</v>
      </c>
      <c r="T59" s="28" t="n">
        <f aca="false">IF($C59=0,"",H59/$C59)</f>
        <v>0.5</v>
      </c>
      <c r="U59" s="28" t="n">
        <f aca="false">IF($C59=0,"",I59/$C59)</f>
        <v>0.43</v>
      </c>
      <c r="V59" s="29" t="n">
        <f aca="false">IF($C59=0,"",K59/$C59)</f>
        <v>0.29</v>
      </c>
      <c r="W59" s="29" t="n">
        <f aca="false">IF($C59=0,"",M59/$C59)</f>
        <v>0.094987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105</v>
      </c>
      <c r="D60" s="26" t="n">
        <v>28</v>
      </c>
      <c r="E60" s="26" t="n">
        <v>28</v>
      </c>
      <c r="F60" s="26" t="n">
        <v>58</v>
      </c>
      <c r="G60" s="26" t="n">
        <v>43</v>
      </c>
      <c r="H60" s="26" t="n">
        <v>36</v>
      </c>
      <c r="I60" s="26" t="n">
        <v>28</v>
      </c>
      <c r="J60" s="26" t="n">
        <v>0</v>
      </c>
      <c r="K60" s="27" t="n">
        <v>-21</v>
      </c>
      <c r="L60" s="27" t="n">
        <v>25.7434</v>
      </c>
      <c r="M60" s="19" t="n">
        <f aca="false">K60-L60</f>
        <v>-46.7434</v>
      </c>
      <c r="N60" s="26" t="n">
        <v>2</v>
      </c>
      <c r="O60" s="26" t="n">
        <v>8</v>
      </c>
      <c r="P60" s="28" t="n">
        <f aca="false">IF($C60=0,"",D60/$C60)</f>
        <v>0.266666666666667</v>
      </c>
      <c r="Q60" s="28" t="n">
        <f aca="false">IF($C60=0,"",E60/$C60)</f>
        <v>0.266666666666667</v>
      </c>
      <c r="R60" s="28" t="n">
        <f aca="false">IF($C60=0,"",F60/$C60)</f>
        <v>0.552380952380952</v>
      </c>
      <c r="S60" s="28" t="n">
        <f aca="false">IF($C60=0,"",G60/$C60)</f>
        <v>0.40952380952381</v>
      </c>
      <c r="T60" s="28" t="n">
        <f aca="false">IF($C60=0,"",H60/$C60)</f>
        <v>0.342857142857143</v>
      </c>
      <c r="U60" s="28" t="n">
        <f aca="false">IF($C60=0,"",I60/$C60)</f>
        <v>0.266666666666667</v>
      </c>
      <c r="V60" s="29" t="n">
        <f aca="false">IF($C60=0,"",K60/$C60)</f>
        <v>-0.2</v>
      </c>
      <c r="W60" s="29" t="n">
        <f aca="false">IF($C60=0,"",M60/$C60)</f>
        <v>-0.445175238095238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105</v>
      </c>
      <c r="D61" s="26" t="n">
        <v>43</v>
      </c>
      <c r="E61" s="26" t="n">
        <v>43</v>
      </c>
      <c r="F61" s="26" t="n">
        <v>69</v>
      </c>
      <c r="G61" s="26" t="n">
        <v>61</v>
      </c>
      <c r="H61" s="26" t="n">
        <v>52</v>
      </c>
      <c r="I61" s="26" t="n">
        <v>43</v>
      </c>
      <c r="J61" s="26" t="n">
        <v>0</v>
      </c>
      <c r="K61" s="27" t="n">
        <v>24</v>
      </c>
      <c r="L61" s="27" t="n">
        <v>10.0069</v>
      </c>
      <c r="M61" s="19" t="n">
        <f aca="false">K61-L61</f>
        <v>13.9931</v>
      </c>
      <c r="N61" s="26" t="n">
        <v>6</v>
      </c>
      <c r="O61" s="26" t="n">
        <v>7</v>
      </c>
      <c r="P61" s="28" t="n">
        <f aca="false">IF($C61=0,"",D61/$C61)</f>
        <v>0.40952380952381</v>
      </c>
      <c r="Q61" s="28" t="n">
        <f aca="false">IF($C61=0,"",E61/$C61)</f>
        <v>0.40952380952381</v>
      </c>
      <c r="R61" s="28" t="n">
        <f aca="false">IF($C61=0,"",F61/$C61)</f>
        <v>0.657142857142857</v>
      </c>
      <c r="S61" s="28" t="n">
        <f aca="false">IF($C61=0,"",G61/$C61)</f>
        <v>0.580952380952381</v>
      </c>
      <c r="T61" s="28" t="n">
        <f aca="false">IF($C61=0,"",H61/$C61)</f>
        <v>0.495238095238095</v>
      </c>
      <c r="U61" s="28" t="n">
        <f aca="false">IF($C61=0,"",I61/$C61)</f>
        <v>0.40952380952381</v>
      </c>
      <c r="V61" s="29" t="n">
        <f aca="false">IF($C61=0,"",K61/$C61)</f>
        <v>0.228571428571429</v>
      </c>
      <c r="W61" s="29" t="n">
        <f aca="false">IF($C61=0,"",M61/$C61)</f>
        <v>0.133267619047619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110</v>
      </c>
      <c r="D62" s="26" t="n">
        <v>30</v>
      </c>
      <c r="E62" s="26" t="n">
        <v>30</v>
      </c>
      <c r="F62" s="26" t="n">
        <v>55</v>
      </c>
      <c r="G62" s="26" t="n">
        <v>41</v>
      </c>
      <c r="H62" s="26" t="n">
        <v>33</v>
      </c>
      <c r="I62" s="26" t="n">
        <v>30</v>
      </c>
      <c r="J62" s="26" t="n">
        <v>0</v>
      </c>
      <c r="K62" s="27" t="n">
        <v>-20</v>
      </c>
      <c r="L62" s="27" t="n">
        <v>11.7157</v>
      </c>
      <c r="M62" s="19" t="n">
        <f aca="false">K62-L62</f>
        <v>-31.7157</v>
      </c>
      <c r="N62" s="26" t="n">
        <v>4</v>
      </c>
      <c r="O62" s="26" t="n">
        <v>8</v>
      </c>
      <c r="P62" s="28" t="n">
        <f aca="false">IF($C62=0,"",D62/$C62)</f>
        <v>0.272727272727273</v>
      </c>
      <c r="Q62" s="28" t="n">
        <f aca="false">IF($C62=0,"",E62/$C62)</f>
        <v>0.272727272727273</v>
      </c>
      <c r="R62" s="28" t="n">
        <f aca="false">IF($C62=0,"",F62/$C62)</f>
        <v>0.5</v>
      </c>
      <c r="S62" s="28" t="n">
        <f aca="false">IF($C62=0,"",G62/$C62)</f>
        <v>0.372727272727273</v>
      </c>
      <c r="T62" s="28" t="n">
        <f aca="false">IF($C62=0,"",H62/$C62)</f>
        <v>0.3</v>
      </c>
      <c r="U62" s="28" t="n">
        <f aca="false">IF($C62=0,"",I62/$C62)</f>
        <v>0.272727272727273</v>
      </c>
      <c r="V62" s="29" t="n">
        <f aca="false">IF($C62=0,"",K62/$C62)</f>
        <v>-0.181818181818182</v>
      </c>
      <c r="W62" s="29" t="n">
        <f aca="false">IF($C62=0,"",M62/$C62)</f>
        <v>-0.288324545454545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105</v>
      </c>
      <c r="D63" s="26" t="n">
        <v>40</v>
      </c>
      <c r="E63" s="26" t="n">
        <v>40</v>
      </c>
      <c r="F63" s="26" t="n">
        <v>74</v>
      </c>
      <c r="G63" s="26" t="n">
        <v>63</v>
      </c>
      <c r="H63" s="26" t="n">
        <v>48</v>
      </c>
      <c r="I63" s="26" t="n">
        <v>40</v>
      </c>
      <c r="J63" s="26" t="n">
        <v>0</v>
      </c>
      <c r="K63" s="27" t="n">
        <v>15</v>
      </c>
      <c r="L63" s="27" t="n">
        <v>12.3734</v>
      </c>
      <c r="M63" s="19" t="n">
        <f aca="false">K63-L63</f>
        <v>2.6266</v>
      </c>
      <c r="N63" s="26" t="n">
        <v>4</v>
      </c>
      <c r="O63" s="26" t="n">
        <v>7</v>
      </c>
      <c r="P63" s="28" t="n">
        <f aca="false">IF($C63=0,"",D63/$C63)</f>
        <v>0.380952380952381</v>
      </c>
      <c r="Q63" s="28" t="n">
        <f aca="false">IF($C63=0,"",E63/$C63)</f>
        <v>0.380952380952381</v>
      </c>
      <c r="R63" s="28" t="n">
        <f aca="false">IF($C63=0,"",F63/$C63)</f>
        <v>0.704761904761905</v>
      </c>
      <c r="S63" s="28" t="n">
        <f aca="false">IF($C63=0,"",G63/$C63)</f>
        <v>0.6</v>
      </c>
      <c r="T63" s="28" t="n">
        <f aca="false">IF($C63=0,"",H63/$C63)</f>
        <v>0.457142857142857</v>
      </c>
      <c r="U63" s="28" t="n">
        <f aca="false">IF($C63=0,"",I63/$C63)</f>
        <v>0.380952380952381</v>
      </c>
      <c r="V63" s="29" t="n">
        <f aca="false">IF($C63=0,"",K63/$C63)</f>
        <v>0.142857142857143</v>
      </c>
      <c r="W63" s="29" t="n">
        <f aca="false">IF($C63=0,"",M63/$C63)</f>
        <v>0.0250152380952381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115</v>
      </c>
      <c r="D64" s="26" t="n">
        <v>43</v>
      </c>
      <c r="E64" s="26" t="n">
        <v>43</v>
      </c>
      <c r="F64" s="26" t="n">
        <v>72</v>
      </c>
      <c r="G64" s="26" t="n">
        <v>62</v>
      </c>
      <c r="H64" s="26" t="n">
        <v>50</v>
      </c>
      <c r="I64" s="26" t="n">
        <v>43</v>
      </c>
      <c r="J64" s="26" t="n">
        <v>0</v>
      </c>
      <c r="K64" s="27" t="n">
        <v>14</v>
      </c>
      <c r="L64" s="27" t="n">
        <v>21.225</v>
      </c>
      <c r="M64" s="19" t="n">
        <f aca="false">K64-L64</f>
        <v>-7.225</v>
      </c>
      <c r="N64" s="26" t="n">
        <v>4</v>
      </c>
      <c r="O64" s="26" t="n">
        <v>17</v>
      </c>
      <c r="P64" s="28" t="n">
        <f aca="false">IF($C64=0,"",D64/$C64)</f>
        <v>0.373913043478261</v>
      </c>
      <c r="Q64" s="28" t="n">
        <f aca="false">IF($C64=0,"",E64/$C64)</f>
        <v>0.373913043478261</v>
      </c>
      <c r="R64" s="28" t="n">
        <f aca="false">IF($C64=0,"",F64/$C64)</f>
        <v>0.626086956521739</v>
      </c>
      <c r="S64" s="28" t="n">
        <f aca="false">IF($C64=0,"",G64/$C64)</f>
        <v>0.539130434782609</v>
      </c>
      <c r="T64" s="28" t="n">
        <f aca="false">IF($C64=0,"",H64/$C64)</f>
        <v>0.434782608695652</v>
      </c>
      <c r="U64" s="28" t="n">
        <f aca="false">IF($C64=0,"",I64/$C64)</f>
        <v>0.373913043478261</v>
      </c>
      <c r="V64" s="29" t="n">
        <f aca="false">IF($C64=0,"",K64/$C64)</f>
        <v>0.121739130434783</v>
      </c>
      <c r="W64" s="29" t="n">
        <f aca="false">IF($C64=0,"",M64/$C64)</f>
        <v>-0.0628260869565218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105</v>
      </c>
      <c r="D65" s="26" t="n">
        <v>34</v>
      </c>
      <c r="E65" s="26" t="n">
        <v>34</v>
      </c>
      <c r="F65" s="26" t="n">
        <v>61</v>
      </c>
      <c r="G65" s="26" t="n">
        <v>52</v>
      </c>
      <c r="H65" s="26" t="n">
        <v>43</v>
      </c>
      <c r="I65" s="26" t="n">
        <v>34</v>
      </c>
      <c r="J65" s="26" t="n">
        <v>0</v>
      </c>
      <c r="K65" s="27" t="n">
        <v>-3</v>
      </c>
      <c r="L65" s="27" t="n">
        <v>21.716</v>
      </c>
      <c r="M65" s="19" t="n">
        <f aca="false">K65-L65</f>
        <v>-24.716</v>
      </c>
      <c r="N65" s="26" t="n">
        <v>4</v>
      </c>
      <c r="O65" s="26" t="n">
        <v>14</v>
      </c>
      <c r="P65" s="28" t="n">
        <f aca="false">IF($C65=0,"",D65/$C65)</f>
        <v>0.323809523809524</v>
      </c>
      <c r="Q65" s="28" t="n">
        <f aca="false">IF($C65=0,"",E65/$C65)</f>
        <v>0.323809523809524</v>
      </c>
      <c r="R65" s="28" t="n">
        <f aca="false">IF($C65=0,"",F65/$C65)</f>
        <v>0.580952380952381</v>
      </c>
      <c r="S65" s="28" t="n">
        <f aca="false">IF($C65=0,"",G65/$C65)</f>
        <v>0.495238095238095</v>
      </c>
      <c r="T65" s="28" t="n">
        <f aca="false">IF($C65=0,"",H65/$C65)</f>
        <v>0.40952380952381</v>
      </c>
      <c r="U65" s="28" t="n">
        <f aca="false">IF($C65=0,"",I65/$C65)</f>
        <v>0.323809523809524</v>
      </c>
      <c r="V65" s="29" t="n">
        <f aca="false">IF($C65=0,"",K65/$C65)</f>
        <v>-0.0285714285714286</v>
      </c>
      <c r="W65" s="29" t="n">
        <f aca="false">IF($C65=0,"",M65/$C65)</f>
        <v>-0.235390476190476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110</v>
      </c>
      <c r="D66" s="26" t="n">
        <v>39</v>
      </c>
      <c r="E66" s="26" t="n">
        <v>39</v>
      </c>
      <c r="F66" s="26" t="n">
        <v>65</v>
      </c>
      <c r="G66" s="26" t="n">
        <v>53</v>
      </c>
      <c r="H66" s="26" t="n">
        <v>44</v>
      </c>
      <c r="I66" s="26" t="n">
        <v>39</v>
      </c>
      <c r="J66" s="26" t="n">
        <v>0</v>
      </c>
      <c r="K66" s="27" t="n">
        <v>7</v>
      </c>
      <c r="L66" s="27" t="n">
        <v>14.6665</v>
      </c>
      <c r="M66" s="19" t="n">
        <f aca="false">K66-L66</f>
        <v>-7.6665</v>
      </c>
      <c r="N66" s="26" t="n">
        <v>4</v>
      </c>
      <c r="O66" s="26" t="n">
        <v>10</v>
      </c>
      <c r="P66" s="28" t="n">
        <f aca="false">IF($C66=0,"",D66/$C66)</f>
        <v>0.354545454545455</v>
      </c>
      <c r="Q66" s="28" t="n">
        <f aca="false">IF($C66=0,"",E66/$C66)</f>
        <v>0.354545454545455</v>
      </c>
      <c r="R66" s="28" t="n">
        <f aca="false">IF($C66=0,"",F66/$C66)</f>
        <v>0.590909090909091</v>
      </c>
      <c r="S66" s="28" t="n">
        <f aca="false">IF($C66=0,"",G66/$C66)</f>
        <v>0.481818181818182</v>
      </c>
      <c r="T66" s="28" t="n">
        <f aca="false">IF($C66=0,"",H66/$C66)</f>
        <v>0.4</v>
      </c>
      <c r="U66" s="28" t="n">
        <f aca="false">IF($C66=0,"",I66/$C66)</f>
        <v>0.354545454545455</v>
      </c>
      <c r="V66" s="29" t="n">
        <f aca="false">IF($C66=0,"",K66/$C66)</f>
        <v>0.0636363636363636</v>
      </c>
      <c r="W66" s="29" t="n">
        <f aca="false">IF($C66=0,"",M66/$C66)</f>
        <v>-0.0696954545454545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115</v>
      </c>
      <c r="D67" s="26" t="n">
        <v>35</v>
      </c>
      <c r="E67" s="26" t="n">
        <v>35</v>
      </c>
      <c r="F67" s="26" t="n">
        <v>69</v>
      </c>
      <c r="G67" s="26" t="n">
        <v>52</v>
      </c>
      <c r="H67" s="26" t="n">
        <v>41</v>
      </c>
      <c r="I67" s="26" t="n">
        <v>35</v>
      </c>
      <c r="J67" s="26" t="n">
        <v>0</v>
      </c>
      <c r="K67" s="27" t="n">
        <v>-10</v>
      </c>
      <c r="L67" s="27" t="n">
        <v>7.342</v>
      </c>
      <c r="M67" s="19" t="n">
        <f aca="false">K67-L67</f>
        <v>-17.342</v>
      </c>
      <c r="N67" s="26" t="n">
        <v>3</v>
      </c>
      <c r="O67" s="26" t="n">
        <v>7</v>
      </c>
      <c r="P67" s="28" t="n">
        <f aca="false">IF($C67=0,"",D67/$C67)</f>
        <v>0.304347826086957</v>
      </c>
      <c r="Q67" s="28" t="n">
        <f aca="false">IF($C67=0,"",E67/$C67)</f>
        <v>0.304347826086957</v>
      </c>
      <c r="R67" s="28" t="n">
        <f aca="false">IF($C67=0,"",F67/$C67)</f>
        <v>0.6</v>
      </c>
      <c r="S67" s="28" t="n">
        <f aca="false">IF($C67=0,"",G67/$C67)</f>
        <v>0.452173913043478</v>
      </c>
      <c r="T67" s="28" t="n">
        <f aca="false">IF($C67=0,"",H67/$C67)</f>
        <v>0.356521739130435</v>
      </c>
      <c r="U67" s="28" t="n">
        <f aca="false">IF($C67=0,"",I67/$C67)</f>
        <v>0.304347826086957</v>
      </c>
      <c r="V67" s="29" t="n">
        <f aca="false">IF($C67=0,"",K67/$C67)</f>
        <v>-0.0869565217391304</v>
      </c>
      <c r="W67" s="29" t="n">
        <f aca="false">IF($C67=0,"",M67/$C67)</f>
        <v>-0.1508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100</v>
      </c>
      <c r="D68" s="26" t="n">
        <v>43</v>
      </c>
      <c r="E68" s="26" t="n">
        <v>43</v>
      </c>
      <c r="F68" s="26" t="n">
        <v>65</v>
      </c>
      <c r="G68" s="26" t="n">
        <v>61</v>
      </c>
      <c r="H68" s="26" t="n">
        <v>51</v>
      </c>
      <c r="I68" s="26" t="n">
        <v>43</v>
      </c>
      <c r="J68" s="26" t="n">
        <v>0</v>
      </c>
      <c r="K68" s="27" t="n">
        <v>29</v>
      </c>
      <c r="L68" s="27" t="n">
        <v>7.2457</v>
      </c>
      <c r="M68" s="19" t="n">
        <f aca="false">K68-L68</f>
        <v>21.7543</v>
      </c>
      <c r="N68" s="26" t="n">
        <v>2</v>
      </c>
      <c r="O68" s="26" t="n">
        <v>4</v>
      </c>
      <c r="P68" s="28" t="n">
        <f aca="false">IF($C68=0,"",D68/$C68)</f>
        <v>0.43</v>
      </c>
      <c r="Q68" s="28" t="n">
        <f aca="false">IF($C68=0,"",E68/$C68)</f>
        <v>0.43</v>
      </c>
      <c r="R68" s="28" t="n">
        <f aca="false">IF($C68=0,"",F68/$C68)</f>
        <v>0.65</v>
      </c>
      <c r="S68" s="28" t="n">
        <f aca="false">IF($C68=0,"",G68/$C68)</f>
        <v>0.61</v>
      </c>
      <c r="T68" s="28" t="n">
        <f aca="false">IF($C68=0,"",H68/$C68)</f>
        <v>0.51</v>
      </c>
      <c r="U68" s="28" t="n">
        <f aca="false">IF($C68=0,"",I68/$C68)</f>
        <v>0.43</v>
      </c>
      <c r="V68" s="29" t="n">
        <f aca="false">IF($C68=0,"",K68/$C68)</f>
        <v>0.29</v>
      </c>
      <c r="W68" s="29" t="n">
        <f aca="false">IF($C68=0,"",M68/$C68)</f>
        <v>0.217543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110</v>
      </c>
      <c r="D69" s="26" t="n">
        <v>31</v>
      </c>
      <c r="E69" s="26" t="n">
        <v>31</v>
      </c>
      <c r="F69" s="26" t="n">
        <v>63</v>
      </c>
      <c r="G69" s="26" t="n">
        <v>50</v>
      </c>
      <c r="H69" s="26" t="n">
        <v>40</v>
      </c>
      <c r="I69" s="26" t="n">
        <v>31</v>
      </c>
      <c r="J69" s="26" t="n">
        <v>0</v>
      </c>
      <c r="K69" s="27" t="n">
        <v>-17</v>
      </c>
      <c r="L69" s="27" t="n">
        <v>9.9609</v>
      </c>
      <c r="M69" s="19" t="n">
        <f aca="false">K69-L69</f>
        <v>-26.9609</v>
      </c>
      <c r="N69" s="26" t="n">
        <v>3</v>
      </c>
      <c r="O69" s="26" t="n">
        <v>19</v>
      </c>
      <c r="P69" s="28" t="n">
        <f aca="false">IF($C69=0,"",D69/$C69)</f>
        <v>0.281818181818182</v>
      </c>
      <c r="Q69" s="28" t="n">
        <f aca="false">IF($C69=0,"",E69/$C69)</f>
        <v>0.281818181818182</v>
      </c>
      <c r="R69" s="28" t="n">
        <f aca="false">IF($C69=0,"",F69/$C69)</f>
        <v>0.572727272727273</v>
      </c>
      <c r="S69" s="28" t="n">
        <f aca="false">IF($C69=0,"",G69/$C69)</f>
        <v>0.454545454545455</v>
      </c>
      <c r="T69" s="28" t="n">
        <f aca="false">IF($C69=0,"",H69/$C69)</f>
        <v>0.363636363636364</v>
      </c>
      <c r="U69" s="28" t="n">
        <f aca="false">IF($C69=0,"",I69/$C69)</f>
        <v>0.281818181818182</v>
      </c>
      <c r="V69" s="29" t="n">
        <f aca="false">IF($C69=0,"",K69/$C69)</f>
        <v>-0.154545454545455</v>
      </c>
      <c r="W69" s="29" t="n">
        <f aca="false">IF($C69=0,"",M69/$C69)</f>
        <v>-0.245099090909091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1290</v>
      </c>
      <c r="D70" s="30" t="n">
        <f aca="false">SUM(D58:D69)</f>
        <v>439</v>
      </c>
      <c r="E70" s="30" t="n">
        <f aca="false">SUM(E58:E69)</f>
        <v>439</v>
      </c>
      <c r="F70" s="30" t="n">
        <f aca="false">SUM(F58:F69)</f>
        <v>777</v>
      </c>
      <c r="G70" s="30" t="n">
        <f aca="false">SUM(G58:G69)</f>
        <v>641</v>
      </c>
      <c r="H70" s="30" t="n">
        <f aca="false">SUM(H58:H69)</f>
        <v>529</v>
      </c>
      <c r="I70" s="30" t="n">
        <f aca="false">SUM(I58:I69)</f>
        <v>439</v>
      </c>
      <c r="J70" s="30" t="n">
        <f aca="false">SUM(J58:J69)</f>
        <v>0</v>
      </c>
      <c r="K70" s="31" t="n">
        <f aca="false">SUM(K58:K69)</f>
        <v>27</v>
      </c>
      <c r="L70" s="31" t="n">
        <f aca="false">SUM(L58:L69)</f>
        <v>188.8691</v>
      </c>
      <c r="M70" s="31" t="n">
        <f aca="false">K70-L70</f>
        <v>-161.8691</v>
      </c>
      <c r="N70" s="32" t="n">
        <v>6</v>
      </c>
      <c r="O70" s="32" t="n">
        <v>19</v>
      </c>
      <c r="P70" s="33" t="n">
        <f aca="false">IF($C70=0,"",D70/$C70)</f>
        <v>0.34031007751938</v>
      </c>
      <c r="Q70" s="33" t="n">
        <f aca="false">IF($C70=0,"",E70/$C70)</f>
        <v>0.34031007751938</v>
      </c>
      <c r="R70" s="33" t="n">
        <f aca="false">IF($C70=0,"",F70/$C70)</f>
        <v>0.602325581395349</v>
      </c>
      <c r="S70" s="33" t="n">
        <f aca="false">IF($C70=0,"",G70/$C70)</f>
        <v>0.496899224806202</v>
      </c>
      <c r="T70" s="33" t="n">
        <f aca="false">IF($C70=0,"",H70/$C70)</f>
        <v>0.410077519379845</v>
      </c>
      <c r="U70" s="33" t="n">
        <f aca="false">IF($C70=0,"",I70/$C70)</f>
        <v>0.34031007751938</v>
      </c>
      <c r="V70" s="34" t="n">
        <f aca="false">IF($C70=0,"",K70/$C70)</f>
        <v>0.0209302325581395</v>
      </c>
      <c r="W70" s="34" t="n">
        <f aca="false">IF($C70=0,"",M70/$C70)</f>
        <v>-0.12547992248062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105</v>
      </c>
      <c r="D71" s="26" t="n">
        <v>43</v>
      </c>
      <c r="E71" s="26" t="n">
        <v>43</v>
      </c>
      <c r="F71" s="26" t="n">
        <v>66</v>
      </c>
      <c r="G71" s="26" t="n">
        <v>56</v>
      </c>
      <c r="H71" s="26" t="n">
        <v>47</v>
      </c>
      <c r="I71" s="26" t="n">
        <v>43</v>
      </c>
      <c r="J71" s="26" t="n">
        <v>0</v>
      </c>
      <c r="K71" s="27" t="n">
        <v>24</v>
      </c>
      <c r="L71" s="27" t="n">
        <v>6.744</v>
      </c>
      <c r="M71" s="19" t="n">
        <f aca="false">K71-L71</f>
        <v>17.256</v>
      </c>
      <c r="N71" s="26" t="n">
        <v>4</v>
      </c>
      <c r="O71" s="26" t="n">
        <v>8</v>
      </c>
      <c r="P71" s="28" t="n">
        <f aca="false">IF($C71=0,"",D71/$C71)</f>
        <v>0.40952380952381</v>
      </c>
      <c r="Q71" s="28" t="n">
        <f aca="false">IF($C71=0,"",E71/$C71)</f>
        <v>0.40952380952381</v>
      </c>
      <c r="R71" s="28" t="n">
        <f aca="false">IF($C71=0,"",F71/$C71)</f>
        <v>0.628571428571429</v>
      </c>
      <c r="S71" s="28" t="n">
        <f aca="false">IF($C71=0,"",G71/$C71)</f>
        <v>0.533333333333333</v>
      </c>
      <c r="T71" s="28" t="n">
        <f aca="false">IF($C71=0,"",H71/$C71)</f>
        <v>0.447619047619048</v>
      </c>
      <c r="U71" s="28" t="n">
        <f aca="false">IF($C71=0,"",I71/$C71)</f>
        <v>0.40952380952381</v>
      </c>
      <c r="V71" s="29" t="n">
        <f aca="false">IF($C71=0,"",K71/$C71)</f>
        <v>0.228571428571429</v>
      </c>
      <c r="W71" s="29" t="n">
        <f aca="false">IF($C71=0,"",M71/$C71)</f>
        <v>0.164342857142857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100</v>
      </c>
      <c r="D72" s="26" t="n">
        <v>26</v>
      </c>
      <c r="E72" s="26" t="n">
        <v>26</v>
      </c>
      <c r="F72" s="26" t="n">
        <v>58</v>
      </c>
      <c r="G72" s="26" t="n">
        <v>47</v>
      </c>
      <c r="H72" s="26" t="n">
        <v>36</v>
      </c>
      <c r="I72" s="26" t="n">
        <v>26</v>
      </c>
      <c r="J72" s="26" t="n">
        <v>0</v>
      </c>
      <c r="K72" s="27" t="n">
        <v>-22</v>
      </c>
      <c r="L72" s="27" t="n">
        <v>3.6039</v>
      </c>
      <c r="M72" s="19" t="n">
        <f aca="false">K72-L72</f>
        <v>-25.6039</v>
      </c>
      <c r="N72" s="26" t="n">
        <v>2</v>
      </c>
      <c r="O72" s="26" t="n">
        <v>11</v>
      </c>
      <c r="P72" s="28" t="n">
        <f aca="false">IF($C72=0,"",D72/$C72)</f>
        <v>0.26</v>
      </c>
      <c r="Q72" s="28" t="n">
        <f aca="false">IF($C72=0,"",E72/$C72)</f>
        <v>0.26</v>
      </c>
      <c r="R72" s="28" t="n">
        <f aca="false">IF($C72=0,"",F72/$C72)</f>
        <v>0.58</v>
      </c>
      <c r="S72" s="28" t="n">
        <f aca="false">IF($C72=0,"",G72/$C72)</f>
        <v>0.47</v>
      </c>
      <c r="T72" s="28" t="n">
        <f aca="false">IF($C72=0,"",H72/$C72)</f>
        <v>0.36</v>
      </c>
      <c r="U72" s="28" t="n">
        <f aca="false">IF($C72=0,"",I72/$C72)</f>
        <v>0.26</v>
      </c>
      <c r="V72" s="29" t="n">
        <f aca="false">IF($C72=0,"",K72/$C72)</f>
        <v>-0.22</v>
      </c>
      <c r="W72" s="29" t="n">
        <f aca="false">IF($C72=0,"",M72/$C72)</f>
        <v>-0.256039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110</v>
      </c>
      <c r="D73" s="26" t="n">
        <v>29</v>
      </c>
      <c r="E73" s="26" t="n">
        <v>29</v>
      </c>
      <c r="F73" s="26" t="n">
        <v>64</v>
      </c>
      <c r="G73" s="26" t="n">
        <v>53</v>
      </c>
      <c r="H73" s="26" t="n">
        <v>41</v>
      </c>
      <c r="I73" s="26" t="n">
        <v>29</v>
      </c>
      <c r="J73" s="26" t="n">
        <v>0</v>
      </c>
      <c r="K73" s="27" t="n">
        <v>-23</v>
      </c>
      <c r="L73" s="27" t="n">
        <v>5.6822</v>
      </c>
      <c r="M73" s="19" t="n">
        <f aca="false">K73-L73</f>
        <v>-28.6822</v>
      </c>
      <c r="N73" s="26" t="n">
        <v>3</v>
      </c>
      <c r="O73" s="26" t="n">
        <v>9</v>
      </c>
      <c r="P73" s="28" t="n">
        <f aca="false">IF($C73=0,"",D73/$C73)</f>
        <v>0.263636363636364</v>
      </c>
      <c r="Q73" s="28" t="n">
        <f aca="false">IF($C73=0,"",E73/$C73)</f>
        <v>0.263636363636364</v>
      </c>
      <c r="R73" s="28" t="n">
        <f aca="false">IF($C73=0,"",F73/$C73)</f>
        <v>0.581818181818182</v>
      </c>
      <c r="S73" s="28" t="n">
        <f aca="false">IF($C73=0,"",G73/$C73)</f>
        <v>0.481818181818182</v>
      </c>
      <c r="T73" s="28" t="n">
        <f aca="false">IF($C73=0,"",H73/$C73)</f>
        <v>0.372727272727273</v>
      </c>
      <c r="U73" s="28" t="n">
        <f aca="false">IF($C73=0,"",I73/$C73)</f>
        <v>0.263636363636364</v>
      </c>
      <c r="V73" s="29" t="n">
        <f aca="false">IF($C73=0,"",K73/$C73)</f>
        <v>-0.209090909090909</v>
      </c>
      <c r="W73" s="29" t="n">
        <f aca="false">IF($C73=0,"",M73/$C73)</f>
        <v>-0.260747272727273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105</v>
      </c>
      <c r="D74" s="26" t="n">
        <v>34</v>
      </c>
      <c r="E74" s="26" t="n">
        <v>34</v>
      </c>
      <c r="F74" s="26" t="n">
        <v>55</v>
      </c>
      <c r="G74" s="26" t="n">
        <v>47</v>
      </c>
      <c r="H74" s="26" t="n">
        <v>42</v>
      </c>
      <c r="I74" s="26" t="n">
        <v>34</v>
      </c>
      <c r="J74" s="26" t="n">
        <v>0</v>
      </c>
      <c r="K74" s="27" t="n">
        <v>-3</v>
      </c>
      <c r="L74" s="27" t="n">
        <v>7.0608</v>
      </c>
      <c r="M74" s="19" t="n">
        <f aca="false">K74-L74</f>
        <v>-10.0608</v>
      </c>
      <c r="N74" s="26" t="n">
        <v>7</v>
      </c>
      <c r="O74" s="26" t="n">
        <v>10</v>
      </c>
      <c r="P74" s="28" t="n">
        <f aca="false">IF($C74=0,"",D74/$C74)</f>
        <v>0.323809523809524</v>
      </c>
      <c r="Q74" s="28" t="n">
        <f aca="false">IF($C74=0,"",E74/$C74)</f>
        <v>0.323809523809524</v>
      </c>
      <c r="R74" s="28" t="n">
        <f aca="false">IF($C74=0,"",F74/$C74)</f>
        <v>0.523809523809524</v>
      </c>
      <c r="S74" s="28" t="n">
        <f aca="false">IF($C74=0,"",G74/$C74)</f>
        <v>0.447619047619048</v>
      </c>
      <c r="T74" s="28" t="n">
        <f aca="false">IF($C74=0,"",H74/$C74)</f>
        <v>0.4</v>
      </c>
      <c r="U74" s="28" t="n">
        <f aca="false">IF($C74=0,"",I74/$C74)</f>
        <v>0.323809523809524</v>
      </c>
      <c r="V74" s="29" t="n">
        <f aca="false">IF($C74=0,"",K74/$C74)</f>
        <v>-0.0285714285714286</v>
      </c>
      <c r="W74" s="29" t="n">
        <f aca="false">IF($C74=0,"",M74/$C74)</f>
        <v>-0.0958171428571429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105</v>
      </c>
      <c r="D75" s="26" t="n">
        <v>33</v>
      </c>
      <c r="E75" s="26" t="n">
        <v>33</v>
      </c>
      <c r="F75" s="26" t="n">
        <v>66</v>
      </c>
      <c r="G75" s="26" t="n">
        <v>50</v>
      </c>
      <c r="H75" s="26" t="n">
        <v>41</v>
      </c>
      <c r="I75" s="26" t="n">
        <v>33</v>
      </c>
      <c r="J75" s="26" t="n">
        <v>0</v>
      </c>
      <c r="K75" s="27" t="n">
        <v>-6</v>
      </c>
      <c r="L75" s="27" t="n">
        <v>9.2216</v>
      </c>
      <c r="M75" s="19" t="n">
        <f aca="false">K75-L75</f>
        <v>-15.2216</v>
      </c>
      <c r="N75" s="26" t="n">
        <v>4</v>
      </c>
      <c r="O75" s="26" t="n">
        <v>11</v>
      </c>
      <c r="P75" s="28" t="n">
        <f aca="false">IF($C75=0,"",D75/$C75)</f>
        <v>0.314285714285714</v>
      </c>
      <c r="Q75" s="28" t="n">
        <f aca="false">IF($C75=0,"",E75/$C75)</f>
        <v>0.314285714285714</v>
      </c>
      <c r="R75" s="28" t="n">
        <f aca="false">IF($C75=0,"",F75/$C75)</f>
        <v>0.628571428571429</v>
      </c>
      <c r="S75" s="28" t="n">
        <f aca="false">IF($C75=0,"",G75/$C75)</f>
        <v>0.476190476190476</v>
      </c>
      <c r="T75" s="28" t="n">
        <f aca="false">IF($C75=0,"",H75/$C75)</f>
        <v>0.390476190476191</v>
      </c>
      <c r="U75" s="28" t="n">
        <f aca="false">IF($C75=0,"",I75/$C75)</f>
        <v>0.314285714285714</v>
      </c>
      <c r="V75" s="29" t="n">
        <f aca="false">IF($C75=0,"",K75/$C75)</f>
        <v>-0.0571428571428571</v>
      </c>
      <c r="W75" s="29" t="n">
        <f aca="false">IF($C75=0,"",M75/$C75)</f>
        <v>-0.144967619047619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110</v>
      </c>
      <c r="D76" s="26" t="n">
        <v>42</v>
      </c>
      <c r="E76" s="26" t="n">
        <v>42</v>
      </c>
      <c r="F76" s="26" t="n">
        <v>75</v>
      </c>
      <c r="G76" s="26" t="n">
        <v>65</v>
      </c>
      <c r="H76" s="26" t="n">
        <v>50</v>
      </c>
      <c r="I76" s="26" t="n">
        <v>42</v>
      </c>
      <c r="J76" s="26" t="n">
        <v>0</v>
      </c>
      <c r="K76" s="27" t="n">
        <v>16</v>
      </c>
      <c r="L76" s="27" t="n">
        <v>8.6331</v>
      </c>
      <c r="M76" s="19" t="n">
        <f aca="false">K76-L76</f>
        <v>7.3669</v>
      </c>
      <c r="N76" s="26" t="n">
        <v>3</v>
      </c>
      <c r="O76" s="26" t="n">
        <v>13</v>
      </c>
      <c r="P76" s="28" t="n">
        <f aca="false">IF($C76=0,"",D76/$C76)</f>
        <v>0.381818181818182</v>
      </c>
      <c r="Q76" s="28" t="n">
        <f aca="false">IF($C76=0,"",E76/$C76)</f>
        <v>0.381818181818182</v>
      </c>
      <c r="R76" s="28" t="n">
        <f aca="false">IF($C76=0,"",F76/$C76)</f>
        <v>0.681818181818182</v>
      </c>
      <c r="S76" s="28" t="n">
        <f aca="false">IF($C76=0,"",G76/$C76)</f>
        <v>0.590909090909091</v>
      </c>
      <c r="T76" s="28" t="n">
        <f aca="false">IF($C76=0,"",H76/$C76)</f>
        <v>0.454545454545455</v>
      </c>
      <c r="U76" s="28" t="n">
        <f aca="false">IF($C76=0,"",I76/$C76)</f>
        <v>0.381818181818182</v>
      </c>
      <c r="V76" s="29" t="n">
        <f aca="false">IF($C76=0,"",K76/$C76)</f>
        <v>0.145454545454545</v>
      </c>
      <c r="W76" s="29" t="n">
        <f aca="false">IF($C76=0,"",M76/$C76)</f>
        <v>0.0669718181818182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115</v>
      </c>
      <c r="D77" s="26" t="n">
        <v>32</v>
      </c>
      <c r="E77" s="26" t="n">
        <v>32</v>
      </c>
      <c r="F77" s="26" t="n">
        <v>72</v>
      </c>
      <c r="G77" s="26" t="n">
        <v>49</v>
      </c>
      <c r="H77" s="26" t="n">
        <v>39</v>
      </c>
      <c r="I77" s="26" t="n">
        <v>32</v>
      </c>
      <c r="J77" s="26" t="n">
        <v>0</v>
      </c>
      <c r="K77" s="27" t="n">
        <v>-19</v>
      </c>
      <c r="L77" s="27" t="n">
        <v>13.6303</v>
      </c>
      <c r="M77" s="19" t="n">
        <f aca="false">K77-L77</f>
        <v>-32.6303</v>
      </c>
      <c r="N77" s="26" t="n">
        <v>3</v>
      </c>
      <c r="O77" s="26" t="n">
        <v>9</v>
      </c>
      <c r="P77" s="28" t="n">
        <f aca="false">IF($C77=0,"",D77/$C77)</f>
        <v>0.278260869565217</v>
      </c>
      <c r="Q77" s="28" t="n">
        <f aca="false">IF($C77=0,"",E77/$C77)</f>
        <v>0.278260869565217</v>
      </c>
      <c r="R77" s="28" t="n">
        <f aca="false">IF($C77=0,"",F77/$C77)</f>
        <v>0.626086956521739</v>
      </c>
      <c r="S77" s="28" t="n">
        <f aca="false">IF($C77=0,"",G77/$C77)</f>
        <v>0.426086956521739</v>
      </c>
      <c r="T77" s="28" t="n">
        <f aca="false">IF($C77=0,"",H77/$C77)</f>
        <v>0.339130434782609</v>
      </c>
      <c r="U77" s="28" t="n">
        <f aca="false">IF($C77=0,"",I77/$C77)</f>
        <v>0.278260869565217</v>
      </c>
      <c r="V77" s="29" t="n">
        <f aca="false">IF($C77=0,"",K77/$C77)</f>
        <v>-0.165217391304348</v>
      </c>
      <c r="W77" s="29" t="n">
        <f aca="false">IF($C77=0,"",M77/$C77)</f>
        <v>-0.283741739130435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105</v>
      </c>
      <c r="D78" s="26" t="n">
        <v>45</v>
      </c>
      <c r="E78" s="26" t="n">
        <v>45</v>
      </c>
      <c r="F78" s="26" t="n">
        <v>69</v>
      </c>
      <c r="G78" s="26" t="n">
        <v>61</v>
      </c>
      <c r="H78" s="26" t="n">
        <v>48</v>
      </c>
      <c r="I78" s="26" t="n">
        <v>45</v>
      </c>
      <c r="J78" s="26" t="n">
        <v>0</v>
      </c>
      <c r="K78" s="27" t="n">
        <v>30</v>
      </c>
      <c r="L78" s="27" t="n">
        <v>10.2667</v>
      </c>
      <c r="M78" s="19" t="n">
        <f aca="false">K78-L78</f>
        <v>19.7333</v>
      </c>
      <c r="N78" s="26" t="n">
        <v>4</v>
      </c>
      <c r="O78" s="26" t="n">
        <v>6</v>
      </c>
      <c r="P78" s="28" t="n">
        <f aca="false">IF($C78=0,"",D78/$C78)</f>
        <v>0.428571428571429</v>
      </c>
      <c r="Q78" s="28" t="n">
        <f aca="false">IF($C78=0,"",E78/$C78)</f>
        <v>0.428571428571429</v>
      </c>
      <c r="R78" s="28" t="n">
        <f aca="false">IF($C78=0,"",F78/$C78)</f>
        <v>0.657142857142857</v>
      </c>
      <c r="S78" s="28" t="n">
        <f aca="false">IF($C78=0,"",G78/$C78)</f>
        <v>0.580952380952381</v>
      </c>
      <c r="T78" s="28" t="n">
        <f aca="false">IF($C78=0,"",H78/$C78)</f>
        <v>0.457142857142857</v>
      </c>
      <c r="U78" s="28" t="n">
        <f aca="false">IF($C78=0,"",I78/$C78)</f>
        <v>0.428571428571429</v>
      </c>
      <c r="V78" s="29" t="n">
        <f aca="false">IF($C78=0,"",K78/$C78)</f>
        <v>0.285714285714286</v>
      </c>
      <c r="W78" s="29" t="n">
        <f aca="false">IF($C78=0,"",M78/$C78)</f>
        <v>0.18793619047619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110</v>
      </c>
      <c r="D79" s="26" t="n">
        <v>30</v>
      </c>
      <c r="E79" s="26" t="n">
        <v>30</v>
      </c>
      <c r="F79" s="26" t="n">
        <v>65</v>
      </c>
      <c r="G79" s="26" t="n">
        <v>46</v>
      </c>
      <c r="H79" s="26" t="n">
        <v>36</v>
      </c>
      <c r="I79" s="26" t="n">
        <v>30</v>
      </c>
      <c r="J79" s="26" t="n">
        <v>0</v>
      </c>
      <c r="K79" s="27" t="n">
        <v>-20</v>
      </c>
      <c r="L79" s="27" t="n">
        <v>11.5544</v>
      </c>
      <c r="M79" s="19" t="n">
        <f aca="false">K79-L79</f>
        <v>-31.5544</v>
      </c>
      <c r="N79" s="26" t="n">
        <v>4</v>
      </c>
      <c r="O79" s="26" t="n">
        <v>12</v>
      </c>
      <c r="P79" s="28" t="n">
        <f aca="false">IF($C79=0,"",D79/$C79)</f>
        <v>0.272727272727273</v>
      </c>
      <c r="Q79" s="28" t="n">
        <f aca="false">IF($C79=0,"",E79/$C79)</f>
        <v>0.272727272727273</v>
      </c>
      <c r="R79" s="28" t="n">
        <f aca="false">IF($C79=0,"",F79/$C79)</f>
        <v>0.590909090909091</v>
      </c>
      <c r="S79" s="28" t="n">
        <f aca="false">IF($C79=0,"",G79/$C79)</f>
        <v>0.418181818181818</v>
      </c>
      <c r="T79" s="28" t="n">
        <f aca="false">IF($C79=0,"",H79/$C79)</f>
        <v>0.327272727272727</v>
      </c>
      <c r="U79" s="28" t="n">
        <f aca="false">IF($C79=0,"",I79/$C79)</f>
        <v>0.272727272727273</v>
      </c>
      <c r="V79" s="29" t="n">
        <f aca="false">IF($C79=0,"",K79/$C79)</f>
        <v>-0.181818181818182</v>
      </c>
      <c r="W79" s="29" t="n">
        <f aca="false">IF($C79=0,"",M79/$C79)</f>
        <v>-0.286858181818182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10</v>
      </c>
      <c r="D80" s="26" t="n">
        <v>5</v>
      </c>
      <c r="E80" s="26" t="n">
        <v>5</v>
      </c>
      <c r="F80" s="26" t="n">
        <v>6</v>
      </c>
      <c r="G80" s="26" t="n">
        <v>5</v>
      </c>
      <c r="H80" s="26" t="n">
        <v>5</v>
      </c>
      <c r="I80" s="26" t="n">
        <v>5</v>
      </c>
      <c r="J80" s="26" t="n">
        <v>0</v>
      </c>
      <c r="K80" s="27" t="n">
        <v>5</v>
      </c>
      <c r="L80" s="27" t="n">
        <v>1.3586</v>
      </c>
      <c r="M80" s="19" t="n">
        <f aca="false">K80-L80</f>
        <v>3.6414</v>
      </c>
      <c r="N80" s="26" t="n">
        <v>2</v>
      </c>
      <c r="O80" s="26" t="n">
        <v>3</v>
      </c>
      <c r="P80" s="28" t="n">
        <f aca="false">IF($C80=0,"",D80/$C80)</f>
        <v>0.5</v>
      </c>
      <c r="Q80" s="28" t="n">
        <f aca="false">IF($C80=0,"",E80/$C80)</f>
        <v>0.5</v>
      </c>
      <c r="R80" s="28" t="n">
        <f aca="false">IF($C80=0,"",F80/$C80)</f>
        <v>0.6</v>
      </c>
      <c r="S80" s="28" t="n">
        <f aca="false">IF($C80=0,"",G80/$C80)</f>
        <v>0.5</v>
      </c>
      <c r="T80" s="28" t="n">
        <f aca="false">IF($C80=0,"",H80/$C80)</f>
        <v>0.5</v>
      </c>
      <c r="U80" s="28" t="n">
        <f aca="false">IF($C80=0,"",I80/$C80)</f>
        <v>0.5</v>
      </c>
      <c r="V80" s="29" t="n">
        <f aca="false">IF($C80=0,"",K80/$C80)</f>
        <v>0.5</v>
      </c>
      <c r="W80" s="29" t="n">
        <f aca="false">IF($C80=0,"",M80/$C80)</f>
        <v>0.36414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975</v>
      </c>
      <c r="D81" s="30" t="n">
        <f aca="false">SUM(D71:D80)</f>
        <v>319</v>
      </c>
      <c r="E81" s="30" t="n">
        <f aca="false">SUM(E71:E80)</f>
        <v>319</v>
      </c>
      <c r="F81" s="30" t="n">
        <f aca="false">SUM(F71:F80)</f>
        <v>596</v>
      </c>
      <c r="G81" s="30" t="n">
        <f aca="false">SUM(G71:G80)</f>
        <v>479</v>
      </c>
      <c r="H81" s="30" t="n">
        <f aca="false">SUM(H71:H80)</f>
        <v>385</v>
      </c>
      <c r="I81" s="30" t="n">
        <f aca="false">SUM(I71:I80)</f>
        <v>319</v>
      </c>
      <c r="J81" s="30" t="n">
        <f aca="false">SUM(J71:J80)</f>
        <v>0</v>
      </c>
      <c r="K81" s="31" t="n">
        <f aca="false">SUM(K71:K80)</f>
        <v>-18</v>
      </c>
      <c r="L81" s="31" t="n">
        <f aca="false">SUM(L71:L80)</f>
        <v>77.7556</v>
      </c>
      <c r="M81" s="31" t="n">
        <f aca="false">K81-L81</f>
        <v>-95.7556</v>
      </c>
      <c r="N81" s="32" t="n">
        <v>7</v>
      </c>
      <c r="O81" s="32" t="n">
        <v>17</v>
      </c>
      <c r="P81" s="33" t="n">
        <f aca="false">IF($C81=0,"",D81/$C81)</f>
        <v>0.327179487179487</v>
      </c>
      <c r="Q81" s="33" t="n">
        <f aca="false">IF($C81=0,"",E81/$C81)</f>
        <v>0.327179487179487</v>
      </c>
      <c r="R81" s="33" t="n">
        <f aca="false">IF($C81=0,"",F81/$C81)</f>
        <v>0.611282051282051</v>
      </c>
      <c r="S81" s="33" t="n">
        <f aca="false">IF($C81=0,"",G81/$C81)</f>
        <v>0.491282051282051</v>
      </c>
      <c r="T81" s="33" t="n">
        <f aca="false">IF($C81=0,"",H81/$C81)</f>
        <v>0.394871794871795</v>
      </c>
      <c r="U81" s="33" t="n">
        <f aca="false">IF($C81=0,"",I81/$C81)</f>
        <v>0.327179487179487</v>
      </c>
      <c r="V81" s="34" t="n">
        <f aca="false">IF($C81=0,"",K81/$C81)</f>
        <v>-0.0184615384615385</v>
      </c>
      <c r="W81" s="34" t="n">
        <f aca="false">IF($C81=0,"",M81/$C81)</f>
        <v>-0.0982108717948718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7425</v>
      </c>
      <c r="D82" s="5" t="n">
        <f aca="false">D18+D31+D44+D57+D70+D81</f>
        <v>2341</v>
      </c>
      <c r="E82" s="5" t="n">
        <f aca="false">E18+E31+E44+E57+E70+E81</f>
        <v>2341</v>
      </c>
      <c r="F82" s="5" t="n">
        <f aca="false">F18+F31+F44+F57+F70+F81</f>
        <v>4327</v>
      </c>
      <c r="G82" s="5" t="n">
        <f aca="false">G18+G31+G44+G57+G70+G81</f>
        <v>3488</v>
      </c>
      <c r="H82" s="5" t="n">
        <f aca="false">H18+H31+H44+H57+H70+H81</f>
        <v>2816</v>
      </c>
      <c r="I82" s="5" t="n">
        <f aca="false">I18+I31+I44+I57+I70+I81</f>
        <v>2341</v>
      </c>
      <c r="J82" s="5" t="n">
        <f aca="false">J18+J31+J44+J57+J70+J81</f>
        <v>0</v>
      </c>
      <c r="K82" s="21" t="n">
        <f aca="false">K18+K31+K44+K57+K70+K81</f>
        <v>-402</v>
      </c>
      <c r="L82" s="21" t="n">
        <f aca="false">L18+L31+L44+L57+L70+L81</f>
        <v>3005.175</v>
      </c>
      <c r="M82" s="21" t="n">
        <f aca="false">K82-L82</f>
        <v>-3407.175</v>
      </c>
      <c r="N82" s="35" t="n">
        <v>7</v>
      </c>
      <c r="O82" s="35" t="n">
        <v>22</v>
      </c>
      <c r="P82" s="36" t="n">
        <f aca="false">IF($C82=0,"",D82/$C82)</f>
        <v>0.315286195286195</v>
      </c>
      <c r="Q82" s="36" t="n">
        <f aca="false">IF($C82=0,"",E82/$C82)</f>
        <v>0.315286195286195</v>
      </c>
      <c r="R82" s="36" t="n">
        <f aca="false">IF($C82=0,"",F82/$C82)</f>
        <v>0.582760942760943</v>
      </c>
      <c r="S82" s="36" t="n">
        <f aca="false">IF($C82=0,"",G82/$C82)</f>
        <v>0.46976430976431</v>
      </c>
      <c r="T82" s="36" t="n">
        <f aca="false">IF($C82=0,"",H82/$C82)</f>
        <v>0.379259259259259</v>
      </c>
      <c r="U82" s="36" t="n">
        <f aca="false">IF($C82=0,"",I82/$C82)</f>
        <v>0.315286195286195</v>
      </c>
      <c r="V82" s="37" t="n">
        <f aca="false">IF($C82=0,"",K82/$C82)</f>
        <v>-0.0541414141414141</v>
      </c>
      <c r="W82" s="37" t="n">
        <f aca="false">IF($C82=0,"",M82/$C82)</f>
        <v>-0.458878787878788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187</v>
      </c>
    </row>
    <row r="2" customFormat="false" ht="42" hidden="false" customHeight="true" outlineLevel="0" collapsed="false">
      <c r="A2" s="4" t="s">
        <v>188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32</v>
      </c>
      <c r="D6" s="26" t="n">
        <v>13</v>
      </c>
      <c r="E6" s="26" t="n">
        <v>13</v>
      </c>
      <c r="F6" s="26" t="n">
        <v>21</v>
      </c>
      <c r="G6" s="26" t="n">
        <v>16</v>
      </c>
      <c r="H6" s="26" t="n">
        <v>14</v>
      </c>
      <c r="I6" s="26" t="n">
        <v>13</v>
      </c>
      <c r="J6" s="26" t="n">
        <v>0</v>
      </c>
      <c r="K6" s="27" t="n">
        <v>7</v>
      </c>
      <c r="L6" s="27" t="n">
        <v>1.5919</v>
      </c>
      <c r="M6" s="19" t="n">
        <f aca="false">K6-L6</f>
        <v>5.4081</v>
      </c>
      <c r="N6" s="26" t="n">
        <v>3</v>
      </c>
      <c r="O6" s="26" t="n">
        <v>7</v>
      </c>
      <c r="P6" s="28" t="n">
        <f aca="false">IF($C6=0,"",D6/$C6)</f>
        <v>0.40625</v>
      </c>
      <c r="Q6" s="28" t="n">
        <f aca="false">IF($C6=0,"",E6/$C6)</f>
        <v>0.40625</v>
      </c>
      <c r="R6" s="28" t="n">
        <f aca="false">IF($C6=0,"",F6/$C6)</f>
        <v>0.65625</v>
      </c>
      <c r="S6" s="28" t="n">
        <f aca="false">IF($C6=0,"",G6/$C6)</f>
        <v>0.5</v>
      </c>
      <c r="T6" s="28" t="n">
        <f aca="false">IF($C6=0,"",H6/$C6)</f>
        <v>0.4375</v>
      </c>
      <c r="U6" s="28" t="n">
        <f aca="false">IF($C6=0,"",I6/$C6)</f>
        <v>0.40625</v>
      </c>
      <c r="V6" s="29" t="n">
        <f aca="false">IF($C6=0,"",K6/$C6)</f>
        <v>0.21875</v>
      </c>
      <c r="W6" s="29" t="n">
        <f aca="false">IF($C6=0,"",M6/$C6)</f>
        <v>0.169003125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26</v>
      </c>
      <c r="D7" s="26" t="n">
        <v>7</v>
      </c>
      <c r="E7" s="26" t="n">
        <v>7</v>
      </c>
      <c r="F7" s="26" t="n">
        <v>15</v>
      </c>
      <c r="G7" s="26" t="n">
        <v>13</v>
      </c>
      <c r="H7" s="26" t="n">
        <v>8</v>
      </c>
      <c r="I7" s="26" t="n">
        <v>7</v>
      </c>
      <c r="J7" s="26" t="n">
        <v>0</v>
      </c>
      <c r="K7" s="27" t="n">
        <v>-5</v>
      </c>
      <c r="L7" s="27" t="n">
        <v>1.2319</v>
      </c>
      <c r="M7" s="19" t="n">
        <f aca="false">K7-L7</f>
        <v>-6.2319</v>
      </c>
      <c r="N7" s="26" t="n">
        <v>2</v>
      </c>
      <c r="O7" s="26" t="n">
        <v>4</v>
      </c>
      <c r="P7" s="28" t="n">
        <f aca="false">IF($C7=0,"",D7/$C7)</f>
        <v>0.269230769230769</v>
      </c>
      <c r="Q7" s="28" t="n">
        <f aca="false">IF($C7=0,"",E7/$C7)</f>
        <v>0.269230769230769</v>
      </c>
      <c r="R7" s="28" t="n">
        <f aca="false">IF($C7=0,"",F7/$C7)</f>
        <v>0.576923076923077</v>
      </c>
      <c r="S7" s="28" t="n">
        <f aca="false">IF($C7=0,"",G7/$C7)</f>
        <v>0.5</v>
      </c>
      <c r="T7" s="28" t="n">
        <f aca="false">IF($C7=0,"",H7/$C7)</f>
        <v>0.307692307692308</v>
      </c>
      <c r="U7" s="28" t="n">
        <f aca="false">IF($C7=0,"",I7/$C7)</f>
        <v>0.269230769230769</v>
      </c>
      <c r="V7" s="29" t="n">
        <f aca="false">IF($C7=0,"",K7/$C7)</f>
        <v>-0.192307692307692</v>
      </c>
      <c r="W7" s="29" t="n">
        <f aca="false">IF($C7=0,"",M7/$C7)</f>
        <v>-0.239688461538462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28</v>
      </c>
      <c r="D8" s="26" t="n">
        <v>9</v>
      </c>
      <c r="E8" s="26" t="n">
        <v>9</v>
      </c>
      <c r="F8" s="26" t="n">
        <v>20</v>
      </c>
      <c r="G8" s="26" t="n">
        <v>16</v>
      </c>
      <c r="H8" s="26" t="n">
        <v>10</v>
      </c>
      <c r="I8" s="26" t="n">
        <v>9</v>
      </c>
      <c r="J8" s="26" t="n">
        <v>0</v>
      </c>
      <c r="K8" s="27" t="n">
        <v>-1</v>
      </c>
      <c r="L8" s="27" t="n">
        <v>1.5244</v>
      </c>
      <c r="M8" s="19" t="n">
        <f aca="false">K8-L8</f>
        <v>-2.5244</v>
      </c>
      <c r="N8" s="26" t="n">
        <v>2</v>
      </c>
      <c r="O8" s="26" t="n">
        <v>5</v>
      </c>
      <c r="P8" s="28" t="n">
        <f aca="false">IF($C8=0,"",D8/$C8)</f>
        <v>0.321428571428571</v>
      </c>
      <c r="Q8" s="28" t="n">
        <f aca="false">IF($C8=0,"",E8/$C8)</f>
        <v>0.321428571428571</v>
      </c>
      <c r="R8" s="28" t="n">
        <f aca="false">IF($C8=0,"",F8/$C8)</f>
        <v>0.714285714285714</v>
      </c>
      <c r="S8" s="28" t="n">
        <f aca="false">IF($C8=0,"",G8/$C8)</f>
        <v>0.571428571428571</v>
      </c>
      <c r="T8" s="28" t="n">
        <f aca="false">IF($C8=0,"",H8/$C8)</f>
        <v>0.357142857142857</v>
      </c>
      <c r="U8" s="28" t="n">
        <f aca="false">IF($C8=0,"",I8/$C8)</f>
        <v>0.321428571428571</v>
      </c>
      <c r="V8" s="29" t="n">
        <f aca="false">IF($C8=0,"",K8/$C8)</f>
        <v>-0.0357142857142857</v>
      </c>
      <c r="W8" s="29" t="n">
        <f aca="false">IF($C8=0,"",M8/$C8)</f>
        <v>-0.0901571428571429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22</v>
      </c>
      <c r="D9" s="26" t="n">
        <v>7</v>
      </c>
      <c r="E9" s="26" t="n">
        <v>7</v>
      </c>
      <c r="F9" s="26" t="n">
        <v>14</v>
      </c>
      <c r="G9" s="26" t="n">
        <v>10</v>
      </c>
      <c r="H9" s="26" t="n">
        <v>8</v>
      </c>
      <c r="I9" s="26" t="n">
        <v>7</v>
      </c>
      <c r="J9" s="26" t="n">
        <v>0</v>
      </c>
      <c r="K9" s="27" t="n">
        <v>-1</v>
      </c>
      <c r="L9" s="27" t="n">
        <v>1.4874</v>
      </c>
      <c r="M9" s="19" t="n">
        <f aca="false">K9-L9</f>
        <v>-2.4874</v>
      </c>
      <c r="N9" s="26" t="n">
        <v>2</v>
      </c>
      <c r="O9" s="26" t="n">
        <v>5</v>
      </c>
      <c r="P9" s="28" t="n">
        <f aca="false">IF($C9=0,"",D9/$C9)</f>
        <v>0.318181818181818</v>
      </c>
      <c r="Q9" s="28" t="n">
        <f aca="false">IF($C9=0,"",E9/$C9)</f>
        <v>0.318181818181818</v>
      </c>
      <c r="R9" s="28" t="n">
        <f aca="false">IF($C9=0,"",F9/$C9)</f>
        <v>0.636363636363636</v>
      </c>
      <c r="S9" s="28" t="n">
        <f aca="false">IF($C9=0,"",G9/$C9)</f>
        <v>0.454545454545455</v>
      </c>
      <c r="T9" s="28" t="n">
        <f aca="false">IF($C9=0,"",H9/$C9)</f>
        <v>0.363636363636364</v>
      </c>
      <c r="U9" s="28" t="n">
        <f aca="false">IF($C9=0,"",I9/$C9)</f>
        <v>0.318181818181818</v>
      </c>
      <c r="V9" s="29" t="n">
        <f aca="false">IF($C9=0,"",K9/$C9)</f>
        <v>-0.0454545454545455</v>
      </c>
      <c r="W9" s="29" t="n">
        <f aca="false">IF($C9=0,"",M9/$C9)</f>
        <v>-0.113063636363636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25</v>
      </c>
      <c r="D10" s="26" t="n">
        <v>10</v>
      </c>
      <c r="E10" s="26" t="n">
        <v>10</v>
      </c>
      <c r="F10" s="26" t="n">
        <v>17</v>
      </c>
      <c r="G10" s="26" t="n">
        <v>13</v>
      </c>
      <c r="H10" s="26" t="n">
        <v>13</v>
      </c>
      <c r="I10" s="26" t="n">
        <v>10</v>
      </c>
      <c r="J10" s="26" t="n">
        <v>0</v>
      </c>
      <c r="K10" s="27" t="n">
        <v>5</v>
      </c>
      <c r="L10" s="27" t="n">
        <v>1.7919</v>
      </c>
      <c r="M10" s="19" t="n">
        <f aca="false">K10-L10</f>
        <v>3.2081</v>
      </c>
      <c r="N10" s="26" t="n">
        <v>3</v>
      </c>
      <c r="O10" s="26" t="n">
        <v>4</v>
      </c>
      <c r="P10" s="28" t="n">
        <f aca="false">IF($C10=0,"",D10/$C10)</f>
        <v>0.4</v>
      </c>
      <c r="Q10" s="28" t="n">
        <f aca="false">IF($C10=0,"",E10/$C10)</f>
        <v>0.4</v>
      </c>
      <c r="R10" s="28" t="n">
        <f aca="false">IF($C10=0,"",F10/$C10)</f>
        <v>0.68</v>
      </c>
      <c r="S10" s="28" t="n">
        <f aca="false">IF($C10=0,"",G10/$C10)</f>
        <v>0.52</v>
      </c>
      <c r="T10" s="28" t="n">
        <f aca="false">IF($C10=0,"",H10/$C10)</f>
        <v>0.52</v>
      </c>
      <c r="U10" s="28" t="n">
        <f aca="false">IF($C10=0,"",I10/$C10)</f>
        <v>0.4</v>
      </c>
      <c r="V10" s="29" t="n">
        <f aca="false">IF($C10=0,"",K10/$C10)</f>
        <v>0.2</v>
      </c>
      <c r="W10" s="29" t="n">
        <f aca="false">IF($C10=0,"",M10/$C10)</f>
        <v>0.128324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24</v>
      </c>
      <c r="D11" s="26" t="n">
        <v>8</v>
      </c>
      <c r="E11" s="26" t="n">
        <v>8</v>
      </c>
      <c r="F11" s="26" t="n">
        <v>12</v>
      </c>
      <c r="G11" s="26" t="n">
        <v>11</v>
      </c>
      <c r="H11" s="26" t="n">
        <v>9</v>
      </c>
      <c r="I11" s="26" t="n">
        <v>8</v>
      </c>
      <c r="J11" s="26" t="n">
        <v>0</v>
      </c>
      <c r="K11" s="27" t="n">
        <v>0</v>
      </c>
      <c r="L11" s="27" t="n">
        <v>1.938</v>
      </c>
      <c r="M11" s="19" t="n">
        <f aca="false">K11-L11</f>
        <v>-1.938</v>
      </c>
      <c r="N11" s="26" t="n">
        <v>3</v>
      </c>
      <c r="O11" s="26" t="n">
        <v>5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0.5</v>
      </c>
      <c r="S11" s="28" t="n">
        <f aca="false">IF($C11=0,"",G11/$C11)</f>
        <v>0.458333333333333</v>
      </c>
      <c r="T11" s="28" t="n">
        <f aca="false">IF($C11=0,"",H11/$C11)</f>
        <v>0.375</v>
      </c>
      <c r="U11" s="28" t="n">
        <f aca="false">IF($C11=0,"",I11/$C11)</f>
        <v>0.333333333333333</v>
      </c>
      <c r="V11" s="29" t="n">
        <f aca="false">IF($C11=0,"",K11/$C11)</f>
        <v>0</v>
      </c>
      <c r="W11" s="29" t="n">
        <f aca="false">IF($C11=0,"",M11/$C11)</f>
        <v>-0.08075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25</v>
      </c>
      <c r="D12" s="26" t="n">
        <v>6</v>
      </c>
      <c r="E12" s="26" t="n">
        <v>6</v>
      </c>
      <c r="F12" s="26" t="n">
        <v>19</v>
      </c>
      <c r="G12" s="26" t="n">
        <v>12</v>
      </c>
      <c r="H12" s="26" t="n">
        <v>8</v>
      </c>
      <c r="I12" s="26" t="n">
        <v>6</v>
      </c>
      <c r="J12" s="26" t="n">
        <v>0</v>
      </c>
      <c r="K12" s="27" t="n">
        <v>-7</v>
      </c>
      <c r="L12" s="27" t="n">
        <v>2.1904</v>
      </c>
      <c r="M12" s="19" t="n">
        <f aca="false">K12-L12</f>
        <v>-9.1904</v>
      </c>
      <c r="N12" s="26" t="n">
        <v>2</v>
      </c>
      <c r="O12" s="26" t="n">
        <v>6</v>
      </c>
      <c r="P12" s="28" t="n">
        <f aca="false">IF($C12=0,"",D12/$C12)</f>
        <v>0.24</v>
      </c>
      <c r="Q12" s="28" t="n">
        <f aca="false">IF($C12=0,"",E12/$C12)</f>
        <v>0.24</v>
      </c>
      <c r="R12" s="28" t="n">
        <f aca="false">IF($C12=0,"",F12/$C12)</f>
        <v>0.76</v>
      </c>
      <c r="S12" s="28" t="n">
        <f aca="false">IF($C12=0,"",G12/$C12)</f>
        <v>0.48</v>
      </c>
      <c r="T12" s="28" t="n">
        <f aca="false">IF($C12=0,"",H12/$C12)</f>
        <v>0.32</v>
      </c>
      <c r="U12" s="28" t="n">
        <f aca="false">IF($C12=0,"",I12/$C12)</f>
        <v>0.24</v>
      </c>
      <c r="V12" s="29" t="n">
        <f aca="false">IF($C12=0,"",K12/$C12)</f>
        <v>-0.28</v>
      </c>
      <c r="W12" s="29" t="n">
        <f aca="false">IF($C12=0,"",M12/$C12)</f>
        <v>-0.367616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26</v>
      </c>
      <c r="D13" s="26" t="n">
        <v>11</v>
      </c>
      <c r="E13" s="26" t="n">
        <v>11</v>
      </c>
      <c r="F13" s="26" t="n">
        <v>15</v>
      </c>
      <c r="G13" s="26" t="n">
        <v>13</v>
      </c>
      <c r="H13" s="26" t="n">
        <v>12</v>
      </c>
      <c r="I13" s="26" t="n">
        <v>11</v>
      </c>
      <c r="J13" s="26" t="n">
        <v>0</v>
      </c>
      <c r="K13" s="27" t="n">
        <v>7</v>
      </c>
      <c r="L13" s="27" t="n">
        <v>1.6238</v>
      </c>
      <c r="M13" s="19" t="n">
        <f aca="false">K13-L13</f>
        <v>5.3762</v>
      </c>
      <c r="N13" s="26" t="n">
        <v>2</v>
      </c>
      <c r="O13" s="26" t="n">
        <v>6</v>
      </c>
      <c r="P13" s="28" t="n">
        <f aca="false">IF($C13=0,"",D13/$C13)</f>
        <v>0.423076923076923</v>
      </c>
      <c r="Q13" s="28" t="n">
        <f aca="false">IF($C13=0,"",E13/$C13)</f>
        <v>0.423076923076923</v>
      </c>
      <c r="R13" s="28" t="n">
        <f aca="false">IF($C13=0,"",F13/$C13)</f>
        <v>0.576923076923077</v>
      </c>
      <c r="S13" s="28" t="n">
        <f aca="false">IF($C13=0,"",G13/$C13)</f>
        <v>0.5</v>
      </c>
      <c r="T13" s="28" t="n">
        <f aca="false">IF($C13=0,"",H13/$C13)</f>
        <v>0.461538461538462</v>
      </c>
      <c r="U13" s="28" t="n">
        <f aca="false">IF($C13=0,"",I13/$C13)</f>
        <v>0.423076923076923</v>
      </c>
      <c r="V13" s="29" t="n">
        <f aca="false">IF($C13=0,"",K13/$C13)</f>
        <v>0.269230769230769</v>
      </c>
      <c r="W13" s="29" t="n">
        <f aca="false">IF($C13=0,"",M13/$C13)</f>
        <v>0.206776923076923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28</v>
      </c>
      <c r="D14" s="26" t="n">
        <v>11</v>
      </c>
      <c r="E14" s="26" t="n">
        <v>11</v>
      </c>
      <c r="F14" s="26" t="n">
        <v>19</v>
      </c>
      <c r="G14" s="26" t="n">
        <v>16</v>
      </c>
      <c r="H14" s="26" t="n">
        <v>13</v>
      </c>
      <c r="I14" s="26" t="n">
        <v>11</v>
      </c>
      <c r="J14" s="26" t="n">
        <v>0</v>
      </c>
      <c r="K14" s="27" t="n">
        <v>5</v>
      </c>
      <c r="L14" s="27" t="n">
        <v>1.7407</v>
      </c>
      <c r="M14" s="19" t="n">
        <f aca="false">K14-L14</f>
        <v>3.2593</v>
      </c>
      <c r="N14" s="26" t="n">
        <v>2</v>
      </c>
      <c r="O14" s="26" t="n">
        <v>3</v>
      </c>
      <c r="P14" s="28" t="n">
        <f aca="false">IF($C14=0,"",D14/$C14)</f>
        <v>0.392857142857143</v>
      </c>
      <c r="Q14" s="28" t="n">
        <f aca="false">IF($C14=0,"",E14/$C14)</f>
        <v>0.392857142857143</v>
      </c>
      <c r="R14" s="28" t="n">
        <f aca="false">IF($C14=0,"",F14/$C14)</f>
        <v>0.678571428571429</v>
      </c>
      <c r="S14" s="28" t="n">
        <f aca="false">IF($C14=0,"",G14/$C14)</f>
        <v>0.571428571428571</v>
      </c>
      <c r="T14" s="28" t="n">
        <f aca="false">IF($C14=0,"",H14/$C14)</f>
        <v>0.464285714285714</v>
      </c>
      <c r="U14" s="28" t="n">
        <f aca="false">IF($C14=0,"",I14/$C14)</f>
        <v>0.392857142857143</v>
      </c>
      <c r="V14" s="29" t="n">
        <f aca="false">IF($C14=0,"",K14/$C14)</f>
        <v>0.178571428571429</v>
      </c>
      <c r="W14" s="29" t="n">
        <f aca="false">IF($C14=0,"",M14/$C14)</f>
        <v>0.116403571428571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25</v>
      </c>
      <c r="D15" s="26" t="n">
        <v>5</v>
      </c>
      <c r="E15" s="26" t="n">
        <v>5</v>
      </c>
      <c r="F15" s="26" t="n">
        <v>12</v>
      </c>
      <c r="G15" s="26" t="n">
        <v>11</v>
      </c>
      <c r="H15" s="26" t="n">
        <v>8</v>
      </c>
      <c r="I15" s="26" t="n">
        <v>5</v>
      </c>
      <c r="J15" s="26" t="n">
        <v>0</v>
      </c>
      <c r="K15" s="27" t="n">
        <v>-10</v>
      </c>
      <c r="L15" s="27" t="n">
        <v>1.3873</v>
      </c>
      <c r="M15" s="19" t="n">
        <f aca="false">K15-L15</f>
        <v>-11.3873</v>
      </c>
      <c r="N15" s="26" t="n">
        <v>2</v>
      </c>
      <c r="O15" s="26" t="n">
        <v>9</v>
      </c>
      <c r="P15" s="28" t="n">
        <f aca="false">IF($C15=0,"",D15/$C15)</f>
        <v>0.2</v>
      </c>
      <c r="Q15" s="28" t="n">
        <f aca="false">IF($C15=0,"",E15/$C15)</f>
        <v>0.2</v>
      </c>
      <c r="R15" s="28" t="n">
        <f aca="false">IF($C15=0,"",F15/$C15)</f>
        <v>0.48</v>
      </c>
      <c r="S15" s="28" t="n">
        <f aca="false">IF($C15=0,"",G15/$C15)</f>
        <v>0.44</v>
      </c>
      <c r="T15" s="28" t="n">
        <f aca="false">IF($C15=0,"",H15/$C15)</f>
        <v>0.32</v>
      </c>
      <c r="U15" s="28" t="n">
        <f aca="false">IF($C15=0,"",I15/$C15)</f>
        <v>0.2</v>
      </c>
      <c r="V15" s="29" t="n">
        <f aca="false">IF($C15=0,"",K15/$C15)</f>
        <v>-0.4</v>
      </c>
      <c r="W15" s="29" t="n">
        <f aca="false">IF($C15=0,"",M15/$C15)</f>
        <v>-0.455492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26</v>
      </c>
      <c r="D16" s="26" t="n">
        <v>11</v>
      </c>
      <c r="E16" s="26" t="n">
        <v>11</v>
      </c>
      <c r="F16" s="26" t="n">
        <v>18</v>
      </c>
      <c r="G16" s="26" t="n">
        <v>12</v>
      </c>
      <c r="H16" s="26" t="n">
        <v>12</v>
      </c>
      <c r="I16" s="26" t="n">
        <v>11</v>
      </c>
      <c r="J16" s="26" t="n">
        <v>0</v>
      </c>
      <c r="K16" s="27" t="n">
        <v>7</v>
      </c>
      <c r="L16" s="27" t="n">
        <v>1.9727</v>
      </c>
      <c r="M16" s="19" t="n">
        <f aca="false">K16-L16</f>
        <v>5.0273</v>
      </c>
      <c r="N16" s="26" t="n">
        <v>3</v>
      </c>
      <c r="O16" s="26" t="n">
        <v>6</v>
      </c>
      <c r="P16" s="28" t="n">
        <f aca="false">IF($C16=0,"",D16/$C16)</f>
        <v>0.423076923076923</v>
      </c>
      <c r="Q16" s="28" t="n">
        <f aca="false">IF($C16=0,"",E16/$C16)</f>
        <v>0.423076923076923</v>
      </c>
      <c r="R16" s="28" t="n">
        <f aca="false">IF($C16=0,"",F16/$C16)</f>
        <v>0.692307692307692</v>
      </c>
      <c r="S16" s="28" t="n">
        <f aca="false">IF($C16=0,"",G16/$C16)</f>
        <v>0.461538461538462</v>
      </c>
      <c r="T16" s="28" t="n">
        <f aca="false">IF($C16=0,"",H16/$C16)</f>
        <v>0.461538461538462</v>
      </c>
      <c r="U16" s="28" t="n">
        <f aca="false">IF($C16=0,"",I16/$C16)</f>
        <v>0.423076923076923</v>
      </c>
      <c r="V16" s="29" t="n">
        <f aca="false">IF($C16=0,"",K16/$C16)</f>
        <v>0.269230769230769</v>
      </c>
      <c r="W16" s="29" t="n">
        <f aca="false">IF($C16=0,"",M16/$C16)</f>
        <v>0.193357692307692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30</v>
      </c>
      <c r="D17" s="26" t="n">
        <v>14</v>
      </c>
      <c r="E17" s="26" t="n">
        <v>14</v>
      </c>
      <c r="F17" s="26" t="n">
        <v>17</v>
      </c>
      <c r="G17" s="26" t="n">
        <v>17</v>
      </c>
      <c r="H17" s="26" t="n">
        <v>16</v>
      </c>
      <c r="I17" s="26" t="n">
        <v>14</v>
      </c>
      <c r="J17" s="26" t="n">
        <v>0</v>
      </c>
      <c r="K17" s="27" t="n">
        <v>12</v>
      </c>
      <c r="L17" s="27" t="n">
        <v>2.7827</v>
      </c>
      <c r="M17" s="19" t="n">
        <f aca="false">K17-L17</f>
        <v>9.2173</v>
      </c>
      <c r="N17" s="26" t="n">
        <v>3</v>
      </c>
      <c r="O17" s="26" t="n">
        <v>4</v>
      </c>
      <c r="P17" s="28" t="n">
        <f aca="false">IF($C17=0,"",D17/$C17)</f>
        <v>0.466666666666667</v>
      </c>
      <c r="Q17" s="28" t="n">
        <f aca="false">IF($C17=0,"",E17/$C17)</f>
        <v>0.466666666666667</v>
      </c>
      <c r="R17" s="28" t="n">
        <f aca="false">IF($C17=0,"",F17/$C17)</f>
        <v>0.566666666666667</v>
      </c>
      <c r="S17" s="28" t="n">
        <f aca="false">IF($C17=0,"",G17/$C17)</f>
        <v>0.566666666666667</v>
      </c>
      <c r="T17" s="28" t="n">
        <f aca="false">IF($C17=0,"",H17/$C17)</f>
        <v>0.533333333333333</v>
      </c>
      <c r="U17" s="28" t="n">
        <f aca="false">IF($C17=0,"",I17/$C17)</f>
        <v>0.466666666666667</v>
      </c>
      <c r="V17" s="29" t="n">
        <f aca="false">IF($C17=0,"",K17/$C17)</f>
        <v>0.4</v>
      </c>
      <c r="W17" s="29" t="n">
        <f aca="false">IF($C17=0,"",M17/$C17)</f>
        <v>0.307243333333333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317</v>
      </c>
      <c r="D18" s="30" t="n">
        <f aca="false">SUM(D6:D17)</f>
        <v>112</v>
      </c>
      <c r="E18" s="30" t="n">
        <f aca="false">SUM(E6:E17)</f>
        <v>112</v>
      </c>
      <c r="F18" s="30" t="n">
        <f aca="false">SUM(F6:F17)</f>
        <v>199</v>
      </c>
      <c r="G18" s="30" t="n">
        <f aca="false">SUM(G6:G17)</f>
        <v>160</v>
      </c>
      <c r="H18" s="30" t="n">
        <f aca="false">SUM(H6:H17)</f>
        <v>131</v>
      </c>
      <c r="I18" s="30" t="n">
        <f aca="false">SUM(I6:I17)</f>
        <v>112</v>
      </c>
      <c r="J18" s="30" t="n">
        <f aca="false">SUM(J6:J17)</f>
        <v>0</v>
      </c>
      <c r="K18" s="31" t="n">
        <f aca="false">SUM(K6:K17)</f>
        <v>19</v>
      </c>
      <c r="L18" s="31" t="n">
        <f aca="false">SUM(L6:L17)</f>
        <v>21.2631</v>
      </c>
      <c r="M18" s="31" t="n">
        <f aca="false">K18-L18</f>
        <v>-2.2631</v>
      </c>
      <c r="N18" s="32" t="n">
        <v>3</v>
      </c>
      <c r="O18" s="32" t="n">
        <v>10</v>
      </c>
      <c r="P18" s="33" t="n">
        <f aca="false">IF($C18=0,"",D18/$C18)</f>
        <v>0.353312302839117</v>
      </c>
      <c r="Q18" s="33" t="n">
        <f aca="false">IF($C18=0,"",E18/$C18)</f>
        <v>0.353312302839117</v>
      </c>
      <c r="R18" s="33" t="n">
        <f aca="false">IF($C18=0,"",F18/$C18)</f>
        <v>0.627760252365931</v>
      </c>
      <c r="S18" s="33" t="n">
        <f aca="false">IF($C18=0,"",G18/$C18)</f>
        <v>0.504731861198738</v>
      </c>
      <c r="T18" s="33" t="n">
        <f aca="false">IF($C18=0,"",H18/$C18)</f>
        <v>0.413249211356467</v>
      </c>
      <c r="U18" s="33" t="n">
        <f aca="false">IF($C18=0,"",I18/$C18)</f>
        <v>0.353312302839117</v>
      </c>
      <c r="V18" s="34" t="n">
        <f aca="false">IF($C18=0,"",K18/$C18)</f>
        <v>0.0599369085173502</v>
      </c>
      <c r="W18" s="34" t="n">
        <f aca="false">IF($C18=0,"",M18/$C18)</f>
        <v>-0.00713911671924291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31</v>
      </c>
      <c r="D19" s="26" t="n">
        <v>8</v>
      </c>
      <c r="E19" s="26" t="n">
        <v>8</v>
      </c>
      <c r="F19" s="26" t="n">
        <v>17</v>
      </c>
      <c r="G19" s="26" t="n">
        <v>12</v>
      </c>
      <c r="H19" s="26" t="n">
        <v>11</v>
      </c>
      <c r="I19" s="26" t="n">
        <v>8</v>
      </c>
      <c r="J19" s="26" t="n">
        <v>0</v>
      </c>
      <c r="K19" s="27" t="n">
        <v>-7</v>
      </c>
      <c r="L19" s="27" t="n">
        <v>2.221</v>
      </c>
      <c r="M19" s="19" t="n">
        <f aca="false">K19-L19</f>
        <v>-9.221</v>
      </c>
      <c r="N19" s="26" t="n">
        <v>2</v>
      </c>
      <c r="O19" s="26" t="n">
        <v>6</v>
      </c>
      <c r="P19" s="28" t="n">
        <f aca="false">IF($C19=0,"",D19/$C19)</f>
        <v>0.258064516129032</v>
      </c>
      <c r="Q19" s="28" t="n">
        <f aca="false">IF($C19=0,"",E19/$C19)</f>
        <v>0.258064516129032</v>
      </c>
      <c r="R19" s="28" t="n">
        <f aca="false">IF($C19=0,"",F19/$C19)</f>
        <v>0.548387096774194</v>
      </c>
      <c r="S19" s="28" t="n">
        <f aca="false">IF($C19=0,"",G19/$C19)</f>
        <v>0.387096774193548</v>
      </c>
      <c r="T19" s="28" t="n">
        <f aca="false">IF($C19=0,"",H19/$C19)</f>
        <v>0.354838709677419</v>
      </c>
      <c r="U19" s="28" t="n">
        <f aca="false">IF($C19=0,"",I19/$C19)</f>
        <v>0.258064516129032</v>
      </c>
      <c r="V19" s="29" t="n">
        <f aca="false">IF($C19=0,"",K19/$C19)</f>
        <v>-0.225806451612903</v>
      </c>
      <c r="W19" s="29" t="n">
        <f aca="false">IF($C19=0,"",M19/$C19)</f>
        <v>-0.297451612903226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29</v>
      </c>
      <c r="D20" s="26" t="n">
        <v>13</v>
      </c>
      <c r="E20" s="26" t="n">
        <v>13</v>
      </c>
      <c r="F20" s="26" t="n">
        <v>17</v>
      </c>
      <c r="G20" s="26" t="n">
        <v>15</v>
      </c>
      <c r="H20" s="26" t="n">
        <v>13</v>
      </c>
      <c r="I20" s="26" t="n">
        <v>13</v>
      </c>
      <c r="J20" s="26" t="n">
        <v>0</v>
      </c>
      <c r="K20" s="27" t="n">
        <v>10</v>
      </c>
      <c r="L20" s="27" t="n">
        <v>1.5939</v>
      </c>
      <c r="M20" s="19" t="n">
        <f aca="false">K20-L20</f>
        <v>8.4061</v>
      </c>
      <c r="N20" s="26" t="n">
        <v>4</v>
      </c>
      <c r="O20" s="26" t="n">
        <v>4</v>
      </c>
      <c r="P20" s="28" t="n">
        <f aca="false">IF($C20=0,"",D20/$C20)</f>
        <v>0.448275862068966</v>
      </c>
      <c r="Q20" s="28" t="n">
        <f aca="false">IF($C20=0,"",E20/$C20)</f>
        <v>0.448275862068966</v>
      </c>
      <c r="R20" s="28" t="n">
        <f aca="false">IF($C20=0,"",F20/$C20)</f>
        <v>0.586206896551724</v>
      </c>
      <c r="S20" s="28" t="n">
        <f aca="false">IF($C20=0,"",G20/$C20)</f>
        <v>0.517241379310345</v>
      </c>
      <c r="T20" s="28" t="n">
        <f aca="false">IF($C20=0,"",H20/$C20)</f>
        <v>0.448275862068966</v>
      </c>
      <c r="U20" s="28" t="n">
        <f aca="false">IF($C20=0,"",I20/$C20)</f>
        <v>0.448275862068966</v>
      </c>
      <c r="V20" s="29" t="n">
        <f aca="false">IF($C20=0,"",K20/$C20)</f>
        <v>0.344827586206897</v>
      </c>
      <c r="W20" s="29" t="n">
        <f aca="false">IF($C20=0,"",M20/$C20)</f>
        <v>0.289865517241379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33</v>
      </c>
      <c r="D21" s="26" t="n">
        <v>12</v>
      </c>
      <c r="E21" s="26" t="n">
        <v>12</v>
      </c>
      <c r="F21" s="26" t="n">
        <v>20</v>
      </c>
      <c r="G21" s="26" t="n">
        <v>18</v>
      </c>
      <c r="H21" s="26" t="n">
        <v>15</v>
      </c>
      <c r="I21" s="26" t="n">
        <v>12</v>
      </c>
      <c r="J21" s="26" t="n">
        <v>0</v>
      </c>
      <c r="K21" s="27" t="n">
        <v>3</v>
      </c>
      <c r="L21" s="27" t="n">
        <v>1.2746</v>
      </c>
      <c r="M21" s="19" t="n">
        <f aca="false">K21-L21</f>
        <v>1.7254</v>
      </c>
      <c r="N21" s="26" t="n">
        <v>3</v>
      </c>
      <c r="O21" s="26" t="n">
        <v>6</v>
      </c>
      <c r="P21" s="28" t="n">
        <f aca="false">IF($C21=0,"",D21/$C21)</f>
        <v>0.363636363636364</v>
      </c>
      <c r="Q21" s="28" t="n">
        <f aca="false">IF($C21=0,"",E21/$C21)</f>
        <v>0.363636363636364</v>
      </c>
      <c r="R21" s="28" t="n">
        <f aca="false">IF($C21=0,"",F21/$C21)</f>
        <v>0.606060606060606</v>
      </c>
      <c r="S21" s="28" t="n">
        <f aca="false">IF($C21=0,"",G21/$C21)</f>
        <v>0.545454545454545</v>
      </c>
      <c r="T21" s="28" t="n">
        <f aca="false">IF($C21=0,"",H21/$C21)</f>
        <v>0.454545454545455</v>
      </c>
      <c r="U21" s="28" t="n">
        <f aca="false">IF($C21=0,"",I21/$C21)</f>
        <v>0.363636363636364</v>
      </c>
      <c r="V21" s="29" t="n">
        <f aca="false">IF($C21=0,"",K21/$C21)</f>
        <v>0.0909090909090909</v>
      </c>
      <c r="W21" s="29" t="n">
        <f aca="false">IF($C21=0,"",M21/$C21)</f>
        <v>0.0522848484848485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28</v>
      </c>
      <c r="D22" s="26" t="n">
        <v>8</v>
      </c>
      <c r="E22" s="26" t="n">
        <v>8</v>
      </c>
      <c r="F22" s="26" t="n">
        <v>18</v>
      </c>
      <c r="G22" s="26" t="n">
        <v>17</v>
      </c>
      <c r="H22" s="26" t="n">
        <v>11</v>
      </c>
      <c r="I22" s="26" t="n">
        <v>8</v>
      </c>
      <c r="J22" s="26" t="n">
        <v>0</v>
      </c>
      <c r="K22" s="27" t="n">
        <v>-4</v>
      </c>
      <c r="L22" s="27" t="n">
        <v>1.4037</v>
      </c>
      <c r="M22" s="19" t="n">
        <f aca="false">K22-L22</f>
        <v>-5.4037</v>
      </c>
      <c r="N22" s="26" t="n">
        <v>1</v>
      </c>
      <c r="O22" s="26" t="n">
        <v>6</v>
      </c>
      <c r="P22" s="28" t="n">
        <f aca="false">IF($C22=0,"",D22/$C22)</f>
        <v>0.285714285714286</v>
      </c>
      <c r="Q22" s="28" t="n">
        <f aca="false">IF($C22=0,"",E22/$C22)</f>
        <v>0.285714285714286</v>
      </c>
      <c r="R22" s="28" t="n">
        <f aca="false">IF($C22=0,"",F22/$C22)</f>
        <v>0.642857142857143</v>
      </c>
      <c r="S22" s="28" t="n">
        <f aca="false">IF($C22=0,"",G22/$C22)</f>
        <v>0.607142857142857</v>
      </c>
      <c r="T22" s="28" t="n">
        <f aca="false">IF($C22=0,"",H22/$C22)</f>
        <v>0.392857142857143</v>
      </c>
      <c r="U22" s="28" t="n">
        <f aca="false">IF($C22=0,"",I22/$C22)</f>
        <v>0.285714285714286</v>
      </c>
      <c r="V22" s="29" t="n">
        <f aca="false">IF($C22=0,"",K22/$C22)</f>
        <v>-0.142857142857143</v>
      </c>
      <c r="W22" s="29" t="n">
        <f aca="false">IF($C22=0,"",M22/$C22)</f>
        <v>-0.192989285714286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25</v>
      </c>
      <c r="D23" s="26" t="n">
        <v>5</v>
      </c>
      <c r="E23" s="26" t="n">
        <v>5</v>
      </c>
      <c r="F23" s="26" t="n">
        <v>13</v>
      </c>
      <c r="G23" s="26" t="n">
        <v>9</v>
      </c>
      <c r="H23" s="26" t="n">
        <v>7</v>
      </c>
      <c r="I23" s="26" t="n">
        <v>5</v>
      </c>
      <c r="J23" s="26" t="n">
        <v>0</v>
      </c>
      <c r="K23" s="27" t="n">
        <v>-10</v>
      </c>
      <c r="L23" s="27" t="n">
        <v>1.5828</v>
      </c>
      <c r="M23" s="19" t="n">
        <f aca="false">K23-L23</f>
        <v>-11.5828</v>
      </c>
      <c r="N23" s="26" t="n">
        <v>2</v>
      </c>
      <c r="O23" s="26" t="n">
        <v>12</v>
      </c>
      <c r="P23" s="28" t="n">
        <f aca="false">IF($C23=0,"",D23/$C23)</f>
        <v>0.2</v>
      </c>
      <c r="Q23" s="28" t="n">
        <f aca="false">IF($C23=0,"",E23/$C23)</f>
        <v>0.2</v>
      </c>
      <c r="R23" s="28" t="n">
        <f aca="false">IF($C23=0,"",F23/$C23)</f>
        <v>0.52</v>
      </c>
      <c r="S23" s="28" t="n">
        <f aca="false">IF($C23=0,"",G23/$C23)</f>
        <v>0.36</v>
      </c>
      <c r="T23" s="28" t="n">
        <f aca="false">IF($C23=0,"",H23/$C23)</f>
        <v>0.28</v>
      </c>
      <c r="U23" s="28" t="n">
        <f aca="false">IF($C23=0,"",I23/$C23)</f>
        <v>0.2</v>
      </c>
      <c r="V23" s="29" t="n">
        <f aca="false">IF($C23=0,"",K23/$C23)</f>
        <v>-0.4</v>
      </c>
      <c r="W23" s="29" t="n">
        <f aca="false">IF($C23=0,"",M23/$C23)</f>
        <v>-0.463312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23</v>
      </c>
      <c r="D24" s="26" t="n">
        <v>11</v>
      </c>
      <c r="E24" s="26" t="n">
        <v>11</v>
      </c>
      <c r="F24" s="26" t="n">
        <v>18</v>
      </c>
      <c r="G24" s="26" t="n">
        <v>17</v>
      </c>
      <c r="H24" s="26" t="n">
        <v>14</v>
      </c>
      <c r="I24" s="26" t="n">
        <v>11</v>
      </c>
      <c r="J24" s="26" t="n">
        <v>0</v>
      </c>
      <c r="K24" s="27" t="n">
        <v>10</v>
      </c>
      <c r="L24" s="27" t="n">
        <v>1.5394</v>
      </c>
      <c r="M24" s="19" t="n">
        <f aca="false">K24-L24</f>
        <v>8.4606</v>
      </c>
      <c r="N24" s="26" t="n">
        <v>3</v>
      </c>
      <c r="O24" s="26" t="n">
        <v>3</v>
      </c>
      <c r="P24" s="28" t="n">
        <f aca="false">IF($C24=0,"",D24/$C24)</f>
        <v>0.478260869565217</v>
      </c>
      <c r="Q24" s="28" t="n">
        <f aca="false">IF($C24=0,"",E24/$C24)</f>
        <v>0.478260869565217</v>
      </c>
      <c r="R24" s="28" t="n">
        <f aca="false">IF($C24=0,"",F24/$C24)</f>
        <v>0.782608695652174</v>
      </c>
      <c r="S24" s="28" t="n">
        <f aca="false">IF($C24=0,"",G24/$C24)</f>
        <v>0.739130434782609</v>
      </c>
      <c r="T24" s="28" t="n">
        <f aca="false">IF($C24=0,"",H24/$C24)</f>
        <v>0.608695652173913</v>
      </c>
      <c r="U24" s="28" t="n">
        <f aca="false">IF($C24=0,"",I24/$C24)</f>
        <v>0.478260869565217</v>
      </c>
      <c r="V24" s="29" t="n">
        <f aca="false">IF($C24=0,"",K24/$C24)</f>
        <v>0.434782608695652</v>
      </c>
      <c r="W24" s="29" t="n">
        <f aca="false">IF($C24=0,"",M24/$C24)</f>
        <v>0.367852173913044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29</v>
      </c>
      <c r="D25" s="26" t="n">
        <v>14</v>
      </c>
      <c r="E25" s="26" t="n">
        <v>14</v>
      </c>
      <c r="F25" s="26" t="n">
        <v>20</v>
      </c>
      <c r="G25" s="26" t="n">
        <v>14</v>
      </c>
      <c r="H25" s="26" t="n">
        <v>14</v>
      </c>
      <c r="I25" s="26" t="n">
        <v>14</v>
      </c>
      <c r="J25" s="26" t="n">
        <v>0</v>
      </c>
      <c r="K25" s="27" t="n">
        <v>13</v>
      </c>
      <c r="L25" s="27" t="n">
        <v>2.2097</v>
      </c>
      <c r="M25" s="19" t="n">
        <f aca="false">K25-L25</f>
        <v>10.7903</v>
      </c>
      <c r="N25" s="26" t="n">
        <v>3</v>
      </c>
      <c r="O25" s="26" t="n">
        <v>3</v>
      </c>
      <c r="P25" s="28" t="n">
        <f aca="false">IF($C25=0,"",D25/$C25)</f>
        <v>0.482758620689655</v>
      </c>
      <c r="Q25" s="28" t="n">
        <f aca="false">IF($C25=0,"",E25/$C25)</f>
        <v>0.482758620689655</v>
      </c>
      <c r="R25" s="28" t="n">
        <f aca="false">IF($C25=0,"",F25/$C25)</f>
        <v>0.689655172413793</v>
      </c>
      <c r="S25" s="28" t="n">
        <f aca="false">IF($C25=0,"",G25/$C25)</f>
        <v>0.482758620689655</v>
      </c>
      <c r="T25" s="28" t="n">
        <f aca="false">IF($C25=0,"",H25/$C25)</f>
        <v>0.482758620689655</v>
      </c>
      <c r="U25" s="28" t="n">
        <f aca="false">IF($C25=0,"",I25/$C25)</f>
        <v>0.482758620689655</v>
      </c>
      <c r="V25" s="29" t="n">
        <f aca="false">IF($C25=0,"",K25/$C25)</f>
        <v>0.448275862068966</v>
      </c>
      <c r="W25" s="29" t="n">
        <f aca="false">IF($C25=0,"",M25/$C25)</f>
        <v>0.372079310344828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27</v>
      </c>
      <c r="D26" s="26" t="n">
        <v>11</v>
      </c>
      <c r="E26" s="26" t="n">
        <v>11</v>
      </c>
      <c r="F26" s="26" t="n">
        <v>20</v>
      </c>
      <c r="G26" s="26" t="n">
        <v>14</v>
      </c>
      <c r="H26" s="26" t="n">
        <v>14</v>
      </c>
      <c r="I26" s="26" t="n">
        <v>11</v>
      </c>
      <c r="J26" s="26" t="n">
        <v>0</v>
      </c>
      <c r="K26" s="27" t="n">
        <v>6</v>
      </c>
      <c r="L26" s="27" t="n">
        <v>1.9837</v>
      </c>
      <c r="M26" s="19" t="n">
        <f aca="false">K26-L26</f>
        <v>4.0163</v>
      </c>
      <c r="N26" s="26" t="n">
        <v>4</v>
      </c>
      <c r="O26" s="26" t="n">
        <v>5</v>
      </c>
      <c r="P26" s="28" t="n">
        <f aca="false">IF($C26=0,"",D26/$C26)</f>
        <v>0.407407407407407</v>
      </c>
      <c r="Q26" s="28" t="n">
        <f aca="false">IF($C26=0,"",E26/$C26)</f>
        <v>0.407407407407407</v>
      </c>
      <c r="R26" s="28" t="n">
        <f aca="false">IF($C26=0,"",F26/$C26)</f>
        <v>0.740740740740741</v>
      </c>
      <c r="S26" s="28" t="n">
        <f aca="false">IF($C26=0,"",G26/$C26)</f>
        <v>0.518518518518519</v>
      </c>
      <c r="T26" s="28" t="n">
        <f aca="false">IF($C26=0,"",H26/$C26)</f>
        <v>0.518518518518519</v>
      </c>
      <c r="U26" s="28" t="n">
        <f aca="false">IF($C26=0,"",I26/$C26)</f>
        <v>0.407407407407407</v>
      </c>
      <c r="V26" s="29" t="n">
        <f aca="false">IF($C26=0,"",K26/$C26)</f>
        <v>0.222222222222222</v>
      </c>
      <c r="W26" s="29" t="n">
        <f aca="false">IF($C26=0,"",M26/$C26)</f>
        <v>0.148751851851852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27</v>
      </c>
      <c r="D27" s="26" t="n">
        <v>12</v>
      </c>
      <c r="E27" s="26" t="n">
        <v>12</v>
      </c>
      <c r="F27" s="26" t="n">
        <v>17</v>
      </c>
      <c r="G27" s="26" t="n">
        <v>17</v>
      </c>
      <c r="H27" s="26" t="n">
        <v>15</v>
      </c>
      <c r="I27" s="26" t="n">
        <v>12</v>
      </c>
      <c r="J27" s="26" t="n">
        <v>0</v>
      </c>
      <c r="K27" s="27" t="n">
        <v>9</v>
      </c>
      <c r="L27" s="27" t="n">
        <v>2.0233</v>
      </c>
      <c r="M27" s="19" t="n">
        <f aca="false">K27-L27</f>
        <v>6.9767</v>
      </c>
      <c r="N27" s="26" t="n">
        <v>5</v>
      </c>
      <c r="O27" s="26" t="n">
        <v>4</v>
      </c>
      <c r="P27" s="28" t="n">
        <f aca="false">IF($C27=0,"",D27/$C27)</f>
        <v>0.444444444444444</v>
      </c>
      <c r="Q27" s="28" t="n">
        <f aca="false">IF($C27=0,"",E27/$C27)</f>
        <v>0.444444444444444</v>
      </c>
      <c r="R27" s="28" t="n">
        <f aca="false">IF($C27=0,"",F27/$C27)</f>
        <v>0.62962962962963</v>
      </c>
      <c r="S27" s="28" t="n">
        <f aca="false">IF($C27=0,"",G27/$C27)</f>
        <v>0.62962962962963</v>
      </c>
      <c r="T27" s="28" t="n">
        <f aca="false">IF($C27=0,"",H27/$C27)</f>
        <v>0.555555555555556</v>
      </c>
      <c r="U27" s="28" t="n">
        <f aca="false">IF($C27=0,"",I27/$C27)</f>
        <v>0.444444444444444</v>
      </c>
      <c r="V27" s="29" t="n">
        <f aca="false">IF($C27=0,"",K27/$C27)</f>
        <v>0.333333333333333</v>
      </c>
      <c r="W27" s="29" t="n">
        <f aca="false">IF($C27=0,"",M27/$C27)</f>
        <v>0.258396296296296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29</v>
      </c>
      <c r="D28" s="26" t="n">
        <v>11</v>
      </c>
      <c r="E28" s="26" t="n">
        <v>11</v>
      </c>
      <c r="F28" s="26" t="n">
        <v>21</v>
      </c>
      <c r="G28" s="26" t="n">
        <v>18</v>
      </c>
      <c r="H28" s="26" t="n">
        <v>14</v>
      </c>
      <c r="I28" s="26" t="n">
        <v>11</v>
      </c>
      <c r="J28" s="26" t="n">
        <v>0</v>
      </c>
      <c r="K28" s="27" t="n">
        <v>4</v>
      </c>
      <c r="L28" s="27" t="n">
        <v>1.9112</v>
      </c>
      <c r="M28" s="19" t="n">
        <f aca="false">K28-L28</f>
        <v>2.0888</v>
      </c>
      <c r="N28" s="26" t="n">
        <v>3</v>
      </c>
      <c r="O28" s="26" t="n">
        <v>7</v>
      </c>
      <c r="P28" s="28" t="n">
        <f aca="false">IF($C28=0,"",D28/$C28)</f>
        <v>0.379310344827586</v>
      </c>
      <c r="Q28" s="28" t="n">
        <f aca="false">IF($C28=0,"",E28/$C28)</f>
        <v>0.379310344827586</v>
      </c>
      <c r="R28" s="28" t="n">
        <f aca="false">IF($C28=0,"",F28/$C28)</f>
        <v>0.724137931034483</v>
      </c>
      <c r="S28" s="28" t="n">
        <f aca="false">IF($C28=0,"",G28/$C28)</f>
        <v>0.620689655172414</v>
      </c>
      <c r="T28" s="28" t="n">
        <f aca="false">IF($C28=0,"",H28/$C28)</f>
        <v>0.482758620689655</v>
      </c>
      <c r="U28" s="28" t="n">
        <f aca="false">IF($C28=0,"",I28/$C28)</f>
        <v>0.379310344827586</v>
      </c>
      <c r="V28" s="29" t="n">
        <f aca="false">IF($C28=0,"",K28/$C28)</f>
        <v>0.137931034482759</v>
      </c>
      <c r="W28" s="29" t="n">
        <f aca="false">IF($C28=0,"",M28/$C28)</f>
        <v>0.0720275862068966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23</v>
      </c>
      <c r="D29" s="26" t="n">
        <v>10</v>
      </c>
      <c r="E29" s="26" t="n">
        <v>10</v>
      </c>
      <c r="F29" s="26" t="n">
        <v>17</v>
      </c>
      <c r="G29" s="26" t="n">
        <v>15</v>
      </c>
      <c r="H29" s="26" t="n">
        <v>12</v>
      </c>
      <c r="I29" s="26" t="n">
        <v>10</v>
      </c>
      <c r="J29" s="26" t="n">
        <v>0</v>
      </c>
      <c r="K29" s="27" t="n">
        <v>7</v>
      </c>
      <c r="L29" s="27" t="n">
        <v>1.5037</v>
      </c>
      <c r="M29" s="19" t="n">
        <f aca="false">K29-L29</f>
        <v>5.4963</v>
      </c>
      <c r="N29" s="26" t="n">
        <v>5</v>
      </c>
      <c r="O29" s="26" t="n">
        <v>5</v>
      </c>
      <c r="P29" s="28" t="n">
        <f aca="false">IF($C29=0,"",D29/$C29)</f>
        <v>0.434782608695652</v>
      </c>
      <c r="Q29" s="28" t="n">
        <f aca="false">IF($C29=0,"",E29/$C29)</f>
        <v>0.434782608695652</v>
      </c>
      <c r="R29" s="28" t="n">
        <f aca="false">IF($C29=0,"",F29/$C29)</f>
        <v>0.739130434782609</v>
      </c>
      <c r="S29" s="28" t="n">
        <f aca="false">IF($C29=0,"",G29/$C29)</f>
        <v>0.652173913043478</v>
      </c>
      <c r="T29" s="28" t="n">
        <f aca="false">IF($C29=0,"",H29/$C29)</f>
        <v>0.521739130434783</v>
      </c>
      <c r="U29" s="28" t="n">
        <f aca="false">IF($C29=0,"",I29/$C29)</f>
        <v>0.434782608695652</v>
      </c>
      <c r="V29" s="29" t="n">
        <f aca="false">IF($C29=0,"",K29/$C29)</f>
        <v>0.304347826086957</v>
      </c>
      <c r="W29" s="29" t="n">
        <f aca="false">IF($C29=0,"",M29/$C29)</f>
        <v>0.238969565217391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30</v>
      </c>
      <c r="D30" s="26" t="n">
        <v>8</v>
      </c>
      <c r="E30" s="26" t="n">
        <v>8</v>
      </c>
      <c r="F30" s="26" t="n">
        <v>20</v>
      </c>
      <c r="G30" s="26" t="n">
        <v>16</v>
      </c>
      <c r="H30" s="26" t="n">
        <v>10</v>
      </c>
      <c r="I30" s="26" t="n">
        <v>8</v>
      </c>
      <c r="J30" s="26" t="n">
        <v>0</v>
      </c>
      <c r="K30" s="27" t="n">
        <v>-6</v>
      </c>
      <c r="L30" s="27" t="n">
        <v>2.2166</v>
      </c>
      <c r="M30" s="19" t="n">
        <f aca="false">K30-L30</f>
        <v>-8.2166</v>
      </c>
      <c r="N30" s="26" t="n">
        <v>2</v>
      </c>
      <c r="O30" s="26" t="n">
        <v>7</v>
      </c>
      <c r="P30" s="28" t="n">
        <f aca="false">IF($C30=0,"",D30/$C30)</f>
        <v>0.266666666666667</v>
      </c>
      <c r="Q30" s="28" t="n">
        <f aca="false">IF($C30=0,"",E30/$C30)</f>
        <v>0.266666666666667</v>
      </c>
      <c r="R30" s="28" t="n">
        <f aca="false">IF($C30=0,"",F30/$C30)</f>
        <v>0.666666666666667</v>
      </c>
      <c r="S30" s="28" t="n">
        <f aca="false">IF($C30=0,"",G30/$C30)</f>
        <v>0.533333333333333</v>
      </c>
      <c r="T30" s="28" t="n">
        <f aca="false">IF($C30=0,"",H30/$C30)</f>
        <v>0.333333333333333</v>
      </c>
      <c r="U30" s="28" t="n">
        <f aca="false">IF($C30=0,"",I30/$C30)</f>
        <v>0.266666666666667</v>
      </c>
      <c r="V30" s="29" t="n">
        <f aca="false">IF($C30=0,"",K30/$C30)</f>
        <v>-0.2</v>
      </c>
      <c r="W30" s="29" t="n">
        <f aca="false">IF($C30=0,"",M30/$C30)</f>
        <v>-0.273886666666667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334</v>
      </c>
      <c r="D31" s="30" t="n">
        <f aca="false">SUM(D19:D30)</f>
        <v>123</v>
      </c>
      <c r="E31" s="30" t="n">
        <f aca="false">SUM(E19:E30)</f>
        <v>123</v>
      </c>
      <c r="F31" s="30" t="n">
        <f aca="false">SUM(F19:F30)</f>
        <v>218</v>
      </c>
      <c r="G31" s="30" t="n">
        <f aca="false">SUM(G19:G30)</f>
        <v>182</v>
      </c>
      <c r="H31" s="30" t="n">
        <f aca="false">SUM(H19:H30)</f>
        <v>150</v>
      </c>
      <c r="I31" s="30" t="n">
        <f aca="false">SUM(I19:I30)</f>
        <v>123</v>
      </c>
      <c r="J31" s="30" t="n">
        <f aca="false">SUM(J19:J30)</f>
        <v>0</v>
      </c>
      <c r="K31" s="31" t="n">
        <f aca="false">SUM(K19:K30)</f>
        <v>35</v>
      </c>
      <c r="L31" s="31" t="n">
        <f aca="false">SUM(L19:L30)</f>
        <v>21.4636</v>
      </c>
      <c r="M31" s="31" t="n">
        <f aca="false">K31-L31</f>
        <v>13.5364</v>
      </c>
      <c r="N31" s="32" t="n">
        <v>5</v>
      </c>
      <c r="O31" s="32" t="n">
        <v>12</v>
      </c>
      <c r="P31" s="33" t="n">
        <f aca="false">IF($C31=0,"",D31/$C31)</f>
        <v>0.368263473053892</v>
      </c>
      <c r="Q31" s="33" t="n">
        <f aca="false">IF($C31=0,"",E31/$C31)</f>
        <v>0.368263473053892</v>
      </c>
      <c r="R31" s="33" t="n">
        <f aca="false">IF($C31=0,"",F31/$C31)</f>
        <v>0.652694610778443</v>
      </c>
      <c r="S31" s="33" t="n">
        <f aca="false">IF($C31=0,"",G31/$C31)</f>
        <v>0.544910179640719</v>
      </c>
      <c r="T31" s="33" t="n">
        <f aca="false">IF($C31=0,"",H31/$C31)</f>
        <v>0.449101796407186</v>
      </c>
      <c r="U31" s="33" t="n">
        <f aca="false">IF($C31=0,"",I31/$C31)</f>
        <v>0.368263473053892</v>
      </c>
      <c r="V31" s="34" t="n">
        <f aca="false">IF($C31=0,"",K31/$C31)</f>
        <v>0.104790419161677</v>
      </c>
      <c r="W31" s="34" t="n">
        <f aca="false">IF($C31=0,"",M31/$C31)</f>
        <v>0.0405281437125749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30</v>
      </c>
      <c r="D32" s="26" t="n">
        <v>11</v>
      </c>
      <c r="E32" s="26" t="n">
        <v>11</v>
      </c>
      <c r="F32" s="26" t="n">
        <v>18</v>
      </c>
      <c r="G32" s="26" t="n">
        <v>15</v>
      </c>
      <c r="H32" s="26" t="n">
        <v>11</v>
      </c>
      <c r="I32" s="26" t="n">
        <v>11</v>
      </c>
      <c r="J32" s="26" t="n">
        <v>0</v>
      </c>
      <c r="K32" s="27" t="n">
        <v>3</v>
      </c>
      <c r="L32" s="27" t="n">
        <v>1.9842</v>
      </c>
      <c r="M32" s="19" t="n">
        <f aca="false">K32-L32</f>
        <v>1.0158</v>
      </c>
      <c r="N32" s="26" t="n">
        <v>3</v>
      </c>
      <c r="O32" s="26" t="n">
        <v>6</v>
      </c>
      <c r="P32" s="28" t="n">
        <f aca="false">IF($C32=0,"",D32/$C32)</f>
        <v>0.366666666666667</v>
      </c>
      <c r="Q32" s="28" t="n">
        <f aca="false">IF($C32=0,"",E32/$C32)</f>
        <v>0.366666666666667</v>
      </c>
      <c r="R32" s="28" t="n">
        <f aca="false">IF($C32=0,"",F32/$C32)</f>
        <v>0.6</v>
      </c>
      <c r="S32" s="28" t="n">
        <f aca="false">IF($C32=0,"",G32/$C32)</f>
        <v>0.5</v>
      </c>
      <c r="T32" s="28" t="n">
        <f aca="false">IF($C32=0,"",H32/$C32)</f>
        <v>0.366666666666667</v>
      </c>
      <c r="U32" s="28" t="n">
        <f aca="false">IF($C32=0,"",I32/$C32)</f>
        <v>0.366666666666667</v>
      </c>
      <c r="V32" s="29" t="n">
        <f aca="false">IF($C32=0,"",K32/$C32)</f>
        <v>0.1</v>
      </c>
      <c r="W32" s="29" t="n">
        <f aca="false">IF($C32=0,"",M32/$C32)</f>
        <v>0.03386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33</v>
      </c>
      <c r="D33" s="26" t="n">
        <v>13</v>
      </c>
      <c r="E33" s="26" t="n">
        <v>13</v>
      </c>
      <c r="F33" s="26" t="n">
        <v>25</v>
      </c>
      <c r="G33" s="26" t="n">
        <v>20</v>
      </c>
      <c r="H33" s="26" t="n">
        <v>16</v>
      </c>
      <c r="I33" s="26" t="n">
        <v>13</v>
      </c>
      <c r="J33" s="26" t="n">
        <v>0</v>
      </c>
      <c r="K33" s="27" t="n">
        <v>6</v>
      </c>
      <c r="L33" s="27" t="n">
        <v>2.3066</v>
      </c>
      <c r="M33" s="19" t="n">
        <f aca="false">K33-L33</f>
        <v>3.6934</v>
      </c>
      <c r="N33" s="26" t="n">
        <v>3</v>
      </c>
      <c r="O33" s="26" t="n">
        <v>5</v>
      </c>
      <c r="P33" s="28" t="n">
        <f aca="false">IF($C33=0,"",D33/$C33)</f>
        <v>0.393939393939394</v>
      </c>
      <c r="Q33" s="28" t="n">
        <f aca="false">IF($C33=0,"",E33/$C33)</f>
        <v>0.393939393939394</v>
      </c>
      <c r="R33" s="28" t="n">
        <f aca="false">IF($C33=0,"",F33/$C33)</f>
        <v>0.757575757575758</v>
      </c>
      <c r="S33" s="28" t="n">
        <f aca="false">IF($C33=0,"",G33/$C33)</f>
        <v>0.606060606060606</v>
      </c>
      <c r="T33" s="28" t="n">
        <f aca="false">IF($C33=0,"",H33/$C33)</f>
        <v>0.484848484848485</v>
      </c>
      <c r="U33" s="28" t="n">
        <f aca="false">IF($C33=0,"",I33/$C33)</f>
        <v>0.393939393939394</v>
      </c>
      <c r="V33" s="29" t="n">
        <f aca="false">IF($C33=0,"",K33/$C33)</f>
        <v>0.181818181818182</v>
      </c>
      <c r="W33" s="29" t="n">
        <f aca="false">IF($C33=0,"",M33/$C33)</f>
        <v>0.111921212121212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30</v>
      </c>
      <c r="D34" s="26" t="n">
        <v>12</v>
      </c>
      <c r="E34" s="26" t="n">
        <v>12</v>
      </c>
      <c r="F34" s="26" t="n">
        <v>21</v>
      </c>
      <c r="G34" s="26" t="n">
        <v>17</v>
      </c>
      <c r="H34" s="26" t="n">
        <v>13</v>
      </c>
      <c r="I34" s="26" t="n">
        <v>12</v>
      </c>
      <c r="J34" s="26" t="n">
        <v>0</v>
      </c>
      <c r="K34" s="27" t="n">
        <v>6</v>
      </c>
      <c r="L34" s="27" t="n">
        <v>1.7499</v>
      </c>
      <c r="M34" s="19" t="n">
        <f aca="false">K34-L34</f>
        <v>4.2501</v>
      </c>
      <c r="N34" s="26" t="n">
        <v>2</v>
      </c>
      <c r="O34" s="26" t="n">
        <v>4</v>
      </c>
      <c r="P34" s="28" t="n">
        <f aca="false">IF($C34=0,"",D34/$C34)</f>
        <v>0.4</v>
      </c>
      <c r="Q34" s="28" t="n">
        <f aca="false">IF($C34=0,"",E34/$C34)</f>
        <v>0.4</v>
      </c>
      <c r="R34" s="28" t="n">
        <f aca="false">IF($C34=0,"",F34/$C34)</f>
        <v>0.7</v>
      </c>
      <c r="S34" s="28" t="n">
        <f aca="false">IF($C34=0,"",G34/$C34)</f>
        <v>0.566666666666667</v>
      </c>
      <c r="T34" s="28" t="n">
        <f aca="false">IF($C34=0,"",H34/$C34)</f>
        <v>0.433333333333333</v>
      </c>
      <c r="U34" s="28" t="n">
        <f aca="false">IF($C34=0,"",I34/$C34)</f>
        <v>0.4</v>
      </c>
      <c r="V34" s="29" t="n">
        <f aca="false">IF($C34=0,"",K34/$C34)</f>
        <v>0.2</v>
      </c>
      <c r="W34" s="29" t="n">
        <f aca="false">IF($C34=0,"",M34/$C34)</f>
        <v>0.14167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21</v>
      </c>
      <c r="D35" s="26" t="n">
        <v>7</v>
      </c>
      <c r="E35" s="26" t="n">
        <v>7</v>
      </c>
      <c r="F35" s="26" t="n">
        <v>15</v>
      </c>
      <c r="G35" s="26" t="n">
        <v>11</v>
      </c>
      <c r="H35" s="26" t="n">
        <v>8</v>
      </c>
      <c r="I35" s="26" t="n">
        <v>7</v>
      </c>
      <c r="J35" s="26" t="n">
        <v>0</v>
      </c>
      <c r="K35" s="27" t="n">
        <v>0</v>
      </c>
      <c r="L35" s="27" t="n">
        <v>1.4589</v>
      </c>
      <c r="M35" s="19" t="n">
        <f aca="false">K35-L35</f>
        <v>-1.4589</v>
      </c>
      <c r="N35" s="26" t="n">
        <v>4</v>
      </c>
      <c r="O35" s="26" t="n">
        <v>8</v>
      </c>
      <c r="P35" s="28" t="n">
        <f aca="false">IF($C35=0,"",D35/$C35)</f>
        <v>0.333333333333333</v>
      </c>
      <c r="Q35" s="28" t="n">
        <f aca="false">IF($C35=0,"",E35/$C35)</f>
        <v>0.333333333333333</v>
      </c>
      <c r="R35" s="28" t="n">
        <f aca="false">IF($C35=0,"",F35/$C35)</f>
        <v>0.714285714285714</v>
      </c>
      <c r="S35" s="28" t="n">
        <f aca="false">IF($C35=0,"",G35/$C35)</f>
        <v>0.523809523809524</v>
      </c>
      <c r="T35" s="28" t="n">
        <f aca="false">IF($C35=0,"",H35/$C35)</f>
        <v>0.380952380952381</v>
      </c>
      <c r="U35" s="28" t="n">
        <f aca="false">IF($C35=0,"",I35/$C35)</f>
        <v>0.333333333333333</v>
      </c>
      <c r="V35" s="29" t="n">
        <f aca="false">IF($C35=0,"",K35/$C35)</f>
        <v>0</v>
      </c>
      <c r="W35" s="29" t="n">
        <f aca="false">IF($C35=0,"",M35/$C35)</f>
        <v>-0.0694714285714286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26</v>
      </c>
      <c r="D36" s="26" t="n">
        <v>13</v>
      </c>
      <c r="E36" s="26" t="n">
        <v>13</v>
      </c>
      <c r="F36" s="26" t="n">
        <v>20</v>
      </c>
      <c r="G36" s="26" t="n">
        <v>16</v>
      </c>
      <c r="H36" s="26" t="n">
        <v>14</v>
      </c>
      <c r="I36" s="26" t="n">
        <v>13</v>
      </c>
      <c r="J36" s="26" t="n">
        <v>0</v>
      </c>
      <c r="K36" s="27" t="n">
        <v>13</v>
      </c>
      <c r="L36" s="27" t="n">
        <v>1.9865</v>
      </c>
      <c r="M36" s="19" t="n">
        <f aca="false">K36-L36</f>
        <v>11.0135</v>
      </c>
      <c r="N36" s="26" t="n">
        <v>4</v>
      </c>
      <c r="O36" s="26" t="n">
        <v>4</v>
      </c>
      <c r="P36" s="28" t="n">
        <f aca="false">IF($C36=0,"",D36/$C36)</f>
        <v>0.5</v>
      </c>
      <c r="Q36" s="28" t="n">
        <f aca="false">IF($C36=0,"",E36/$C36)</f>
        <v>0.5</v>
      </c>
      <c r="R36" s="28" t="n">
        <f aca="false">IF($C36=0,"",F36/$C36)</f>
        <v>0.769230769230769</v>
      </c>
      <c r="S36" s="28" t="n">
        <f aca="false">IF($C36=0,"",G36/$C36)</f>
        <v>0.615384615384615</v>
      </c>
      <c r="T36" s="28" t="n">
        <f aca="false">IF($C36=0,"",H36/$C36)</f>
        <v>0.538461538461538</v>
      </c>
      <c r="U36" s="28" t="n">
        <f aca="false">IF($C36=0,"",I36/$C36)</f>
        <v>0.5</v>
      </c>
      <c r="V36" s="29" t="n">
        <f aca="false">IF($C36=0,"",K36/$C36)</f>
        <v>0.5</v>
      </c>
      <c r="W36" s="29" t="n">
        <f aca="false">IF($C36=0,"",M36/$C36)</f>
        <v>0.423596153846154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27</v>
      </c>
      <c r="D37" s="26" t="n">
        <v>9</v>
      </c>
      <c r="E37" s="26" t="n">
        <v>9</v>
      </c>
      <c r="F37" s="26" t="n">
        <v>16</v>
      </c>
      <c r="G37" s="26" t="n">
        <v>13</v>
      </c>
      <c r="H37" s="26" t="n">
        <v>11</v>
      </c>
      <c r="I37" s="26" t="n">
        <v>9</v>
      </c>
      <c r="J37" s="26" t="n">
        <v>0</v>
      </c>
      <c r="K37" s="27" t="n">
        <v>0</v>
      </c>
      <c r="L37" s="27" t="n">
        <v>1.9541</v>
      </c>
      <c r="M37" s="19" t="n">
        <f aca="false">K37-L37</f>
        <v>-1.9541</v>
      </c>
      <c r="N37" s="26" t="n">
        <v>2</v>
      </c>
      <c r="O37" s="26" t="n">
        <v>4</v>
      </c>
      <c r="P37" s="28" t="n">
        <f aca="false">IF($C37=0,"",D37/$C37)</f>
        <v>0.333333333333333</v>
      </c>
      <c r="Q37" s="28" t="n">
        <f aca="false">IF($C37=0,"",E37/$C37)</f>
        <v>0.333333333333333</v>
      </c>
      <c r="R37" s="28" t="n">
        <f aca="false">IF($C37=0,"",F37/$C37)</f>
        <v>0.592592592592593</v>
      </c>
      <c r="S37" s="28" t="n">
        <f aca="false">IF($C37=0,"",G37/$C37)</f>
        <v>0.481481481481481</v>
      </c>
      <c r="T37" s="28" t="n">
        <f aca="false">IF($C37=0,"",H37/$C37)</f>
        <v>0.407407407407407</v>
      </c>
      <c r="U37" s="28" t="n">
        <f aca="false">IF($C37=0,"",I37/$C37)</f>
        <v>0.333333333333333</v>
      </c>
      <c r="V37" s="29" t="n">
        <f aca="false">IF($C37=0,"",K37/$C37)</f>
        <v>0</v>
      </c>
      <c r="W37" s="29" t="n">
        <f aca="false">IF($C37=0,"",M37/$C37)</f>
        <v>-0.0723740740740741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21</v>
      </c>
      <c r="D38" s="26" t="n">
        <v>6</v>
      </c>
      <c r="E38" s="26" t="n">
        <v>6</v>
      </c>
      <c r="F38" s="26" t="n">
        <v>12</v>
      </c>
      <c r="G38" s="26" t="n">
        <v>10</v>
      </c>
      <c r="H38" s="26" t="n">
        <v>8</v>
      </c>
      <c r="I38" s="26" t="n">
        <v>6</v>
      </c>
      <c r="J38" s="26" t="n">
        <v>0</v>
      </c>
      <c r="K38" s="27" t="n">
        <v>-3</v>
      </c>
      <c r="L38" s="27" t="n">
        <v>1.6678</v>
      </c>
      <c r="M38" s="19" t="n">
        <f aca="false">K38-L38</f>
        <v>-4.6678</v>
      </c>
      <c r="N38" s="26" t="n">
        <v>2</v>
      </c>
      <c r="O38" s="26" t="n">
        <v>5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0.571428571428571</v>
      </c>
      <c r="S38" s="28" t="n">
        <f aca="false">IF($C38=0,"",G38/$C38)</f>
        <v>0.476190476190476</v>
      </c>
      <c r="T38" s="28" t="n">
        <f aca="false">IF($C38=0,"",H38/$C38)</f>
        <v>0.380952380952381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-0.22227619047619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27</v>
      </c>
      <c r="D39" s="26" t="n">
        <v>10</v>
      </c>
      <c r="E39" s="26" t="n">
        <v>10</v>
      </c>
      <c r="F39" s="26" t="n">
        <v>18</v>
      </c>
      <c r="G39" s="26" t="n">
        <v>16</v>
      </c>
      <c r="H39" s="26" t="n">
        <v>11</v>
      </c>
      <c r="I39" s="26" t="n">
        <v>10</v>
      </c>
      <c r="J39" s="26" t="n">
        <v>0</v>
      </c>
      <c r="K39" s="27" t="n">
        <v>3</v>
      </c>
      <c r="L39" s="27" t="n">
        <v>2.5839</v>
      </c>
      <c r="M39" s="19" t="n">
        <f aca="false">K39-L39</f>
        <v>0.4161</v>
      </c>
      <c r="N39" s="26" t="n">
        <v>4</v>
      </c>
      <c r="O39" s="26" t="n">
        <v>8</v>
      </c>
      <c r="P39" s="28" t="n">
        <f aca="false">IF($C39=0,"",D39/$C39)</f>
        <v>0.37037037037037</v>
      </c>
      <c r="Q39" s="28" t="n">
        <f aca="false">IF($C39=0,"",E39/$C39)</f>
        <v>0.37037037037037</v>
      </c>
      <c r="R39" s="28" t="n">
        <f aca="false">IF($C39=0,"",F39/$C39)</f>
        <v>0.666666666666667</v>
      </c>
      <c r="S39" s="28" t="n">
        <f aca="false">IF($C39=0,"",G39/$C39)</f>
        <v>0.592592592592593</v>
      </c>
      <c r="T39" s="28" t="n">
        <f aca="false">IF($C39=0,"",H39/$C39)</f>
        <v>0.407407407407407</v>
      </c>
      <c r="U39" s="28" t="n">
        <f aca="false">IF($C39=0,"",I39/$C39)</f>
        <v>0.37037037037037</v>
      </c>
      <c r="V39" s="29" t="n">
        <f aca="false">IF($C39=0,"",K39/$C39)</f>
        <v>0.111111111111111</v>
      </c>
      <c r="W39" s="29" t="n">
        <f aca="false">IF($C39=0,"",M39/$C39)</f>
        <v>0.0154111111111111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25</v>
      </c>
      <c r="D40" s="26" t="n">
        <v>14</v>
      </c>
      <c r="E40" s="26" t="n">
        <v>14</v>
      </c>
      <c r="F40" s="26" t="n">
        <v>18</v>
      </c>
      <c r="G40" s="26" t="n">
        <v>17</v>
      </c>
      <c r="H40" s="26" t="n">
        <v>15</v>
      </c>
      <c r="I40" s="26" t="n">
        <v>14</v>
      </c>
      <c r="J40" s="26" t="n">
        <v>0</v>
      </c>
      <c r="K40" s="27" t="n">
        <v>17</v>
      </c>
      <c r="L40" s="27" t="n">
        <v>2.494</v>
      </c>
      <c r="M40" s="19" t="n">
        <f aca="false">K40-L40</f>
        <v>14.506</v>
      </c>
      <c r="N40" s="26" t="n">
        <v>8</v>
      </c>
      <c r="O40" s="26" t="n">
        <v>4</v>
      </c>
      <c r="P40" s="28" t="n">
        <f aca="false">IF($C40=0,"",D40/$C40)</f>
        <v>0.56</v>
      </c>
      <c r="Q40" s="28" t="n">
        <f aca="false">IF($C40=0,"",E40/$C40)</f>
        <v>0.56</v>
      </c>
      <c r="R40" s="28" t="n">
        <f aca="false">IF($C40=0,"",F40/$C40)</f>
        <v>0.72</v>
      </c>
      <c r="S40" s="28" t="n">
        <f aca="false">IF($C40=0,"",G40/$C40)</f>
        <v>0.68</v>
      </c>
      <c r="T40" s="28" t="n">
        <f aca="false">IF($C40=0,"",H40/$C40)</f>
        <v>0.6</v>
      </c>
      <c r="U40" s="28" t="n">
        <f aca="false">IF($C40=0,"",I40/$C40)</f>
        <v>0.56</v>
      </c>
      <c r="V40" s="29" t="n">
        <f aca="false">IF($C40=0,"",K40/$C40)</f>
        <v>0.68</v>
      </c>
      <c r="W40" s="29" t="n">
        <f aca="false">IF($C40=0,"",M40/$C40)</f>
        <v>0.58024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28</v>
      </c>
      <c r="D41" s="26" t="n">
        <v>13</v>
      </c>
      <c r="E41" s="26" t="n">
        <v>13</v>
      </c>
      <c r="F41" s="26" t="n">
        <v>18</v>
      </c>
      <c r="G41" s="26" t="n">
        <v>15</v>
      </c>
      <c r="H41" s="26" t="n">
        <v>15</v>
      </c>
      <c r="I41" s="26" t="n">
        <v>13</v>
      </c>
      <c r="J41" s="26" t="n">
        <v>0</v>
      </c>
      <c r="K41" s="27" t="n">
        <v>11</v>
      </c>
      <c r="L41" s="27" t="n">
        <v>1.2612</v>
      </c>
      <c r="M41" s="19" t="n">
        <f aca="false">K41-L41</f>
        <v>9.7388</v>
      </c>
      <c r="N41" s="26" t="n">
        <v>3</v>
      </c>
      <c r="O41" s="26" t="n">
        <v>3</v>
      </c>
      <c r="P41" s="28" t="n">
        <f aca="false">IF($C41=0,"",D41/$C41)</f>
        <v>0.464285714285714</v>
      </c>
      <c r="Q41" s="28" t="n">
        <f aca="false">IF($C41=0,"",E41/$C41)</f>
        <v>0.464285714285714</v>
      </c>
      <c r="R41" s="28" t="n">
        <f aca="false">IF($C41=0,"",F41/$C41)</f>
        <v>0.642857142857143</v>
      </c>
      <c r="S41" s="28" t="n">
        <f aca="false">IF($C41=0,"",G41/$C41)</f>
        <v>0.535714285714286</v>
      </c>
      <c r="T41" s="28" t="n">
        <f aca="false">IF($C41=0,"",H41/$C41)</f>
        <v>0.535714285714286</v>
      </c>
      <c r="U41" s="28" t="n">
        <f aca="false">IF($C41=0,"",I41/$C41)</f>
        <v>0.464285714285714</v>
      </c>
      <c r="V41" s="29" t="n">
        <f aca="false">IF($C41=0,"",K41/$C41)</f>
        <v>0.392857142857143</v>
      </c>
      <c r="W41" s="29" t="n">
        <f aca="false">IF($C41=0,"",M41/$C41)</f>
        <v>0.347814285714286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34</v>
      </c>
      <c r="D42" s="26" t="n">
        <v>13</v>
      </c>
      <c r="E42" s="26" t="n">
        <v>13</v>
      </c>
      <c r="F42" s="26" t="n">
        <v>24</v>
      </c>
      <c r="G42" s="26" t="n">
        <v>19</v>
      </c>
      <c r="H42" s="26" t="n">
        <v>16</v>
      </c>
      <c r="I42" s="26" t="n">
        <v>13</v>
      </c>
      <c r="J42" s="26" t="n">
        <v>0</v>
      </c>
      <c r="K42" s="27" t="n">
        <v>5</v>
      </c>
      <c r="L42" s="27" t="n">
        <v>1.6589</v>
      </c>
      <c r="M42" s="19" t="n">
        <f aca="false">K42-L42</f>
        <v>3.3411</v>
      </c>
      <c r="N42" s="26" t="n">
        <v>3</v>
      </c>
      <c r="O42" s="26" t="n">
        <v>6</v>
      </c>
      <c r="P42" s="28" t="n">
        <f aca="false">IF($C42=0,"",D42/$C42)</f>
        <v>0.382352941176471</v>
      </c>
      <c r="Q42" s="28" t="n">
        <f aca="false">IF($C42=0,"",E42/$C42)</f>
        <v>0.382352941176471</v>
      </c>
      <c r="R42" s="28" t="n">
        <f aca="false">IF($C42=0,"",F42/$C42)</f>
        <v>0.705882352941177</v>
      </c>
      <c r="S42" s="28" t="n">
        <f aca="false">IF($C42=0,"",G42/$C42)</f>
        <v>0.558823529411765</v>
      </c>
      <c r="T42" s="28" t="n">
        <f aca="false">IF($C42=0,"",H42/$C42)</f>
        <v>0.470588235294118</v>
      </c>
      <c r="U42" s="28" t="n">
        <f aca="false">IF($C42=0,"",I42/$C42)</f>
        <v>0.382352941176471</v>
      </c>
      <c r="V42" s="29" t="n">
        <f aca="false">IF($C42=0,"",K42/$C42)</f>
        <v>0.147058823529412</v>
      </c>
      <c r="W42" s="29" t="n">
        <f aca="false">IF($C42=0,"",M42/$C42)</f>
        <v>0.0982676470588235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27</v>
      </c>
      <c r="D43" s="26" t="n">
        <v>10</v>
      </c>
      <c r="E43" s="26" t="n">
        <v>10</v>
      </c>
      <c r="F43" s="26" t="n">
        <v>18</v>
      </c>
      <c r="G43" s="26" t="n">
        <v>16</v>
      </c>
      <c r="H43" s="26" t="n">
        <v>13</v>
      </c>
      <c r="I43" s="26" t="n">
        <v>10</v>
      </c>
      <c r="J43" s="26" t="n">
        <v>0</v>
      </c>
      <c r="K43" s="27" t="n">
        <v>3</v>
      </c>
      <c r="L43" s="27" t="n">
        <v>0.7616</v>
      </c>
      <c r="M43" s="19" t="n">
        <f aca="false">K43-L43</f>
        <v>2.2384</v>
      </c>
      <c r="N43" s="26" t="n">
        <v>3</v>
      </c>
      <c r="O43" s="26" t="n">
        <v>8</v>
      </c>
      <c r="P43" s="28" t="n">
        <f aca="false">IF($C43=0,"",D43/$C43)</f>
        <v>0.37037037037037</v>
      </c>
      <c r="Q43" s="28" t="n">
        <f aca="false">IF($C43=0,"",E43/$C43)</f>
        <v>0.37037037037037</v>
      </c>
      <c r="R43" s="28" t="n">
        <f aca="false">IF($C43=0,"",F43/$C43)</f>
        <v>0.666666666666667</v>
      </c>
      <c r="S43" s="28" t="n">
        <f aca="false">IF($C43=0,"",G43/$C43)</f>
        <v>0.592592592592593</v>
      </c>
      <c r="T43" s="28" t="n">
        <f aca="false">IF($C43=0,"",H43/$C43)</f>
        <v>0.481481481481481</v>
      </c>
      <c r="U43" s="28" t="n">
        <f aca="false">IF($C43=0,"",I43/$C43)</f>
        <v>0.37037037037037</v>
      </c>
      <c r="V43" s="29" t="n">
        <f aca="false">IF($C43=0,"",K43/$C43)</f>
        <v>0.111111111111111</v>
      </c>
      <c r="W43" s="29" t="n">
        <f aca="false">IF($C43=0,"",M43/$C43)</f>
        <v>0.0829037037037037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329</v>
      </c>
      <c r="D44" s="30" t="n">
        <f aca="false">SUM(D32:D43)</f>
        <v>131</v>
      </c>
      <c r="E44" s="30" t="n">
        <f aca="false">SUM(E32:E43)</f>
        <v>131</v>
      </c>
      <c r="F44" s="30" t="n">
        <f aca="false">SUM(F32:F43)</f>
        <v>223</v>
      </c>
      <c r="G44" s="30" t="n">
        <f aca="false">SUM(G32:G43)</f>
        <v>185</v>
      </c>
      <c r="H44" s="30" t="n">
        <f aca="false">SUM(H32:H43)</f>
        <v>151</v>
      </c>
      <c r="I44" s="30" t="n">
        <f aca="false">SUM(I32:I43)</f>
        <v>131</v>
      </c>
      <c r="J44" s="30" t="n">
        <f aca="false">SUM(J32:J43)</f>
        <v>0</v>
      </c>
      <c r="K44" s="31" t="n">
        <f aca="false">SUM(K32:K43)</f>
        <v>64</v>
      </c>
      <c r="L44" s="31" t="n">
        <f aca="false">SUM(L32:L43)</f>
        <v>21.8676</v>
      </c>
      <c r="M44" s="31" t="n">
        <f aca="false">K44-L44</f>
        <v>42.1324</v>
      </c>
      <c r="N44" s="32" t="n">
        <v>8</v>
      </c>
      <c r="O44" s="32" t="n">
        <v>8</v>
      </c>
      <c r="P44" s="33" t="n">
        <f aca="false">IF($C44=0,"",D44/$C44)</f>
        <v>0.398176291793313</v>
      </c>
      <c r="Q44" s="33" t="n">
        <f aca="false">IF($C44=0,"",E44/$C44)</f>
        <v>0.398176291793313</v>
      </c>
      <c r="R44" s="33" t="n">
        <f aca="false">IF($C44=0,"",F44/$C44)</f>
        <v>0.677811550151976</v>
      </c>
      <c r="S44" s="33" t="n">
        <f aca="false">IF($C44=0,"",G44/$C44)</f>
        <v>0.562310030395137</v>
      </c>
      <c r="T44" s="33" t="n">
        <f aca="false">IF($C44=0,"",H44/$C44)</f>
        <v>0.458966565349544</v>
      </c>
      <c r="U44" s="33" t="n">
        <f aca="false">IF($C44=0,"",I44/$C44)</f>
        <v>0.398176291793313</v>
      </c>
      <c r="V44" s="34" t="n">
        <f aca="false">IF($C44=0,"",K44/$C44)</f>
        <v>0.194528875379939</v>
      </c>
      <c r="W44" s="34" t="n">
        <f aca="false">IF($C44=0,"",M44/$C44)</f>
        <v>0.128062006079027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32</v>
      </c>
      <c r="D45" s="26" t="n">
        <v>11</v>
      </c>
      <c r="E45" s="26" t="n">
        <v>11</v>
      </c>
      <c r="F45" s="26" t="n">
        <v>22</v>
      </c>
      <c r="G45" s="26" t="n">
        <v>17</v>
      </c>
      <c r="H45" s="26" t="n">
        <v>13</v>
      </c>
      <c r="I45" s="26" t="n">
        <v>11</v>
      </c>
      <c r="J45" s="26" t="n">
        <v>0</v>
      </c>
      <c r="K45" s="27" t="n">
        <v>1</v>
      </c>
      <c r="L45" s="27" t="n">
        <v>1.0048</v>
      </c>
      <c r="M45" s="19" t="n">
        <f aca="false">K45-L45</f>
        <v>-0.00479999999999992</v>
      </c>
      <c r="N45" s="26" t="n">
        <v>3</v>
      </c>
      <c r="O45" s="26" t="n">
        <v>4</v>
      </c>
      <c r="P45" s="28" t="n">
        <f aca="false">IF($C45=0,"",D45/$C45)</f>
        <v>0.34375</v>
      </c>
      <c r="Q45" s="28" t="n">
        <f aca="false">IF($C45=0,"",E45/$C45)</f>
        <v>0.34375</v>
      </c>
      <c r="R45" s="28" t="n">
        <f aca="false">IF($C45=0,"",F45/$C45)</f>
        <v>0.6875</v>
      </c>
      <c r="S45" s="28" t="n">
        <f aca="false">IF($C45=0,"",G45/$C45)</f>
        <v>0.53125</v>
      </c>
      <c r="T45" s="28" t="n">
        <f aca="false">IF($C45=0,"",H45/$C45)</f>
        <v>0.40625</v>
      </c>
      <c r="U45" s="28" t="n">
        <f aca="false">IF($C45=0,"",I45/$C45)</f>
        <v>0.34375</v>
      </c>
      <c r="V45" s="29" t="n">
        <f aca="false">IF($C45=0,"",K45/$C45)</f>
        <v>0.03125</v>
      </c>
      <c r="W45" s="29" t="n">
        <f aca="false">IF($C45=0,"",M45/$C45)</f>
        <v>-0.000149999999999997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29</v>
      </c>
      <c r="D46" s="26" t="n">
        <v>8</v>
      </c>
      <c r="E46" s="26" t="n">
        <v>8</v>
      </c>
      <c r="F46" s="26" t="n">
        <v>11</v>
      </c>
      <c r="G46" s="26" t="n">
        <v>10</v>
      </c>
      <c r="H46" s="26" t="n">
        <v>8</v>
      </c>
      <c r="I46" s="26" t="n">
        <v>8</v>
      </c>
      <c r="J46" s="26" t="n">
        <v>0</v>
      </c>
      <c r="K46" s="27" t="n">
        <v>-5</v>
      </c>
      <c r="L46" s="27" t="n">
        <v>1.1651</v>
      </c>
      <c r="M46" s="19" t="n">
        <f aca="false">K46-L46</f>
        <v>-6.1651</v>
      </c>
      <c r="N46" s="26" t="n">
        <v>2</v>
      </c>
      <c r="O46" s="26" t="n">
        <v>7</v>
      </c>
      <c r="P46" s="28" t="n">
        <f aca="false">IF($C46=0,"",D46/$C46)</f>
        <v>0.275862068965517</v>
      </c>
      <c r="Q46" s="28" t="n">
        <f aca="false">IF($C46=0,"",E46/$C46)</f>
        <v>0.275862068965517</v>
      </c>
      <c r="R46" s="28" t="n">
        <f aca="false">IF($C46=0,"",F46/$C46)</f>
        <v>0.379310344827586</v>
      </c>
      <c r="S46" s="28" t="n">
        <f aca="false">IF($C46=0,"",G46/$C46)</f>
        <v>0.344827586206897</v>
      </c>
      <c r="T46" s="28" t="n">
        <f aca="false">IF($C46=0,"",H46/$C46)</f>
        <v>0.275862068965517</v>
      </c>
      <c r="U46" s="28" t="n">
        <f aca="false">IF($C46=0,"",I46/$C46)</f>
        <v>0.275862068965517</v>
      </c>
      <c r="V46" s="29" t="n">
        <f aca="false">IF($C46=0,"",K46/$C46)</f>
        <v>-0.172413793103448</v>
      </c>
      <c r="W46" s="29" t="n">
        <f aca="false">IF($C46=0,"",M46/$C46)</f>
        <v>-0.212589655172414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22</v>
      </c>
      <c r="D47" s="26" t="n">
        <v>10</v>
      </c>
      <c r="E47" s="26" t="n">
        <v>10</v>
      </c>
      <c r="F47" s="26" t="n">
        <v>17</v>
      </c>
      <c r="G47" s="26" t="n">
        <v>15</v>
      </c>
      <c r="H47" s="26" t="n">
        <v>11</v>
      </c>
      <c r="I47" s="26" t="n">
        <v>10</v>
      </c>
      <c r="J47" s="26" t="n">
        <v>0</v>
      </c>
      <c r="K47" s="27" t="n">
        <v>8</v>
      </c>
      <c r="L47" s="27" t="n">
        <v>0.6206</v>
      </c>
      <c r="M47" s="19" t="n">
        <f aca="false">K47-L47</f>
        <v>7.3794</v>
      </c>
      <c r="N47" s="26" t="n">
        <v>3</v>
      </c>
      <c r="O47" s="26" t="n">
        <v>4</v>
      </c>
      <c r="P47" s="28" t="n">
        <f aca="false">IF($C47=0,"",D47/$C47)</f>
        <v>0.454545454545455</v>
      </c>
      <c r="Q47" s="28" t="n">
        <f aca="false">IF($C47=0,"",E47/$C47)</f>
        <v>0.454545454545455</v>
      </c>
      <c r="R47" s="28" t="n">
        <f aca="false">IF($C47=0,"",F47/$C47)</f>
        <v>0.772727272727273</v>
      </c>
      <c r="S47" s="28" t="n">
        <f aca="false">IF($C47=0,"",G47/$C47)</f>
        <v>0.681818181818182</v>
      </c>
      <c r="T47" s="28" t="n">
        <f aca="false">IF($C47=0,"",H47/$C47)</f>
        <v>0.5</v>
      </c>
      <c r="U47" s="28" t="n">
        <f aca="false">IF($C47=0,"",I47/$C47)</f>
        <v>0.454545454545455</v>
      </c>
      <c r="V47" s="29" t="n">
        <f aca="false">IF($C47=0,"",K47/$C47)</f>
        <v>0.363636363636364</v>
      </c>
      <c r="W47" s="29" t="n">
        <f aca="false">IF($C47=0,"",M47/$C47)</f>
        <v>0.335427272727273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27</v>
      </c>
      <c r="D48" s="26" t="n">
        <v>11</v>
      </c>
      <c r="E48" s="26" t="n">
        <v>11</v>
      </c>
      <c r="F48" s="26" t="n">
        <v>21</v>
      </c>
      <c r="G48" s="26" t="n">
        <v>18</v>
      </c>
      <c r="H48" s="26" t="n">
        <v>14</v>
      </c>
      <c r="I48" s="26" t="n">
        <v>11</v>
      </c>
      <c r="J48" s="26" t="n">
        <v>0</v>
      </c>
      <c r="K48" s="27" t="n">
        <v>6</v>
      </c>
      <c r="L48" s="27" t="n">
        <v>0.3789</v>
      </c>
      <c r="M48" s="19" t="n">
        <f aca="false">K48-L48</f>
        <v>5.6211</v>
      </c>
      <c r="N48" s="26" t="n">
        <v>2</v>
      </c>
      <c r="O48" s="26" t="n">
        <v>3</v>
      </c>
      <c r="P48" s="28" t="n">
        <f aca="false">IF($C48=0,"",D48/$C48)</f>
        <v>0.407407407407407</v>
      </c>
      <c r="Q48" s="28" t="n">
        <f aca="false">IF($C48=0,"",E48/$C48)</f>
        <v>0.407407407407407</v>
      </c>
      <c r="R48" s="28" t="n">
        <f aca="false">IF($C48=0,"",F48/$C48)</f>
        <v>0.777777777777778</v>
      </c>
      <c r="S48" s="28" t="n">
        <f aca="false">IF($C48=0,"",G48/$C48)</f>
        <v>0.666666666666667</v>
      </c>
      <c r="T48" s="28" t="n">
        <f aca="false">IF($C48=0,"",H48/$C48)</f>
        <v>0.518518518518519</v>
      </c>
      <c r="U48" s="28" t="n">
        <f aca="false">IF($C48=0,"",I48/$C48)</f>
        <v>0.407407407407407</v>
      </c>
      <c r="V48" s="29" t="n">
        <f aca="false">IF($C48=0,"",K48/$C48)</f>
        <v>0.222222222222222</v>
      </c>
      <c r="W48" s="29" t="n">
        <f aca="false">IF($C48=0,"",M48/$C48)</f>
        <v>0.208188888888889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31</v>
      </c>
      <c r="D49" s="26" t="n">
        <v>11</v>
      </c>
      <c r="E49" s="26" t="n">
        <v>11</v>
      </c>
      <c r="F49" s="26" t="n">
        <v>17</v>
      </c>
      <c r="G49" s="26" t="n">
        <v>14</v>
      </c>
      <c r="H49" s="26" t="n">
        <v>13</v>
      </c>
      <c r="I49" s="26" t="n">
        <v>11</v>
      </c>
      <c r="J49" s="26" t="n">
        <v>0</v>
      </c>
      <c r="K49" s="27" t="n">
        <v>2</v>
      </c>
      <c r="L49" s="27" t="n">
        <v>0.6601</v>
      </c>
      <c r="M49" s="19" t="n">
        <f aca="false">K49-L49</f>
        <v>1.3399</v>
      </c>
      <c r="N49" s="26" t="n">
        <v>3</v>
      </c>
      <c r="O49" s="26" t="n">
        <v>8</v>
      </c>
      <c r="P49" s="28" t="n">
        <f aca="false">IF($C49=0,"",D49/$C49)</f>
        <v>0.354838709677419</v>
      </c>
      <c r="Q49" s="28" t="n">
        <f aca="false">IF($C49=0,"",E49/$C49)</f>
        <v>0.354838709677419</v>
      </c>
      <c r="R49" s="28" t="n">
        <f aca="false">IF($C49=0,"",F49/$C49)</f>
        <v>0.548387096774194</v>
      </c>
      <c r="S49" s="28" t="n">
        <f aca="false">IF($C49=0,"",G49/$C49)</f>
        <v>0.451612903225806</v>
      </c>
      <c r="T49" s="28" t="n">
        <f aca="false">IF($C49=0,"",H49/$C49)</f>
        <v>0.419354838709677</v>
      </c>
      <c r="U49" s="28" t="n">
        <f aca="false">IF($C49=0,"",I49/$C49)</f>
        <v>0.354838709677419</v>
      </c>
      <c r="V49" s="29" t="n">
        <f aca="false">IF($C49=0,"",K49/$C49)</f>
        <v>0.0645161290322581</v>
      </c>
      <c r="W49" s="29" t="n">
        <f aca="false">IF($C49=0,"",M49/$C49)</f>
        <v>0.0432225806451613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28</v>
      </c>
      <c r="D50" s="26" t="n">
        <v>7</v>
      </c>
      <c r="E50" s="26" t="n">
        <v>7</v>
      </c>
      <c r="F50" s="26" t="n">
        <v>12</v>
      </c>
      <c r="G50" s="26" t="n">
        <v>10</v>
      </c>
      <c r="H50" s="26" t="n">
        <v>8</v>
      </c>
      <c r="I50" s="26" t="n">
        <v>7</v>
      </c>
      <c r="J50" s="26" t="n">
        <v>0</v>
      </c>
      <c r="K50" s="27" t="n">
        <v>-7</v>
      </c>
      <c r="L50" s="27" t="n">
        <v>0.5612</v>
      </c>
      <c r="M50" s="19" t="n">
        <f aca="false">K50-L50</f>
        <v>-7.5612</v>
      </c>
      <c r="N50" s="26" t="n">
        <v>3</v>
      </c>
      <c r="O50" s="26" t="n">
        <v>6</v>
      </c>
      <c r="P50" s="28" t="n">
        <f aca="false">IF($C50=0,"",D50/$C50)</f>
        <v>0.25</v>
      </c>
      <c r="Q50" s="28" t="n">
        <f aca="false">IF($C50=0,"",E50/$C50)</f>
        <v>0.25</v>
      </c>
      <c r="R50" s="28" t="n">
        <f aca="false">IF($C50=0,"",F50/$C50)</f>
        <v>0.428571428571429</v>
      </c>
      <c r="S50" s="28" t="n">
        <f aca="false">IF($C50=0,"",G50/$C50)</f>
        <v>0.357142857142857</v>
      </c>
      <c r="T50" s="28" t="n">
        <f aca="false">IF($C50=0,"",H50/$C50)</f>
        <v>0.285714285714286</v>
      </c>
      <c r="U50" s="28" t="n">
        <f aca="false">IF($C50=0,"",I50/$C50)</f>
        <v>0.25</v>
      </c>
      <c r="V50" s="29" t="n">
        <f aca="false">IF($C50=0,"",K50/$C50)</f>
        <v>-0.25</v>
      </c>
      <c r="W50" s="29" t="n">
        <f aca="false">IF($C50=0,"",M50/$C50)</f>
        <v>-0.270042857142857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28</v>
      </c>
      <c r="D51" s="26" t="n">
        <v>8</v>
      </c>
      <c r="E51" s="26" t="n">
        <v>8</v>
      </c>
      <c r="F51" s="26" t="n">
        <v>17</v>
      </c>
      <c r="G51" s="26" t="n">
        <v>15</v>
      </c>
      <c r="H51" s="26" t="n">
        <v>12</v>
      </c>
      <c r="I51" s="26" t="n">
        <v>8</v>
      </c>
      <c r="J51" s="26" t="n">
        <v>0</v>
      </c>
      <c r="K51" s="27" t="n">
        <v>-4</v>
      </c>
      <c r="L51" s="27" t="n">
        <v>0.61</v>
      </c>
      <c r="M51" s="19" t="n">
        <f aca="false">K51-L51</f>
        <v>-4.61</v>
      </c>
      <c r="N51" s="26" t="n">
        <v>2</v>
      </c>
      <c r="O51" s="26" t="n">
        <v>6</v>
      </c>
      <c r="P51" s="28" t="n">
        <f aca="false">IF($C51=0,"",D51/$C51)</f>
        <v>0.285714285714286</v>
      </c>
      <c r="Q51" s="28" t="n">
        <f aca="false">IF($C51=0,"",E51/$C51)</f>
        <v>0.285714285714286</v>
      </c>
      <c r="R51" s="28" t="n">
        <f aca="false">IF($C51=0,"",F51/$C51)</f>
        <v>0.607142857142857</v>
      </c>
      <c r="S51" s="28" t="n">
        <f aca="false">IF($C51=0,"",G51/$C51)</f>
        <v>0.535714285714286</v>
      </c>
      <c r="T51" s="28" t="n">
        <f aca="false">IF($C51=0,"",H51/$C51)</f>
        <v>0.428571428571429</v>
      </c>
      <c r="U51" s="28" t="n">
        <f aca="false">IF($C51=0,"",I51/$C51)</f>
        <v>0.285714285714286</v>
      </c>
      <c r="V51" s="29" t="n">
        <f aca="false">IF($C51=0,"",K51/$C51)</f>
        <v>-0.142857142857143</v>
      </c>
      <c r="W51" s="29" t="n">
        <f aca="false">IF($C51=0,"",M51/$C51)</f>
        <v>-0.164642857142857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28</v>
      </c>
      <c r="D52" s="26" t="n">
        <v>10</v>
      </c>
      <c r="E52" s="26" t="n">
        <v>10</v>
      </c>
      <c r="F52" s="26" t="n">
        <v>16</v>
      </c>
      <c r="G52" s="26" t="n">
        <v>12</v>
      </c>
      <c r="H52" s="26" t="n">
        <v>12</v>
      </c>
      <c r="I52" s="26" t="n">
        <v>10</v>
      </c>
      <c r="J52" s="26" t="n">
        <v>0</v>
      </c>
      <c r="K52" s="27" t="n">
        <v>2</v>
      </c>
      <c r="L52" s="27" t="n">
        <v>0.4562</v>
      </c>
      <c r="M52" s="19" t="n">
        <f aca="false">K52-L52</f>
        <v>1.5438</v>
      </c>
      <c r="N52" s="26" t="n">
        <v>2</v>
      </c>
      <c r="O52" s="26" t="n">
        <v>4</v>
      </c>
      <c r="P52" s="28" t="n">
        <f aca="false">IF($C52=0,"",D52/$C52)</f>
        <v>0.357142857142857</v>
      </c>
      <c r="Q52" s="28" t="n">
        <f aca="false">IF($C52=0,"",E52/$C52)</f>
        <v>0.357142857142857</v>
      </c>
      <c r="R52" s="28" t="n">
        <f aca="false">IF($C52=0,"",F52/$C52)</f>
        <v>0.571428571428571</v>
      </c>
      <c r="S52" s="28" t="n">
        <f aca="false">IF($C52=0,"",G52/$C52)</f>
        <v>0.428571428571429</v>
      </c>
      <c r="T52" s="28" t="n">
        <f aca="false">IF($C52=0,"",H52/$C52)</f>
        <v>0.428571428571429</v>
      </c>
      <c r="U52" s="28" t="n">
        <f aca="false">IF($C52=0,"",I52/$C52)</f>
        <v>0.357142857142857</v>
      </c>
      <c r="V52" s="29" t="n">
        <f aca="false">IF($C52=0,"",K52/$C52)</f>
        <v>0.0714285714285714</v>
      </c>
      <c r="W52" s="29" t="n">
        <f aca="false">IF($C52=0,"",M52/$C52)</f>
        <v>0.0551357142857143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7</v>
      </c>
      <c r="E53" s="26" t="n">
        <v>7</v>
      </c>
      <c r="F53" s="26" t="n">
        <v>12</v>
      </c>
      <c r="G53" s="26" t="n">
        <v>11</v>
      </c>
      <c r="H53" s="26" t="n">
        <v>7</v>
      </c>
      <c r="I53" s="26" t="n">
        <v>7</v>
      </c>
      <c r="J53" s="26" t="n">
        <v>0</v>
      </c>
      <c r="K53" s="27" t="n">
        <v>0</v>
      </c>
      <c r="L53" s="27" t="n">
        <v>0.3849</v>
      </c>
      <c r="M53" s="19" t="n">
        <f aca="false">K53-L53</f>
        <v>-0.3849</v>
      </c>
      <c r="N53" s="26" t="n">
        <v>2</v>
      </c>
      <c r="O53" s="26" t="n">
        <v>4</v>
      </c>
      <c r="P53" s="28" t="n">
        <f aca="false">IF($C53=0,"",D53/$C53)</f>
        <v>0.333333333333333</v>
      </c>
      <c r="Q53" s="28" t="n">
        <f aca="false">IF($C53=0,"",E53/$C53)</f>
        <v>0.333333333333333</v>
      </c>
      <c r="R53" s="28" t="n">
        <f aca="false">IF($C53=0,"",F53/$C53)</f>
        <v>0.571428571428571</v>
      </c>
      <c r="S53" s="28" t="n">
        <f aca="false">IF($C53=0,"",G53/$C53)</f>
        <v>0.523809523809524</v>
      </c>
      <c r="T53" s="28" t="n">
        <f aca="false">IF($C53=0,"",H53/$C53)</f>
        <v>0.333333333333333</v>
      </c>
      <c r="U53" s="28" t="n">
        <f aca="false">IF($C53=0,"",I53/$C53)</f>
        <v>0.333333333333333</v>
      </c>
      <c r="V53" s="29" t="n">
        <f aca="false">IF($C53=0,"",K53/$C53)</f>
        <v>0</v>
      </c>
      <c r="W53" s="29" t="n">
        <f aca="false">IF($C53=0,"",M53/$C53)</f>
        <v>-0.0183285714285714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30</v>
      </c>
      <c r="D54" s="26" t="n">
        <v>9</v>
      </c>
      <c r="E54" s="26" t="n">
        <v>9</v>
      </c>
      <c r="F54" s="26" t="n">
        <v>17</v>
      </c>
      <c r="G54" s="26" t="n">
        <v>16</v>
      </c>
      <c r="H54" s="26" t="n">
        <v>11</v>
      </c>
      <c r="I54" s="26" t="n">
        <v>9</v>
      </c>
      <c r="J54" s="26" t="n">
        <v>0</v>
      </c>
      <c r="K54" s="27" t="n">
        <v>-3</v>
      </c>
      <c r="L54" s="27" t="n">
        <v>0.5572</v>
      </c>
      <c r="M54" s="19" t="n">
        <f aca="false">K54-L54</f>
        <v>-3.5572</v>
      </c>
      <c r="N54" s="26" t="n">
        <v>3</v>
      </c>
      <c r="O54" s="26" t="n">
        <v>6</v>
      </c>
      <c r="P54" s="28" t="n">
        <f aca="false">IF($C54=0,"",D54/$C54)</f>
        <v>0.3</v>
      </c>
      <c r="Q54" s="28" t="n">
        <f aca="false">IF($C54=0,"",E54/$C54)</f>
        <v>0.3</v>
      </c>
      <c r="R54" s="28" t="n">
        <f aca="false">IF($C54=0,"",F54/$C54)</f>
        <v>0.566666666666667</v>
      </c>
      <c r="S54" s="28" t="n">
        <f aca="false">IF($C54=0,"",G54/$C54)</f>
        <v>0.533333333333333</v>
      </c>
      <c r="T54" s="28" t="n">
        <f aca="false">IF($C54=0,"",H54/$C54)</f>
        <v>0.366666666666667</v>
      </c>
      <c r="U54" s="28" t="n">
        <f aca="false">IF($C54=0,"",I54/$C54)</f>
        <v>0.3</v>
      </c>
      <c r="V54" s="29" t="n">
        <f aca="false">IF($C54=0,"",K54/$C54)</f>
        <v>-0.1</v>
      </c>
      <c r="W54" s="29" t="n">
        <f aca="false">IF($C54=0,"",M54/$C54)</f>
        <v>-0.118573333333333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38</v>
      </c>
      <c r="D55" s="26" t="n">
        <v>15</v>
      </c>
      <c r="E55" s="26" t="n">
        <v>15</v>
      </c>
      <c r="F55" s="26" t="n">
        <v>21</v>
      </c>
      <c r="G55" s="26" t="n">
        <v>19</v>
      </c>
      <c r="H55" s="26" t="n">
        <v>16</v>
      </c>
      <c r="I55" s="26" t="n">
        <v>15</v>
      </c>
      <c r="J55" s="26" t="n">
        <v>0</v>
      </c>
      <c r="K55" s="27" t="n">
        <v>7</v>
      </c>
      <c r="L55" s="27" t="n">
        <v>0.7447</v>
      </c>
      <c r="M55" s="19" t="n">
        <f aca="false">K55-L55</f>
        <v>6.2553</v>
      </c>
      <c r="N55" s="26" t="n">
        <v>4</v>
      </c>
      <c r="O55" s="26" t="n">
        <v>6</v>
      </c>
      <c r="P55" s="28" t="n">
        <f aca="false">IF($C55=0,"",D55/$C55)</f>
        <v>0.394736842105263</v>
      </c>
      <c r="Q55" s="28" t="n">
        <f aca="false">IF($C55=0,"",E55/$C55)</f>
        <v>0.394736842105263</v>
      </c>
      <c r="R55" s="28" t="n">
        <f aca="false">IF($C55=0,"",F55/$C55)</f>
        <v>0.552631578947369</v>
      </c>
      <c r="S55" s="28" t="n">
        <f aca="false">IF($C55=0,"",G55/$C55)</f>
        <v>0.5</v>
      </c>
      <c r="T55" s="28" t="n">
        <f aca="false">IF($C55=0,"",H55/$C55)</f>
        <v>0.421052631578947</v>
      </c>
      <c r="U55" s="28" t="n">
        <f aca="false">IF($C55=0,"",I55/$C55)</f>
        <v>0.394736842105263</v>
      </c>
      <c r="V55" s="29" t="n">
        <f aca="false">IF($C55=0,"",K55/$C55)</f>
        <v>0.184210526315789</v>
      </c>
      <c r="W55" s="29" t="n">
        <f aca="false">IF($C55=0,"",M55/$C55)</f>
        <v>0.164613157894737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10</v>
      </c>
      <c r="E56" s="26" t="n">
        <v>10</v>
      </c>
      <c r="F56" s="26" t="n">
        <v>16</v>
      </c>
      <c r="G56" s="26" t="n">
        <v>12</v>
      </c>
      <c r="H56" s="26" t="n">
        <v>10</v>
      </c>
      <c r="I56" s="26" t="n">
        <v>10</v>
      </c>
      <c r="J56" s="26" t="n">
        <v>0</v>
      </c>
      <c r="K56" s="27" t="n">
        <v>0</v>
      </c>
      <c r="L56" s="27" t="n">
        <v>0.6679</v>
      </c>
      <c r="M56" s="19" t="n">
        <f aca="false">K56-L56</f>
        <v>-0.6679</v>
      </c>
      <c r="N56" s="26" t="n">
        <v>4</v>
      </c>
      <c r="O56" s="26" t="n">
        <v>5</v>
      </c>
      <c r="P56" s="28" t="n">
        <f aca="false">IF($C56=0,"",D56/$C56)</f>
        <v>0.333333333333333</v>
      </c>
      <c r="Q56" s="28" t="n">
        <f aca="false">IF($C56=0,"",E56/$C56)</f>
        <v>0.333333333333333</v>
      </c>
      <c r="R56" s="28" t="n">
        <f aca="false">IF($C56=0,"",F56/$C56)</f>
        <v>0.533333333333333</v>
      </c>
      <c r="S56" s="28" t="n">
        <f aca="false">IF($C56=0,"",G56/$C56)</f>
        <v>0.4</v>
      </c>
      <c r="T56" s="28" t="n">
        <f aca="false">IF($C56=0,"",H56/$C56)</f>
        <v>0.333333333333333</v>
      </c>
      <c r="U56" s="28" t="n">
        <f aca="false">IF($C56=0,"",I56/$C56)</f>
        <v>0.333333333333333</v>
      </c>
      <c r="V56" s="29" t="n">
        <f aca="false">IF($C56=0,"",K56/$C56)</f>
        <v>0</v>
      </c>
      <c r="W56" s="29" t="n">
        <f aca="false">IF($C56=0,"",M56/$C56)</f>
        <v>-0.0222633333333333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344</v>
      </c>
      <c r="D57" s="30" t="n">
        <f aca="false">SUM(D45:D56)</f>
        <v>117</v>
      </c>
      <c r="E57" s="30" t="n">
        <f aca="false">SUM(E45:E56)</f>
        <v>117</v>
      </c>
      <c r="F57" s="30" t="n">
        <f aca="false">SUM(F45:F56)</f>
        <v>199</v>
      </c>
      <c r="G57" s="30" t="n">
        <f aca="false">SUM(G45:G56)</f>
        <v>169</v>
      </c>
      <c r="H57" s="30" t="n">
        <f aca="false">SUM(H45:H56)</f>
        <v>135</v>
      </c>
      <c r="I57" s="30" t="n">
        <f aca="false">SUM(I45:I56)</f>
        <v>117</v>
      </c>
      <c r="J57" s="30" t="n">
        <f aca="false">SUM(J45:J56)</f>
        <v>0</v>
      </c>
      <c r="K57" s="31" t="n">
        <f aca="false">SUM(K45:K56)</f>
        <v>7</v>
      </c>
      <c r="L57" s="31" t="n">
        <f aca="false">SUM(L45:L56)</f>
        <v>7.8116</v>
      </c>
      <c r="M57" s="31" t="n">
        <f aca="false">K57-L57</f>
        <v>-0.8116</v>
      </c>
      <c r="N57" s="32" t="n">
        <v>4</v>
      </c>
      <c r="O57" s="32" t="n">
        <v>8</v>
      </c>
      <c r="P57" s="33" t="n">
        <f aca="false">IF($C57=0,"",D57/$C57)</f>
        <v>0.340116279069767</v>
      </c>
      <c r="Q57" s="33" t="n">
        <f aca="false">IF($C57=0,"",E57/$C57)</f>
        <v>0.340116279069767</v>
      </c>
      <c r="R57" s="33" t="n">
        <f aca="false">IF($C57=0,"",F57/$C57)</f>
        <v>0.578488372093023</v>
      </c>
      <c r="S57" s="33" t="n">
        <f aca="false">IF($C57=0,"",G57/$C57)</f>
        <v>0.491279069767442</v>
      </c>
      <c r="T57" s="33" t="n">
        <f aca="false">IF($C57=0,"",H57/$C57)</f>
        <v>0.392441860465116</v>
      </c>
      <c r="U57" s="33" t="n">
        <f aca="false">IF($C57=0,"",I57/$C57)</f>
        <v>0.340116279069767</v>
      </c>
      <c r="V57" s="34" t="n">
        <f aca="false">IF($C57=0,"",K57/$C57)</f>
        <v>0.0203488372093023</v>
      </c>
      <c r="W57" s="34" t="n">
        <f aca="false">IF($C57=0,"",M57/$C57)</f>
        <v>-0.0023593023255814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28</v>
      </c>
      <c r="D58" s="26" t="n">
        <v>11</v>
      </c>
      <c r="E58" s="26" t="n">
        <v>11</v>
      </c>
      <c r="F58" s="26" t="n">
        <v>19</v>
      </c>
      <c r="G58" s="26" t="n">
        <v>15</v>
      </c>
      <c r="H58" s="26" t="n">
        <v>11</v>
      </c>
      <c r="I58" s="26" t="n">
        <v>11</v>
      </c>
      <c r="J58" s="26" t="n">
        <v>0</v>
      </c>
      <c r="K58" s="27" t="n">
        <v>5</v>
      </c>
      <c r="L58" s="27" t="n">
        <v>0.7523</v>
      </c>
      <c r="M58" s="19" t="n">
        <f aca="false">K58-L58</f>
        <v>4.2477</v>
      </c>
      <c r="N58" s="26" t="n">
        <v>2</v>
      </c>
      <c r="O58" s="26" t="n">
        <v>4</v>
      </c>
      <c r="P58" s="28" t="n">
        <f aca="false">IF($C58=0,"",D58/$C58)</f>
        <v>0.392857142857143</v>
      </c>
      <c r="Q58" s="28" t="n">
        <f aca="false">IF($C58=0,"",E58/$C58)</f>
        <v>0.392857142857143</v>
      </c>
      <c r="R58" s="28" t="n">
        <f aca="false">IF($C58=0,"",F58/$C58)</f>
        <v>0.678571428571429</v>
      </c>
      <c r="S58" s="28" t="n">
        <f aca="false">IF($C58=0,"",G58/$C58)</f>
        <v>0.535714285714286</v>
      </c>
      <c r="T58" s="28" t="n">
        <f aca="false">IF($C58=0,"",H58/$C58)</f>
        <v>0.392857142857143</v>
      </c>
      <c r="U58" s="28" t="n">
        <f aca="false">IF($C58=0,"",I58/$C58)</f>
        <v>0.392857142857143</v>
      </c>
      <c r="V58" s="29" t="n">
        <f aca="false">IF($C58=0,"",K58/$C58)</f>
        <v>0.178571428571429</v>
      </c>
      <c r="W58" s="29" t="n">
        <f aca="false">IF($C58=0,"",M58/$C58)</f>
        <v>0.151703571428571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28</v>
      </c>
      <c r="D59" s="26" t="n">
        <v>13</v>
      </c>
      <c r="E59" s="26" t="n">
        <v>13</v>
      </c>
      <c r="F59" s="26" t="n">
        <v>19</v>
      </c>
      <c r="G59" s="26" t="n">
        <v>18</v>
      </c>
      <c r="H59" s="26" t="n">
        <v>17</v>
      </c>
      <c r="I59" s="26" t="n">
        <v>13</v>
      </c>
      <c r="J59" s="26" t="n">
        <v>0</v>
      </c>
      <c r="K59" s="27" t="n">
        <v>11</v>
      </c>
      <c r="L59" s="27" t="n">
        <v>0.4712</v>
      </c>
      <c r="M59" s="19" t="n">
        <f aca="false">K59-L59</f>
        <v>10.5288</v>
      </c>
      <c r="N59" s="26" t="n">
        <v>3</v>
      </c>
      <c r="O59" s="26" t="n">
        <v>5</v>
      </c>
      <c r="P59" s="28" t="n">
        <f aca="false">IF($C59=0,"",D59/$C59)</f>
        <v>0.464285714285714</v>
      </c>
      <c r="Q59" s="28" t="n">
        <f aca="false">IF($C59=0,"",E59/$C59)</f>
        <v>0.464285714285714</v>
      </c>
      <c r="R59" s="28" t="n">
        <f aca="false">IF($C59=0,"",F59/$C59)</f>
        <v>0.678571428571429</v>
      </c>
      <c r="S59" s="28" t="n">
        <f aca="false">IF($C59=0,"",G59/$C59)</f>
        <v>0.642857142857143</v>
      </c>
      <c r="T59" s="28" t="n">
        <f aca="false">IF($C59=0,"",H59/$C59)</f>
        <v>0.607142857142857</v>
      </c>
      <c r="U59" s="28" t="n">
        <f aca="false">IF($C59=0,"",I59/$C59)</f>
        <v>0.464285714285714</v>
      </c>
      <c r="V59" s="29" t="n">
        <f aca="false">IF($C59=0,"",K59/$C59)</f>
        <v>0.392857142857143</v>
      </c>
      <c r="W59" s="29" t="n">
        <f aca="false">IF($C59=0,"",M59/$C59)</f>
        <v>0.376028571428571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31</v>
      </c>
      <c r="D60" s="26" t="n">
        <v>14</v>
      </c>
      <c r="E60" s="26" t="n">
        <v>14</v>
      </c>
      <c r="F60" s="26" t="n">
        <v>25</v>
      </c>
      <c r="G60" s="26" t="n">
        <v>19</v>
      </c>
      <c r="H60" s="26" t="n">
        <v>16</v>
      </c>
      <c r="I60" s="26" t="n">
        <v>14</v>
      </c>
      <c r="J60" s="26" t="n">
        <v>0</v>
      </c>
      <c r="K60" s="27" t="n">
        <v>11</v>
      </c>
      <c r="L60" s="27" t="n">
        <v>0.5249</v>
      </c>
      <c r="M60" s="19" t="n">
        <f aca="false">K60-L60</f>
        <v>10.4751</v>
      </c>
      <c r="N60" s="26" t="n">
        <v>4</v>
      </c>
      <c r="O60" s="26" t="n">
        <v>4</v>
      </c>
      <c r="P60" s="28" t="n">
        <f aca="false">IF($C60=0,"",D60/$C60)</f>
        <v>0.451612903225806</v>
      </c>
      <c r="Q60" s="28" t="n">
        <f aca="false">IF($C60=0,"",E60/$C60)</f>
        <v>0.451612903225806</v>
      </c>
      <c r="R60" s="28" t="n">
        <f aca="false">IF($C60=0,"",F60/$C60)</f>
        <v>0.806451612903226</v>
      </c>
      <c r="S60" s="28" t="n">
        <f aca="false">IF($C60=0,"",G60/$C60)</f>
        <v>0.612903225806452</v>
      </c>
      <c r="T60" s="28" t="n">
        <f aca="false">IF($C60=0,"",H60/$C60)</f>
        <v>0.516129032258065</v>
      </c>
      <c r="U60" s="28" t="n">
        <f aca="false">IF($C60=0,"",I60/$C60)</f>
        <v>0.451612903225806</v>
      </c>
      <c r="V60" s="29" t="n">
        <f aca="false">IF($C60=0,"",K60/$C60)</f>
        <v>0.354838709677419</v>
      </c>
      <c r="W60" s="29" t="n">
        <f aca="false">IF($C60=0,"",M60/$C60)</f>
        <v>0.337906451612903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33</v>
      </c>
      <c r="D61" s="26" t="n">
        <v>17</v>
      </c>
      <c r="E61" s="26" t="n">
        <v>17</v>
      </c>
      <c r="F61" s="26" t="n">
        <v>20</v>
      </c>
      <c r="G61" s="26" t="n">
        <v>18</v>
      </c>
      <c r="H61" s="26" t="n">
        <v>18</v>
      </c>
      <c r="I61" s="26" t="n">
        <v>17</v>
      </c>
      <c r="J61" s="26" t="n">
        <v>0</v>
      </c>
      <c r="K61" s="27" t="n">
        <v>18</v>
      </c>
      <c r="L61" s="27" t="n">
        <v>0.3395</v>
      </c>
      <c r="M61" s="19" t="n">
        <f aca="false">K61-L61</f>
        <v>17.6605</v>
      </c>
      <c r="N61" s="26" t="n">
        <v>4</v>
      </c>
      <c r="O61" s="26" t="n">
        <v>4</v>
      </c>
      <c r="P61" s="28" t="n">
        <f aca="false">IF($C61=0,"",D61/$C61)</f>
        <v>0.515151515151515</v>
      </c>
      <c r="Q61" s="28" t="n">
        <f aca="false">IF($C61=0,"",E61/$C61)</f>
        <v>0.515151515151515</v>
      </c>
      <c r="R61" s="28" t="n">
        <f aca="false">IF($C61=0,"",F61/$C61)</f>
        <v>0.606060606060606</v>
      </c>
      <c r="S61" s="28" t="n">
        <f aca="false">IF($C61=0,"",G61/$C61)</f>
        <v>0.545454545454545</v>
      </c>
      <c r="T61" s="28" t="n">
        <f aca="false">IF($C61=0,"",H61/$C61)</f>
        <v>0.545454545454545</v>
      </c>
      <c r="U61" s="28" t="n">
        <f aca="false">IF($C61=0,"",I61/$C61)</f>
        <v>0.515151515151515</v>
      </c>
      <c r="V61" s="29" t="n">
        <f aca="false">IF($C61=0,"",K61/$C61)</f>
        <v>0.545454545454545</v>
      </c>
      <c r="W61" s="29" t="n">
        <f aca="false">IF($C61=0,"",M61/$C61)</f>
        <v>0.535166666666667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27</v>
      </c>
      <c r="D62" s="26" t="n">
        <v>6</v>
      </c>
      <c r="E62" s="26" t="n">
        <v>6</v>
      </c>
      <c r="F62" s="26" t="n">
        <v>15</v>
      </c>
      <c r="G62" s="26" t="n">
        <v>12</v>
      </c>
      <c r="H62" s="26" t="n">
        <v>8</v>
      </c>
      <c r="I62" s="26" t="n">
        <v>6</v>
      </c>
      <c r="J62" s="26" t="n">
        <v>0</v>
      </c>
      <c r="K62" s="27" t="n">
        <v>-9</v>
      </c>
      <c r="L62" s="27" t="n">
        <v>0.3199</v>
      </c>
      <c r="M62" s="19" t="n">
        <f aca="false">K62-L62</f>
        <v>-9.3199</v>
      </c>
      <c r="N62" s="26" t="n">
        <v>2</v>
      </c>
      <c r="O62" s="26" t="n">
        <v>5</v>
      </c>
      <c r="P62" s="28" t="n">
        <f aca="false">IF($C62=0,"",D62/$C62)</f>
        <v>0.222222222222222</v>
      </c>
      <c r="Q62" s="28" t="n">
        <f aca="false">IF($C62=0,"",E62/$C62)</f>
        <v>0.222222222222222</v>
      </c>
      <c r="R62" s="28" t="n">
        <f aca="false">IF($C62=0,"",F62/$C62)</f>
        <v>0.555555555555556</v>
      </c>
      <c r="S62" s="28" t="n">
        <f aca="false">IF($C62=0,"",G62/$C62)</f>
        <v>0.444444444444444</v>
      </c>
      <c r="T62" s="28" t="n">
        <f aca="false">IF($C62=0,"",H62/$C62)</f>
        <v>0.296296296296296</v>
      </c>
      <c r="U62" s="28" t="n">
        <f aca="false">IF($C62=0,"",I62/$C62)</f>
        <v>0.222222222222222</v>
      </c>
      <c r="V62" s="29" t="n">
        <f aca="false">IF($C62=0,"",K62/$C62)</f>
        <v>-0.333333333333333</v>
      </c>
      <c r="W62" s="29" t="n">
        <f aca="false">IF($C62=0,"",M62/$C62)</f>
        <v>-0.345181481481482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28</v>
      </c>
      <c r="D63" s="26" t="n">
        <v>6</v>
      </c>
      <c r="E63" s="26" t="n">
        <v>6</v>
      </c>
      <c r="F63" s="26" t="n">
        <v>13</v>
      </c>
      <c r="G63" s="26" t="n">
        <v>9</v>
      </c>
      <c r="H63" s="26" t="n">
        <v>7</v>
      </c>
      <c r="I63" s="26" t="n">
        <v>6</v>
      </c>
      <c r="J63" s="26" t="n">
        <v>0</v>
      </c>
      <c r="K63" s="27" t="n">
        <v>-10</v>
      </c>
      <c r="L63" s="27" t="n">
        <v>0.4096</v>
      </c>
      <c r="M63" s="19" t="n">
        <f aca="false">K63-L63</f>
        <v>-10.4096</v>
      </c>
      <c r="N63" s="26" t="n">
        <v>2</v>
      </c>
      <c r="O63" s="26" t="n">
        <v>7</v>
      </c>
      <c r="P63" s="28" t="n">
        <f aca="false">IF($C63=0,"",D63/$C63)</f>
        <v>0.214285714285714</v>
      </c>
      <c r="Q63" s="28" t="n">
        <f aca="false">IF($C63=0,"",E63/$C63)</f>
        <v>0.214285714285714</v>
      </c>
      <c r="R63" s="28" t="n">
        <f aca="false">IF($C63=0,"",F63/$C63)</f>
        <v>0.464285714285714</v>
      </c>
      <c r="S63" s="28" t="n">
        <f aca="false">IF($C63=0,"",G63/$C63)</f>
        <v>0.321428571428571</v>
      </c>
      <c r="T63" s="28" t="n">
        <f aca="false">IF($C63=0,"",H63/$C63)</f>
        <v>0.25</v>
      </c>
      <c r="U63" s="28" t="n">
        <f aca="false">IF($C63=0,"",I63/$C63)</f>
        <v>0.214285714285714</v>
      </c>
      <c r="V63" s="29" t="n">
        <f aca="false">IF($C63=0,"",K63/$C63)</f>
        <v>-0.357142857142857</v>
      </c>
      <c r="W63" s="29" t="n">
        <f aca="false">IF($C63=0,"",M63/$C63)</f>
        <v>-0.371771428571429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28</v>
      </c>
      <c r="D64" s="26" t="n">
        <v>9</v>
      </c>
      <c r="E64" s="26" t="n">
        <v>9</v>
      </c>
      <c r="F64" s="26" t="n">
        <v>18</v>
      </c>
      <c r="G64" s="26" t="n">
        <v>12</v>
      </c>
      <c r="H64" s="26" t="n">
        <v>11</v>
      </c>
      <c r="I64" s="26" t="n">
        <v>9</v>
      </c>
      <c r="J64" s="26" t="n">
        <v>0</v>
      </c>
      <c r="K64" s="27" t="n">
        <v>-1</v>
      </c>
      <c r="L64" s="27" t="n">
        <v>0.49</v>
      </c>
      <c r="M64" s="19" t="n">
        <f aca="false">K64-L64</f>
        <v>-1.49</v>
      </c>
      <c r="N64" s="26" t="n">
        <v>2</v>
      </c>
      <c r="O64" s="26" t="n">
        <v>7</v>
      </c>
      <c r="P64" s="28" t="n">
        <f aca="false">IF($C64=0,"",D64/$C64)</f>
        <v>0.321428571428571</v>
      </c>
      <c r="Q64" s="28" t="n">
        <f aca="false">IF($C64=0,"",E64/$C64)</f>
        <v>0.321428571428571</v>
      </c>
      <c r="R64" s="28" t="n">
        <f aca="false">IF($C64=0,"",F64/$C64)</f>
        <v>0.642857142857143</v>
      </c>
      <c r="S64" s="28" t="n">
        <f aca="false">IF($C64=0,"",G64/$C64)</f>
        <v>0.428571428571429</v>
      </c>
      <c r="T64" s="28" t="n">
        <f aca="false">IF($C64=0,"",H64/$C64)</f>
        <v>0.392857142857143</v>
      </c>
      <c r="U64" s="28" t="n">
        <f aca="false">IF($C64=0,"",I64/$C64)</f>
        <v>0.321428571428571</v>
      </c>
      <c r="V64" s="29" t="n">
        <f aca="false">IF($C64=0,"",K64/$C64)</f>
        <v>-0.0357142857142857</v>
      </c>
      <c r="W64" s="29" t="n">
        <f aca="false">IF($C64=0,"",M64/$C64)</f>
        <v>-0.0532142857142857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27</v>
      </c>
      <c r="D65" s="26" t="n">
        <v>14</v>
      </c>
      <c r="E65" s="26" t="n">
        <v>14</v>
      </c>
      <c r="F65" s="26" t="n">
        <v>21</v>
      </c>
      <c r="G65" s="26" t="n">
        <v>21</v>
      </c>
      <c r="H65" s="26" t="n">
        <v>17</v>
      </c>
      <c r="I65" s="26" t="n">
        <v>14</v>
      </c>
      <c r="J65" s="26" t="n">
        <v>0</v>
      </c>
      <c r="K65" s="27" t="n">
        <v>15</v>
      </c>
      <c r="L65" s="27" t="n">
        <v>0.6328</v>
      </c>
      <c r="M65" s="19" t="n">
        <f aca="false">K65-L65</f>
        <v>14.3672</v>
      </c>
      <c r="N65" s="26" t="n">
        <v>4</v>
      </c>
      <c r="O65" s="26" t="n">
        <v>4</v>
      </c>
      <c r="P65" s="28" t="n">
        <f aca="false">IF($C65=0,"",D65/$C65)</f>
        <v>0.518518518518519</v>
      </c>
      <c r="Q65" s="28" t="n">
        <f aca="false">IF($C65=0,"",E65/$C65)</f>
        <v>0.518518518518519</v>
      </c>
      <c r="R65" s="28" t="n">
        <f aca="false">IF($C65=0,"",F65/$C65)</f>
        <v>0.777777777777778</v>
      </c>
      <c r="S65" s="28" t="n">
        <f aca="false">IF($C65=0,"",G65/$C65)</f>
        <v>0.777777777777778</v>
      </c>
      <c r="T65" s="28" t="n">
        <f aca="false">IF($C65=0,"",H65/$C65)</f>
        <v>0.62962962962963</v>
      </c>
      <c r="U65" s="28" t="n">
        <f aca="false">IF($C65=0,"",I65/$C65)</f>
        <v>0.518518518518519</v>
      </c>
      <c r="V65" s="29" t="n">
        <f aca="false">IF($C65=0,"",K65/$C65)</f>
        <v>0.555555555555556</v>
      </c>
      <c r="W65" s="29" t="n">
        <f aca="false">IF($C65=0,"",M65/$C65)</f>
        <v>0.532118518518519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30</v>
      </c>
      <c r="D66" s="26" t="n">
        <v>12</v>
      </c>
      <c r="E66" s="26" t="n">
        <v>12</v>
      </c>
      <c r="F66" s="26" t="n">
        <v>17</v>
      </c>
      <c r="G66" s="26" t="n">
        <v>14</v>
      </c>
      <c r="H66" s="26" t="n">
        <v>14</v>
      </c>
      <c r="I66" s="26" t="n">
        <v>12</v>
      </c>
      <c r="J66" s="26" t="n">
        <v>0</v>
      </c>
      <c r="K66" s="27" t="n">
        <v>6</v>
      </c>
      <c r="L66" s="27" t="n">
        <v>0.5839</v>
      </c>
      <c r="M66" s="19" t="n">
        <f aca="false">K66-L66</f>
        <v>5.4161</v>
      </c>
      <c r="N66" s="26" t="n">
        <v>4</v>
      </c>
      <c r="O66" s="26" t="n">
        <v>5</v>
      </c>
      <c r="P66" s="28" t="n">
        <f aca="false">IF($C66=0,"",D66/$C66)</f>
        <v>0.4</v>
      </c>
      <c r="Q66" s="28" t="n">
        <f aca="false">IF($C66=0,"",E66/$C66)</f>
        <v>0.4</v>
      </c>
      <c r="R66" s="28" t="n">
        <f aca="false">IF($C66=0,"",F66/$C66)</f>
        <v>0.566666666666667</v>
      </c>
      <c r="S66" s="28" t="n">
        <f aca="false">IF($C66=0,"",G66/$C66)</f>
        <v>0.466666666666667</v>
      </c>
      <c r="T66" s="28" t="n">
        <f aca="false">IF($C66=0,"",H66/$C66)</f>
        <v>0.466666666666667</v>
      </c>
      <c r="U66" s="28" t="n">
        <f aca="false">IF($C66=0,"",I66/$C66)</f>
        <v>0.4</v>
      </c>
      <c r="V66" s="29" t="n">
        <f aca="false">IF($C66=0,"",K66/$C66)</f>
        <v>0.2</v>
      </c>
      <c r="W66" s="29" t="n">
        <f aca="false">IF($C66=0,"",M66/$C66)</f>
        <v>0.180536666666667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29</v>
      </c>
      <c r="D67" s="26" t="n">
        <v>12</v>
      </c>
      <c r="E67" s="26" t="n">
        <v>12</v>
      </c>
      <c r="F67" s="26" t="n">
        <v>15</v>
      </c>
      <c r="G67" s="26" t="n">
        <v>14</v>
      </c>
      <c r="H67" s="26" t="n">
        <v>13</v>
      </c>
      <c r="I67" s="26" t="n">
        <v>12</v>
      </c>
      <c r="J67" s="26" t="n">
        <v>0</v>
      </c>
      <c r="K67" s="27" t="n">
        <v>7</v>
      </c>
      <c r="L67" s="27" t="n">
        <v>0.2689</v>
      </c>
      <c r="M67" s="19" t="n">
        <f aca="false">K67-L67</f>
        <v>6.7311</v>
      </c>
      <c r="N67" s="26" t="n">
        <v>3</v>
      </c>
      <c r="O67" s="26" t="n">
        <v>3</v>
      </c>
      <c r="P67" s="28" t="n">
        <f aca="false">IF($C67=0,"",D67/$C67)</f>
        <v>0.413793103448276</v>
      </c>
      <c r="Q67" s="28" t="n">
        <f aca="false">IF($C67=0,"",E67/$C67)</f>
        <v>0.413793103448276</v>
      </c>
      <c r="R67" s="28" t="n">
        <f aca="false">IF($C67=0,"",F67/$C67)</f>
        <v>0.517241379310345</v>
      </c>
      <c r="S67" s="28" t="n">
        <f aca="false">IF($C67=0,"",G67/$C67)</f>
        <v>0.482758620689655</v>
      </c>
      <c r="T67" s="28" t="n">
        <f aca="false">IF($C67=0,"",H67/$C67)</f>
        <v>0.448275862068966</v>
      </c>
      <c r="U67" s="28" t="n">
        <f aca="false">IF($C67=0,"",I67/$C67)</f>
        <v>0.413793103448276</v>
      </c>
      <c r="V67" s="29" t="n">
        <f aca="false">IF($C67=0,"",K67/$C67)</f>
        <v>0.241379310344828</v>
      </c>
      <c r="W67" s="29" t="n">
        <f aca="false">IF($C67=0,"",M67/$C67)</f>
        <v>0.232106896551724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34</v>
      </c>
      <c r="D68" s="26" t="n">
        <v>10</v>
      </c>
      <c r="E68" s="26" t="n">
        <v>10</v>
      </c>
      <c r="F68" s="26" t="n">
        <v>19</v>
      </c>
      <c r="G68" s="26" t="n">
        <v>14</v>
      </c>
      <c r="H68" s="26" t="n">
        <v>11</v>
      </c>
      <c r="I68" s="26" t="n">
        <v>10</v>
      </c>
      <c r="J68" s="26" t="n">
        <v>0</v>
      </c>
      <c r="K68" s="27" t="n">
        <v>-4</v>
      </c>
      <c r="L68" s="27" t="n">
        <v>0.4341</v>
      </c>
      <c r="M68" s="19" t="n">
        <f aca="false">K68-L68</f>
        <v>-4.4341</v>
      </c>
      <c r="N68" s="26" t="n">
        <v>4</v>
      </c>
      <c r="O68" s="26" t="n">
        <v>12</v>
      </c>
      <c r="P68" s="28" t="n">
        <f aca="false">IF($C68=0,"",D68/$C68)</f>
        <v>0.294117647058824</v>
      </c>
      <c r="Q68" s="28" t="n">
        <f aca="false">IF($C68=0,"",E68/$C68)</f>
        <v>0.294117647058824</v>
      </c>
      <c r="R68" s="28" t="n">
        <f aca="false">IF($C68=0,"",F68/$C68)</f>
        <v>0.558823529411765</v>
      </c>
      <c r="S68" s="28" t="n">
        <f aca="false">IF($C68=0,"",G68/$C68)</f>
        <v>0.411764705882353</v>
      </c>
      <c r="T68" s="28" t="n">
        <f aca="false">IF($C68=0,"",H68/$C68)</f>
        <v>0.323529411764706</v>
      </c>
      <c r="U68" s="28" t="n">
        <f aca="false">IF($C68=0,"",I68/$C68)</f>
        <v>0.294117647058824</v>
      </c>
      <c r="V68" s="29" t="n">
        <f aca="false">IF($C68=0,"",K68/$C68)</f>
        <v>-0.117647058823529</v>
      </c>
      <c r="W68" s="29" t="n">
        <f aca="false">IF($C68=0,"",M68/$C68)</f>
        <v>-0.130414705882353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38</v>
      </c>
      <c r="D69" s="26" t="n">
        <v>10</v>
      </c>
      <c r="E69" s="26" t="n">
        <v>10</v>
      </c>
      <c r="F69" s="26" t="n">
        <v>22</v>
      </c>
      <c r="G69" s="26" t="n">
        <v>17</v>
      </c>
      <c r="H69" s="26" t="n">
        <v>14</v>
      </c>
      <c r="I69" s="26" t="n">
        <v>10</v>
      </c>
      <c r="J69" s="26" t="n">
        <v>0</v>
      </c>
      <c r="K69" s="27" t="n">
        <v>-8</v>
      </c>
      <c r="L69" s="27" t="n">
        <v>0.4274</v>
      </c>
      <c r="M69" s="19" t="n">
        <f aca="false">K69-L69</f>
        <v>-8.4274</v>
      </c>
      <c r="N69" s="26" t="n">
        <v>2</v>
      </c>
      <c r="O69" s="26" t="n">
        <v>6</v>
      </c>
      <c r="P69" s="28" t="n">
        <f aca="false">IF($C69=0,"",D69/$C69)</f>
        <v>0.263157894736842</v>
      </c>
      <c r="Q69" s="28" t="n">
        <f aca="false">IF($C69=0,"",E69/$C69)</f>
        <v>0.263157894736842</v>
      </c>
      <c r="R69" s="28" t="n">
        <f aca="false">IF($C69=0,"",F69/$C69)</f>
        <v>0.578947368421053</v>
      </c>
      <c r="S69" s="28" t="n">
        <f aca="false">IF($C69=0,"",G69/$C69)</f>
        <v>0.447368421052632</v>
      </c>
      <c r="T69" s="28" t="n">
        <f aca="false">IF($C69=0,"",H69/$C69)</f>
        <v>0.368421052631579</v>
      </c>
      <c r="U69" s="28" t="n">
        <f aca="false">IF($C69=0,"",I69/$C69)</f>
        <v>0.263157894736842</v>
      </c>
      <c r="V69" s="29" t="n">
        <f aca="false">IF($C69=0,"",K69/$C69)</f>
        <v>-0.210526315789474</v>
      </c>
      <c r="W69" s="29" t="n">
        <f aca="false">IF($C69=0,"",M69/$C69)</f>
        <v>-0.221773684210526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361</v>
      </c>
      <c r="D70" s="30" t="n">
        <f aca="false">SUM(D58:D69)</f>
        <v>134</v>
      </c>
      <c r="E70" s="30" t="n">
        <f aca="false">SUM(E58:E69)</f>
        <v>134</v>
      </c>
      <c r="F70" s="30" t="n">
        <f aca="false">SUM(F58:F69)</f>
        <v>223</v>
      </c>
      <c r="G70" s="30" t="n">
        <f aca="false">SUM(G58:G69)</f>
        <v>183</v>
      </c>
      <c r="H70" s="30" t="n">
        <f aca="false">SUM(H58:H69)</f>
        <v>157</v>
      </c>
      <c r="I70" s="30" t="n">
        <f aca="false">SUM(I58:I69)</f>
        <v>134</v>
      </c>
      <c r="J70" s="30" t="n">
        <f aca="false">SUM(J58:J69)</f>
        <v>0</v>
      </c>
      <c r="K70" s="31" t="n">
        <f aca="false">SUM(K58:K69)</f>
        <v>41</v>
      </c>
      <c r="L70" s="31" t="n">
        <f aca="false">SUM(L58:L69)</f>
        <v>5.6545</v>
      </c>
      <c r="M70" s="31" t="n">
        <f aca="false">K70-L70</f>
        <v>35.3455</v>
      </c>
      <c r="N70" s="32" t="n">
        <v>5</v>
      </c>
      <c r="O70" s="32" t="n">
        <v>12</v>
      </c>
      <c r="P70" s="33" t="n">
        <f aca="false">IF($C70=0,"",D70/$C70)</f>
        <v>0.371191135734072</v>
      </c>
      <c r="Q70" s="33" t="n">
        <f aca="false">IF($C70=0,"",E70/$C70)</f>
        <v>0.371191135734072</v>
      </c>
      <c r="R70" s="33" t="n">
        <f aca="false">IF($C70=0,"",F70/$C70)</f>
        <v>0.617728531855956</v>
      </c>
      <c r="S70" s="33" t="n">
        <f aca="false">IF($C70=0,"",G70/$C70)</f>
        <v>0.506925207756233</v>
      </c>
      <c r="T70" s="33" t="n">
        <f aca="false">IF($C70=0,"",H70/$C70)</f>
        <v>0.434903047091413</v>
      </c>
      <c r="U70" s="33" t="n">
        <f aca="false">IF($C70=0,"",I70/$C70)</f>
        <v>0.371191135734072</v>
      </c>
      <c r="V70" s="34" t="n">
        <f aca="false">IF($C70=0,"",K70/$C70)</f>
        <v>0.113573407202216</v>
      </c>
      <c r="W70" s="34" t="n">
        <f aca="false">IF($C70=0,"",M70/$C70)</f>
        <v>0.097909972299169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31</v>
      </c>
      <c r="D71" s="26" t="n">
        <v>12</v>
      </c>
      <c r="E71" s="26" t="n">
        <v>12</v>
      </c>
      <c r="F71" s="26" t="n">
        <v>22</v>
      </c>
      <c r="G71" s="26" t="n">
        <v>19</v>
      </c>
      <c r="H71" s="26" t="n">
        <v>14</v>
      </c>
      <c r="I71" s="26" t="n">
        <v>12</v>
      </c>
      <c r="J71" s="26" t="n">
        <v>0</v>
      </c>
      <c r="K71" s="27" t="n">
        <v>5</v>
      </c>
      <c r="L71" s="27" t="n">
        <v>0.2649</v>
      </c>
      <c r="M71" s="19" t="n">
        <f aca="false">K71-L71</f>
        <v>4.7351</v>
      </c>
      <c r="N71" s="26" t="n">
        <v>3</v>
      </c>
      <c r="O71" s="26" t="n">
        <v>7</v>
      </c>
      <c r="P71" s="28" t="n">
        <f aca="false">IF($C71=0,"",D71/$C71)</f>
        <v>0.387096774193548</v>
      </c>
      <c r="Q71" s="28" t="n">
        <f aca="false">IF($C71=0,"",E71/$C71)</f>
        <v>0.387096774193548</v>
      </c>
      <c r="R71" s="28" t="n">
        <f aca="false">IF($C71=0,"",F71/$C71)</f>
        <v>0.709677419354839</v>
      </c>
      <c r="S71" s="28" t="n">
        <f aca="false">IF($C71=0,"",G71/$C71)</f>
        <v>0.612903225806452</v>
      </c>
      <c r="T71" s="28" t="n">
        <f aca="false">IF($C71=0,"",H71/$C71)</f>
        <v>0.451612903225806</v>
      </c>
      <c r="U71" s="28" t="n">
        <f aca="false">IF($C71=0,"",I71/$C71)</f>
        <v>0.387096774193548</v>
      </c>
      <c r="V71" s="29" t="n">
        <f aca="false">IF($C71=0,"",K71/$C71)</f>
        <v>0.161290322580645</v>
      </c>
      <c r="W71" s="29" t="n">
        <f aca="false">IF($C71=0,"",M71/$C71)</f>
        <v>0.152745161290323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29</v>
      </c>
      <c r="D72" s="26" t="n">
        <v>9</v>
      </c>
      <c r="E72" s="26" t="n">
        <v>9</v>
      </c>
      <c r="F72" s="26" t="n">
        <v>17</v>
      </c>
      <c r="G72" s="26" t="n">
        <v>15</v>
      </c>
      <c r="H72" s="26" t="n">
        <v>11</v>
      </c>
      <c r="I72" s="26" t="n">
        <v>9</v>
      </c>
      <c r="J72" s="26" t="n">
        <v>0</v>
      </c>
      <c r="K72" s="27" t="n">
        <v>-2</v>
      </c>
      <c r="L72" s="27" t="n">
        <v>0.1817</v>
      </c>
      <c r="M72" s="19" t="n">
        <f aca="false">K72-L72</f>
        <v>-2.1817</v>
      </c>
      <c r="N72" s="26" t="n">
        <v>2</v>
      </c>
      <c r="O72" s="26" t="n">
        <v>7</v>
      </c>
      <c r="P72" s="28" t="n">
        <f aca="false">IF($C72=0,"",D72/$C72)</f>
        <v>0.310344827586207</v>
      </c>
      <c r="Q72" s="28" t="n">
        <f aca="false">IF($C72=0,"",E72/$C72)</f>
        <v>0.310344827586207</v>
      </c>
      <c r="R72" s="28" t="n">
        <f aca="false">IF($C72=0,"",F72/$C72)</f>
        <v>0.586206896551724</v>
      </c>
      <c r="S72" s="28" t="n">
        <f aca="false">IF($C72=0,"",G72/$C72)</f>
        <v>0.517241379310345</v>
      </c>
      <c r="T72" s="28" t="n">
        <f aca="false">IF($C72=0,"",H72/$C72)</f>
        <v>0.379310344827586</v>
      </c>
      <c r="U72" s="28" t="n">
        <f aca="false">IF($C72=0,"",I72/$C72)</f>
        <v>0.310344827586207</v>
      </c>
      <c r="V72" s="29" t="n">
        <f aca="false">IF($C72=0,"",K72/$C72)</f>
        <v>-0.0689655172413793</v>
      </c>
      <c r="W72" s="29" t="n">
        <f aca="false">IF($C72=0,"",M72/$C72)</f>
        <v>-0.0752310344827586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33</v>
      </c>
      <c r="D73" s="26" t="n">
        <v>16</v>
      </c>
      <c r="E73" s="26" t="n">
        <v>16</v>
      </c>
      <c r="F73" s="26" t="n">
        <v>23</v>
      </c>
      <c r="G73" s="26" t="n">
        <v>20</v>
      </c>
      <c r="H73" s="26" t="n">
        <v>17</v>
      </c>
      <c r="I73" s="26" t="n">
        <v>16</v>
      </c>
      <c r="J73" s="26" t="n">
        <v>0</v>
      </c>
      <c r="K73" s="27" t="n">
        <v>15</v>
      </c>
      <c r="L73" s="27" t="n">
        <v>0.2423</v>
      </c>
      <c r="M73" s="19" t="n">
        <f aca="false">K73-L73</f>
        <v>14.7577</v>
      </c>
      <c r="N73" s="26" t="n">
        <v>3</v>
      </c>
      <c r="O73" s="26" t="n">
        <v>6</v>
      </c>
      <c r="P73" s="28" t="n">
        <f aca="false">IF($C73=0,"",D73/$C73)</f>
        <v>0.484848484848485</v>
      </c>
      <c r="Q73" s="28" t="n">
        <f aca="false">IF($C73=0,"",E73/$C73)</f>
        <v>0.484848484848485</v>
      </c>
      <c r="R73" s="28" t="n">
        <f aca="false">IF($C73=0,"",F73/$C73)</f>
        <v>0.696969696969697</v>
      </c>
      <c r="S73" s="28" t="n">
        <f aca="false">IF($C73=0,"",G73/$C73)</f>
        <v>0.606060606060606</v>
      </c>
      <c r="T73" s="28" t="n">
        <f aca="false">IF($C73=0,"",H73/$C73)</f>
        <v>0.515151515151515</v>
      </c>
      <c r="U73" s="28" t="n">
        <f aca="false">IF($C73=0,"",I73/$C73)</f>
        <v>0.484848484848485</v>
      </c>
      <c r="V73" s="29" t="n">
        <f aca="false">IF($C73=0,"",K73/$C73)</f>
        <v>0.454545454545455</v>
      </c>
      <c r="W73" s="29" t="n">
        <f aca="false">IF($C73=0,"",M73/$C73)</f>
        <v>0.44720303030303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28</v>
      </c>
      <c r="D74" s="26" t="n">
        <v>10</v>
      </c>
      <c r="E74" s="26" t="n">
        <v>10</v>
      </c>
      <c r="F74" s="26" t="n">
        <v>17</v>
      </c>
      <c r="G74" s="26" t="n">
        <v>15</v>
      </c>
      <c r="H74" s="26" t="n">
        <v>11</v>
      </c>
      <c r="I74" s="26" t="n">
        <v>10</v>
      </c>
      <c r="J74" s="26" t="n">
        <v>0</v>
      </c>
      <c r="K74" s="27" t="n">
        <v>2</v>
      </c>
      <c r="L74" s="27" t="n">
        <v>0.2799</v>
      </c>
      <c r="M74" s="19" t="n">
        <f aca="false">K74-L74</f>
        <v>1.7201</v>
      </c>
      <c r="N74" s="26" t="n">
        <v>3</v>
      </c>
      <c r="O74" s="26" t="n">
        <v>6</v>
      </c>
      <c r="P74" s="28" t="n">
        <f aca="false">IF($C74=0,"",D74/$C74)</f>
        <v>0.357142857142857</v>
      </c>
      <c r="Q74" s="28" t="n">
        <f aca="false">IF($C74=0,"",E74/$C74)</f>
        <v>0.357142857142857</v>
      </c>
      <c r="R74" s="28" t="n">
        <f aca="false">IF($C74=0,"",F74/$C74)</f>
        <v>0.607142857142857</v>
      </c>
      <c r="S74" s="28" t="n">
        <f aca="false">IF($C74=0,"",G74/$C74)</f>
        <v>0.535714285714286</v>
      </c>
      <c r="T74" s="28" t="n">
        <f aca="false">IF($C74=0,"",H74/$C74)</f>
        <v>0.392857142857143</v>
      </c>
      <c r="U74" s="28" t="n">
        <f aca="false">IF($C74=0,"",I74/$C74)</f>
        <v>0.357142857142857</v>
      </c>
      <c r="V74" s="29" t="n">
        <f aca="false">IF($C74=0,"",K74/$C74)</f>
        <v>0.0714285714285714</v>
      </c>
      <c r="W74" s="29" t="n">
        <f aca="false">IF($C74=0,"",M74/$C74)</f>
        <v>0.0614321428571429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31</v>
      </c>
      <c r="D75" s="26" t="n">
        <v>5</v>
      </c>
      <c r="E75" s="26" t="n">
        <v>5</v>
      </c>
      <c r="F75" s="26" t="n">
        <v>15</v>
      </c>
      <c r="G75" s="26" t="n">
        <v>13</v>
      </c>
      <c r="H75" s="26" t="n">
        <v>6</v>
      </c>
      <c r="I75" s="26" t="n">
        <v>5</v>
      </c>
      <c r="J75" s="26" t="n">
        <v>0</v>
      </c>
      <c r="K75" s="27" t="n">
        <v>-16</v>
      </c>
      <c r="L75" s="27" t="n">
        <v>0.378</v>
      </c>
      <c r="M75" s="19" t="n">
        <f aca="false">K75-L75</f>
        <v>-16.378</v>
      </c>
      <c r="N75" s="26" t="n">
        <v>2</v>
      </c>
      <c r="O75" s="26" t="n">
        <v>14</v>
      </c>
      <c r="P75" s="28" t="n">
        <f aca="false">IF($C75=0,"",D75/$C75)</f>
        <v>0.161290322580645</v>
      </c>
      <c r="Q75" s="28" t="n">
        <f aca="false">IF($C75=0,"",E75/$C75)</f>
        <v>0.161290322580645</v>
      </c>
      <c r="R75" s="28" t="n">
        <f aca="false">IF($C75=0,"",F75/$C75)</f>
        <v>0.483870967741936</v>
      </c>
      <c r="S75" s="28" t="n">
        <f aca="false">IF($C75=0,"",G75/$C75)</f>
        <v>0.419354838709677</v>
      </c>
      <c r="T75" s="28" t="n">
        <f aca="false">IF($C75=0,"",H75/$C75)</f>
        <v>0.193548387096774</v>
      </c>
      <c r="U75" s="28" t="n">
        <f aca="false">IF($C75=0,"",I75/$C75)</f>
        <v>0.161290322580645</v>
      </c>
      <c r="V75" s="29" t="n">
        <f aca="false">IF($C75=0,"",K75/$C75)</f>
        <v>-0.516129032258065</v>
      </c>
      <c r="W75" s="29" t="n">
        <f aca="false">IF($C75=0,"",M75/$C75)</f>
        <v>-0.528322580645161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29</v>
      </c>
      <c r="D76" s="26" t="n">
        <v>14</v>
      </c>
      <c r="E76" s="26" t="n">
        <v>14</v>
      </c>
      <c r="F76" s="26" t="n">
        <v>21</v>
      </c>
      <c r="G76" s="26" t="n">
        <v>17</v>
      </c>
      <c r="H76" s="26" t="n">
        <v>15</v>
      </c>
      <c r="I76" s="26" t="n">
        <v>14</v>
      </c>
      <c r="J76" s="26" t="n">
        <v>0</v>
      </c>
      <c r="K76" s="27" t="n">
        <v>13</v>
      </c>
      <c r="L76" s="27" t="n">
        <v>0.3124</v>
      </c>
      <c r="M76" s="19" t="n">
        <f aca="false">K76-L76</f>
        <v>12.6876</v>
      </c>
      <c r="N76" s="26" t="n">
        <v>4</v>
      </c>
      <c r="O76" s="26" t="n">
        <v>7</v>
      </c>
      <c r="P76" s="28" t="n">
        <f aca="false">IF($C76=0,"",D76/$C76)</f>
        <v>0.482758620689655</v>
      </c>
      <c r="Q76" s="28" t="n">
        <f aca="false">IF($C76=0,"",E76/$C76)</f>
        <v>0.482758620689655</v>
      </c>
      <c r="R76" s="28" t="n">
        <f aca="false">IF($C76=0,"",F76/$C76)</f>
        <v>0.724137931034483</v>
      </c>
      <c r="S76" s="28" t="n">
        <f aca="false">IF($C76=0,"",G76/$C76)</f>
        <v>0.586206896551724</v>
      </c>
      <c r="T76" s="28" t="n">
        <f aca="false">IF($C76=0,"",H76/$C76)</f>
        <v>0.517241379310345</v>
      </c>
      <c r="U76" s="28" t="n">
        <f aca="false">IF($C76=0,"",I76/$C76)</f>
        <v>0.482758620689655</v>
      </c>
      <c r="V76" s="29" t="n">
        <f aca="false">IF($C76=0,"",K76/$C76)</f>
        <v>0.448275862068966</v>
      </c>
      <c r="W76" s="29" t="n">
        <f aca="false">IF($C76=0,"",M76/$C76)</f>
        <v>0.437503448275862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31</v>
      </c>
      <c r="D77" s="26" t="n">
        <v>11</v>
      </c>
      <c r="E77" s="26" t="n">
        <v>11</v>
      </c>
      <c r="F77" s="26" t="n">
        <v>20</v>
      </c>
      <c r="G77" s="26" t="n">
        <v>14</v>
      </c>
      <c r="H77" s="26" t="n">
        <v>12</v>
      </c>
      <c r="I77" s="26" t="n">
        <v>11</v>
      </c>
      <c r="J77" s="26" t="n">
        <v>0</v>
      </c>
      <c r="K77" s="27" t="n">
        <v>2</v>
      </c>
      <c r="L77" s="27" t="n">
        <v>0.4155</v>
      </c>
      <c r="M77" s="19" t="n">
        <f aca="false">K77-L77</f>
        <v>1.5845</v>
      </c>
      <c r="N77" s="26" t="n">
        <v>3</v>
      </c>
      <c r="O77" s="26" t="n">
        <v>8</v>
      </c>
      <c r="P77" s="28" t="n">
        <f aca="false">IF($C77=0,"",D77/$C77)</f>
        <v>0.354838709677419</v>
      </c>
      <c r="Q77" s="28" t="n">
        <f aca="false">IF($C77=0,"",E77/$C77)</f>
        <v>0.354838709677419</v>
      </c>
      <c r="R77" s="28" t="n">
        <f aca="false">IF($C77=0,"",F77/$C77)</f>
        <v>0.645161290322581</v>
      </c>
      <c r="S77" s="28" t="n">
        <f aca="false">IF($C77=0,"",G77/$C77)</f>
        <v>0.451612903225806</v>
      </c>
      <c r="T77" s="28" t="n">
        <f aca="false">IF($C77=0,"",H77/$C77)</f>
        <v>0.387096774193548</v>
      </c>
      <c r="U77" s="28" t="n">
        <f aca="false">IF($C77=0,"",I77/$C77)</f>
        <v>0.354838709677419</v>
      </c>
      <c r="V77" s="29" t="n">
        <f aca="false">IF($C77=0,"",K77/$C77)</f>
        <v>0.0645161290322581</v>
      </c>
      <c r="W77" s="29" t="n">
        <f aca="false">IF($C77=0,"",M77/$C77)</f>
        <v>0.0511129032258065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28</v>
      </c>
      <c r="D78" s="26" t="n">
        <v>11</v>
      </c>
      <c r="E78" s="26" t="n">
        <v>11</v>
      </c>
      <c r="F78" s="26" t="n">
        <v>14</v>
      </c>
      <c r="G78" s="26" t="n">
        <v>12</v>
      </c>
      <c r="H78" s="26" t="n">
        <v>11</v>
      </c>
      <c r="I78" s="26" t="n">
        <v>11</v>
      </c>
      <c r="J78" s="26" t="n">
        <v>0</v>
      </c>
      <c r="K78" s="27" t="n">
        <v>5</v>
      </c>
      <c r="L78" s="27" t="n">
        <v>0.3147</v>
      </c>
      <c r="M78" s="19" t="n">
        <f aca="false">K78-L78</f>
        <v>4.6853</v>
      </c>
      <c r="N78" s="26" t="n">
        <v>2</v>
      </c>
      <c r="O78" s="26" t="n">
        <v>8</v>
      </c>
      <c r="P78" s="28" t="n">
        <f aca="false">IF($C78=0,"",D78/$C78)</f>
        <v>0.392857142857143</v>
      </c>
      <c r="Q78" s="28" t="n">
        <f aca="false">IF($C78=0,"",E78/$C78)</f>
        <v>0.392857142857143</v>
      </c>
      <c r="R78" s="28" t="n">
        <f aca="false">IF($C78=0,"",F78/$C78)</f>
        <v>0.5</v>
      </c>
      <c r="S78" s="28" t="n">
        <f aca="false">IF($C78=0,"",G78/$C78)</f>
        <v>0.428571428571429</v>
      </c>
      <c r="T78" s="28" t="n">
        <f aca="false">IF($C78=0,"",H78/$C78)</f>
        <v>0.392857142857143</v>
      </c>
      <c r="U78" s="28" t="n">
        <f aca="false">IF($C78=0,"",I78/$C78)</f>
        <v>0.392857142857143</v>
      </c>
      <c r="V78" s="29" t="n">
        <f aca="false">IF($C78=0,"",K78/$C78)</f>
        <v>0.178571428571429</v>
      </c>
      <c r="W78" s="29" t="n">
        <f aca="false">IF($C78=0,"",M78/$C78)</f>
        <v>0.167332142857143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29</v>
      </c>
      <c r="D79" s="26" t="n">
        <v>11</v>
      </c>
      <c r="E79" s="26" t="n">
        <v>11</v>
      </c>
      <c r="F79" s="26" t="n">
        <v>21</v>
      </c>
      <c r="G79" s="26" t="n">
        <v>15</v>
      </c>
      <c r="H79" s="26" t="n">
        <v>12</v>
      </c>
      <c r="I79" s="26" t="n">
        <v>11</v>
      </c>
      <c r="J79" s="26" t="n">
        <v>0</v>
      </c>
      <c r="K79" s="27" t="n">
        <v>4</v>
      </c>
      <c r="L79" s="27" t="n">
        <v>0.3557</v>
      </c>
      <c r="M79" s="19" t="n">
        <f aca="false">K79-L79</f>
        <v>3.6443</v>
      </c>
      <c r="N79" s="26" t="n">
        <v>2</v>
      </c>
      <c r="O79" s="26" t="n">
        <v>5</v>
      </c>
      <c r="P79" s="28" t="n">
        <f aca="false">IF($C79=0,"",D79/$C79)</f>
        <v>0.379310344827586</v>
      </c>
      <c r="Q79" s="28" t="n">
        <f aca="false">IF($C79=0,"",E79/$C79)</f>
        <v>0.379310344827586</v>
      </c>
      <c r="R79" s="28" t="n">
        <f aca="false">IF($C79=0,"",F79/$C79)</f>
        <v>0.724137931034483</v>
      </c>
      <c r="S79" s="28" t="n">
        <f aca="false">IF($C79=0,"",G79/$C79)</f>
        <v>0.517241379310345</v>
      </c>
      <c r="T79" s="28" t="n">
        <f aca="false">IF($C79=0,"",H79/$C79)</f>
        <v>0.413793103448276</v>
      </c>
      <c r="U79" s="28" t="n">
        <f aca="false">IF($C79=0,"",I79/$C79)</f>
        <v>0.379310344827586</v>
      </c>
      <c r="V79" s="29" t="n">
        <f aca="false">IF($C79=0,"",K79/$C79)</f>
        <v>0.137931034482759</v>
      </c>
      <c r="W79" s="29" t="n">
        <f aca="false">IF($C79=0,"",M79/$C79)</f>
        <v>0.125665517241379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4</v>
      </c>
      <c r="D80" s="26" t="n">
        <v>1</v>
      </c>
      <c r="E80" s="26" t="n">
        <v>1</v>
      </c>
      <c r="F80" s="26" t="n">
        <v>1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-1</v>
      </c>
      <c r="L80" s="27" t="n">
        <v>0.0415</v>
      </c>
      <c r="M80" s="19" t="n">
        <f aca="false">K80-L80</f>
        <v>-1.0415</v>
      </c>
      <c r="N80" s="26" t="n">
        <v>1</v>
      </c>
      <c r="O80" s="26" t="n">
        <v>3</v>
      </c>
      <c r="P80" s="28" t="n">
        <f aca="false">IF($C80=0,"",D80/$C80)</f>
        <v>0.25</v>
      </c>
      <c r="Q80" s="28" t="n">
        <f aca="false">IF($C80=0,"",E80/$C80)</f>
        <v>0.25</v>
      </c>
      <c r="R80" s="28" t="n">
        <f aca="false">IF($C80=0,"",F80/$C80)</f>
        <v>0.25</v>
      </c>
      <c r="S80" s="28" t="n">
        <f aca="false">IF($C80=0,"",G80/$C80)</f>
        <v>0.25</v>
      </c>
      <c r="T80" s="28" t="n">
        <f aca="false">IF($C80=0,"",H80/$C80)</f>
        <v>0.25</v>
      </c>
      <c r="U80" s="28" t="n">
        <f aca="false">IF($C80=0,"",I80/$C80)</f>
        <v>0.25</v>
      </c>
      <c r="V80" s="29" t="n">
        <f aca="false">IF($C80=0,"",K80/$C80)</f>
        <v>-0.25</v>
      </c>
      <c r="W80" s="29" t="n">
        <f aca="false">IF($C80=0,"",M80/$C80)</f>
        <v>-0.260375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273</v>
      </c>
      <c r="D81" s="30" t="n">
        <f aca="false">SUM(D71:D80)</f>
        <v>100</v>
      </c>
      <c r="E81" s="30" t="n">
        <f aca="false">SUM(E71:E80)</f>
        <v>100</v>
      </c>
      <c r="F81" s="30" t="n">
        <f aca="false">SUM(F71:F80)</f>
        <v>171</v>
      </c>
      <c r="G81" s="30" t="n">
        <f aca="false">SUM(G71:G80)</f>
        <v>141</v>
      </c>
      <c r="H81" s="30" t="n">
        <f aca="false">SUM(H71:H80)</f>
        <v>110</v>
      </c>
      <c r="I81" s="30" t="n">
        <f aca="false">SUM(I71:I80)</f>
        <v>100</v>
      </c>
      <c r="J81" s="30" t="n">
        <f aca="false">SUM(J71:J80)</f>
        <v>0</v>
      </c>
      <c r="K81" s="31" t="n">
        <f aca="false">SUM(K71:K80)</f>
        <v>27</v>
      </c>
      <c r="L81" s="31" t="n">
        <f aca="false">SUM(L71:L80)</f>
        <v>2.7866</v>
      </c>
      <c r="M81" s="31" t="n">
        <f aca="false">K81-L81</f>
        <v>24.2134</v>
      </c>
      <c r="N81" s="32" t="n">
        <v>4</v>
      </c>
      <c r="O81" s="32" t="n">
        <v>14</v>
      </c>
      <c r="P81" s="33" t="n">
        <f aca="false">IF($C81=0,"",D81/$C81)</f>
        <v>0.366300366300366</v>
      </c>
      <c r="Q81" s="33" t="n">
        <f aca="false">IF($C81=0,"",E81/$C81)</f>
        <v>0.366300366300366</v>
      </c>
      <c r="R81" s="33" t="n">
        <f aca="false">IF($C81=0,"",F81/$C81)</f>
        <v>0.626373626373626</v>
      </c>
      <c r="S81" s="33" t="n">
        <f aca="false">IF($C81=0,"",G81/$C81)</f>
        <v>0.516483516483517</v>
      </c>
      <c r="T81" s="33" t="n">
        <f aca="false">IF($C81=0,"",H81/$C81)</f>
        <v>0.402930402930403</v>
      </c>
      <c r="U81" s="33" t="n">
        <f aca="false">IF($C81=0,"",I81/$C81)</f>
        <v>0.366300366300366</v>
      </c>
      <c r="V81" s="34" t="n">
        <f aca="false">IF($C81=0,"",K81/$C81)</f>
        <v>0.0989010989010989</v>
      </c>
      <c r="W81" s="34" t="n">
        <f aca="false">IF($C81=0,"",M81/$C81)</f>
        <v>0.0886937728937729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1958</v>
      </c>
      <c r="D82" s="5" t="n">
        <f aca="false">D18+D31+D44+D57+D70+D81</f>
        <v>717</v>
      </c>
      <c r="E82" s="5" t="n">
        <f aca="false">E18+E31+E44+E57+E70+E81</f>
        <v>717</v>
      </c>
      <c r="F82" s="5" t="n">
        <f aca="false">F18+F31+F44+F57+F70+F81</f>
        <v>1233</v>
      </c>
      <c r="G82" s="5" t="n">
        <f aca="false">G18+G31+G44+G57+G70+G81</f>
        <v>1020</v>
      </c>
      <c r="H82" s="5" t="n">
        <f aca="false">H18+H31+H44+H57+H70+H81</f>
        <v>834</v>
      </c>
      <c r="I82" s="5" t="n">
        <f aca="false">I18+I31+I44+I57+I70+I81</f>
        <v>717</v>
      </c>
      <c r="J82" s="5" t="n">
        <f aca="false">J18+J31+J44+J57+J70+J81</f>
        <v>0</v>
      </c>
      <c r="K82" s="21" t="n">
        <f aca="false">K18+K31+K44+K57+K70+K81</f>
        <v>193</v>
      </c>
      <c r="L82" s="21" t="n">
        <f aca="false">L18+L31+L44+L57+L70+L81</f>
        <v>80.847</v>
      </c>
      <c r="M82" s="21" t="n">
        <f aca="false">K82-L82</f>
        <v>112.153</v>
      </c>
      <c r="N82" s="35" t="n">
        <v>8</v>
      </c>
      <c r="O82" s="35" t="n">
        <v>14</v>
      </c>
      <c r="P82" s="36" t="n">
        <f aca="false">IF($C82=0,"",D82/$C82)</f>
        <v>0.366189989785495</v>
      </c>
      <c r="Q82" s="36" t="n">
        <f aca="false">IF($C82=0,"",E82/$C82)</f>
        <v>0.366189989785495</v>
      </c>
      <c r="R82" s="36" t="n">
        <f aca="false">IF($C82=0,"",F82/$C82)</f>
        <v>0.629724208375894</v>
      </c>
      <c r="S82" s="36" t="n">
        <f aca="false">IF($C82=0,"",G82/$C82)</f>
        <v>0.52093973442288</v>
      </c>
      <c r="T82" s="36" t="n">
        <f aca="false">IF($C82=0,"",H82/$C82)</f>
        <v>0.425944841675179</v>
      </c>
      <c r="U82" s="36" t="n">
        <f aca="false">IF($C82=0,"",I82/$C82)</f>
        <v>0.366189989785495</v>
      </c>
      <c r="V82" s="37" t="n">
        <f aca="false">IF($C82=0,"",K82/$C82)</f>
        <v>0.0985699693564862</v>
      </c>
      <c r="W82" s="37" t="n">
        <f aca="false">IF($C82=0,"",M82/$C82)</f>
        <v>0.057279366700715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189</v>
      </c>
    </row>
    <row r="2" customFormat="false" ht="42" hidden="false" customHeight="true" outlineLevel="0" collapsed="false">
      <c r="A2" s="4" t="s">
        <v>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28</v>
      </c>
      <c r="D6" s="26" t="n">
        <v>10</v>
      </c>
      <c r="E6" s="26" t="n">
        <v>10</v>
      </c>
      <c r="F6" s="26" t="n">
        <v>18</v>
      </c>
      <c r="G6" s="26" t="n">
        <v>13</v>
      </c>
      <c r="H6" s="26" t="n">
        <v>11</v>
      </c>
      <c r="I6" s="26" t="n">
        <v>10</v>
      </c>
      <c r="J6" s="26" t="n">
        <v>0</v>
      </c>
      <c r="K6" s="27" t="n">
        <v>2</v>
      </c>
      <c r="L6" s="27" t="n">
        <v>1.5006</v>
      </c>
      <c r="M6" s="19" t="n">
        <f aca="false">K6-L6</f>
        <v>0.4994</v>
      </c>
      <c r="N6" s="26" t="n">
        <v>3</v>
      </c>
      <c r="O6" s="26" t="n">
        <v>6</v>
      </c>
      <c r="P6" s="28" t="n">
        <f aca="false">IF($C6=0,"",D6/$C6)</f>
        <v>0.357142857142857</v>
      </c>
      <c r="Q6" s="28" t="n">
        <f aca="false">IF($C6=0,"",E6/$C6)</f>
        <v>0.357142857142857</v>
      </c>
      <c r="R6" s="28" t="n">
        <f aca="false">IF($C6=0,"",F6/$C6)</f>
        <v>0.642857142857143</v>
      </c>
      <c r="S6" s="28" t="n">
        <f aca="false">IF($C6=0,"",G6/$C6)</f>
        <v>0.464285714285714</v>
      </c>
      <c r="T6" s="28" t="n">
        <f aca="false">IF($C6=0,"",H6/$C6)</f>
        <v>0.392857142857143</v>
      </c>
      <c r="U6" s="28" t="n">
        <f aca="false">IF($C6=0,"",I6/$C6)</f>
        <v>0.357142857142857</v>
      </c>
      <c r="V6" s="29" t="n">
        <f aca="false">IF($C6=0,"",K6/$C6)</f>
        <v>0.0714285714285714</v>
      </c>
      <c r="W6" s="29" t="n">
        <f aca="false">IF($C6=0,"",M6/$C6)</f>
        <v>0.0178357142857143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22</v>
      </c>
      <c r="D7" s="26" t="n">
        <v>5</v>
      </c>
      <c r="E7" s="26" t="n">
        <v>5</v>
      </c>
      <c r="F7" s="26" t="n">
        <v>14</v>
      </c>
      <c r="G7" s="26" t="n">
        <v>11</v>
      </c>
      <c r="H7" s="26" t="n">
        <v>6</v>
      </c>
      <c r="I7" s="26" t="n">
        <v>5</v>
      </c>
      <c r="J7" s="26" t="n">
        <v>0</v>
      </c>
      <c r="K7" s="27" t="n">
        <v>-7</v>
      </c>
      <c r="L7" s="27" t="n">
        <v>0.9602</v>
      </c>
      <c r="M7" s="19" t="n">
        <f aca="false">K7-L7</f>
        <v>-7.9602</v>
      </c>
      <c r="N7" s="26" t="n">
        <v>1</v>
      </c>
      <c r="O7" s="26" t="n">
        <v>5</v>
      </c>
      <c r="P7" s="28" t="n">
        <f aca="false">IF($C7=0,"",D7/$C7)</f>
        <v>0.227272727272727</v>
      </c>
      <c r="Q7" s="28" t="n">
        <f aca="false">IF($C7=0,"",E7/$C7)</f>
        <v>0.227272727272727</v>
      </c>
      <c r="R7" s="28" t="n">
        <f aca="false">IF($C7=0,"",F7/$C7)</f>
        <v>0.636363636363636</v>
      </c>
      <c r="S7" s="28" t="n">
        <f aca="false">IF($C7=0,"",G7/$C7)</f>
        <v>0.5</v>
      </c>
      <c r="T7" s="28" t="n">
        <f aca="false">IF($C7=0,"",H7/$C7)</f>
        <v>0.272727272727273</v>
      </c>
      <c r="U7" s="28" t="n">
        <f aca="false">IF($C7=0,"",I7/$C7)</f>
        <v>0.227272727272727</v>
      </c>
      <c r="V7" s="29" t="n">
        <f aca="false">IF($C7=0,"",K7/$C7)</f>
        <v>-0.318181818181818</v>
      </c>
      <c r="W7" s="29" t="n">
        <f aca="false">IF($C7=0,"",M7/$C7)</f>
        <v>-0.361827272727273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26</v>
      </c>
      <c r="D8" s="26" t="n">
        <v>8</v>
      </c>
      <c r="E8" s="26" t="n">
        <v>8</v>
      </c>
      <c r="F8" s="26" t="n">
        <v>17</v>
      </c>
      <c r="G8" s="26" t="n">
        <v>15</v>
      </c>
      <c r="H8" s="26" t="n">
        <v>9</v>
      </c>
      <c r="I8" s="26" t="n">
        <v>8</v>
      </c>
      <c r="J8" s="26" t="n">
        <v>0</v>
      </c>
      <c r="K8" s="27" t="n">
        <v>-2</v>
      </c>
      <c r="L8" s="27" t="n">
        <v>1.4188</v>
      </c>
      <c r="M8" s="19" t="n">
        <f aca="false">K8-L8</f>
        <v>-3.4188</v>
      </c>
      <c r="N8" s="26" t="n">
        <v>2</v>
      </c>
      <c r="O8" s="26" t="n">
        <v>5</v>
      </c>
      <c r="P8" s="28" t="n">
        <f aca="false">IF($C8=0,"",D8/$C8)</f>
        <v>0.307692307692308</v>
      </c>
      <c r="Q8" s="28" t="n">
        <f aca="false">IF($C8=0,"",E8/$C8)</f>
        <v>0.307692307692308</v>
      </c>
      <c r="R8" s="28" t="n">
        <f aca="false">IF($C8=0,"",F8/$C8)</f>
        <v>0.653846153846154</v>
      </c>
      <c r="S8" s="28" t="n">
        <f aca="false">IF($C8=0,"",G8/$C8)</f>
        <v>0.576923076923077</v>
      </c>
      <c r="T8" s="28" t="n">
        <f aca="false">IF($C8=0,"",H8/$C8)</f>
        <v>0.346153846153846</v>
      </c>
      <c r="U8" s="28" t="n">
        <f aca="false">IF($C8=0,"",I8/$C8)</f>
        <v>0.307692307692308</v>
      </c>
      <c r="V8" s="29" t="n">
        <f aca="false">IF($C8=0,"",K8/$C8)</f>
        <v>-0.0769230769230769</v>
      </c>
      <c r="W8" s="29" t="n">
        <f aca="false">IF($C8=0,"",M8/$C8)</f>
        <v>-0.131492307692308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20</v>
      </c>
      <c r="D9" s="26" t="n">
        <v>7</v>
      </c>
      <c r="E9" s="26" t="n">
        <v>7</v>
      </c>
      <c r="F9" s="26" t="n">
        <v>14</v>
      </c>
      <c r="G9" s="26" t="n">
        <v>9</v>
      </c>
      <c r="H9" s="26" t="n">
        <v>7</v>
      </c>
      <c r="I9" s="26" t="n">
        <v>7</v>
      </c>
      <c r="J9" s="26" t="n">
        <v>0</v>
      </c>
      <c r="K9" s="27" t="n">
        <v>1</v>
      </c>
      <c r="L9" s="27" t="n">
        <v>1.3327</v>
      </c>
      <c r="M9" s="19" t="n">
        <f aca="false">K9-L9</f>
        <v>-0.3327</v>
      </c>
      <c r="N9" s="26" t="n">
        <v>2</v>
      </c>
      <c r="O9" s="26" t="n">
        <v>5</v>
      </c>
      <c r="P9" s="28" t="n">
        <f aca="false">IF($C9=0,"",D9/$C9)</f>
        <v>0.35</v>
      </c>
      <c r="Q9" s="28" t="n">
        <f aca="false">IF($C9=0,"",E9/$C9)</f>
        <v>0.35</v>
      </c>
      <c r="R9" s="28" t="n">
        <f aca="false">IF($C9=0,"",F9/$C9)</f>
        <v>0.7</v>
      </c>
      <c r="S9" s="28" t="n">
        <f aca="false">IF($C9=0,"",G9/$C9)</f>
        <v>0.45</v>
      </c>
      <c r="T9" s="28" t="n">
        <f aca="false">IF($C9=0,"",H9/$C9)</f>
        <v>0.35</v>
      </c>
      <c r="U9" s="28" t="n">
        <f aca="false">IF($C9=0,"",I9/$C9)</f>
        <v>0.35</v>
      </c>
      <c r="V9" s="29" t="n">
        <f aca="false">IF($C9=0,"",K9/$C9)</f>
        <v>0.05</v>
      </c>
      <c r="W9" s="29" t="n">
        <f aca="false">IF($C9=0,"",M9/$C9)</f>
        <v>-0.016635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24</v>
      </c>
      <c r="D10" s="26" t="n">
        <v>10</v>
      </c>
      <c r="E10" s="26" t="n">
        <v>10</v>
      </c>
      <c r="F10" s="26" t="n">
        <v>16</v>
      </c>
      <c r="G10" s="26" t="n">
        <v>13</v>
      </c>
      <c r="H10" s="26" t="n">
        <v>13</v>
      </c>
      <c r="I10" s="26" t="n">
        <v>10</v>
      </c>
      <c r="J10" s="26" t="n">
        <v>0</v>
      </c>
      <c r="K10" s="27" t="n">
        <v>6</v>
      </c>
      <c r="L10" s="27" t="n">
        <v>1.7069</v>
      </c>
      <c r="M10" s="19" t="n">
        <f aca="false">K10-L10</f>
        <v>4.2931</v>
      </c>
      <c r="N10" s="26" t="n">
        <v>3</v>
      </c>
      <c r="O10" s="26" t="n">
        <v>4</v>
      </c>
      <c r="P10" s="28" t="n">
        <f aca="false">IF($C10=0,"",D10/$C10)</f>
        <v>0.416666666666667</v>
      </c>
      <c r="Q10" s="28" t="n">
        <f aca="false">IF($C10=0,"",E10/$C10)</f>
        <v>0.416666666666667</v>
      </c>
      <c r="R10" s="28" t="n">
        <f aca="false">IF($C10=0,"",F10/$C10)</f>
        <v>0.666666666666667</v>
      </c>
      <c r="S10" s="28" t="n">
        <f aca="false">IF($C10=0,"",G10/$C10)</f>
        <v>0.541666666666667</v>
      </c>
      <c r="T10" s="28" t="n">
        <f aca="false">IF($C10=0,"",H10/$C10)</f>
        <v>0.541666666666667</v>
      </c>
      <c r="U10" s="28" t="n">
        <f aca="false">IF($C10=0,"",I10/$C10)</f>
        <v>0.416666666666667</v>
      </c>
      <c r="V10" s="29" t="n">
        <f aca="false">IF($C10=0,"",K10/$C10)</f>
        <v>0.25</v>
      </c>
      <c r="W10" s="29" t="n">
        <f aca="false">IF($C10=0,"",M10/$C10)</f>
        <v>0.178879166666667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24</v>
      </c>
      <c r="D11" s="26" t="n">
        <v>8</v>
      </c>
      <c r="E11" s="26" t="n">
        <v>8</v>
      </c>
      <c r="F11" s="26" t="n">
        <v>12</v>
      </c>
      <c r="G11" s="26" t="n">
        <v>10</v>
      </c>
      <c r="H11" s="26" t="n">
        <v>9</v>
      </c>
      <c r="I11" s="26" t="n">
        <v>8</v>
      </c>
      <c r="J11" s="26" t="n">
        <v>0</v>
      </c>
      <c r="K11" s="27" t="n">
        <v>0</v>
      </c>
      <c r="L11" s="27" t="n">
        <v>1.9534</v>
      </c>
      <c r="M11" s="19" t="n">
        <f aca="false">K11-L11</f>
        <v>-1.9534</v>
      </c>
      <c r="N11" s="26" t="n">
        <v>3</v>
      </c>
      <c r="O11" s="26" t="n">
        <v>5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0.5</v>
      </c>
      <c r="S11" s="28" t="n">
        <f aca="false">IF($C11=0,"",G11/$C11)</f>
        <v>0.416666666666667</v>
      </c>
      <c r="T11" s="28" t="n">
        <f aca="false">IF($C11=0,"",H11/$C11)</f>
        <v>0.375</v>
      </c>
      <c r="U11" s="28" t="n">
        <f aca="false">IF($C11=0,"",I11/$C11)</f>
        <v>0.333333333333333</v>
      </c>
      <c r="V11" s="29" t="n">
        <f aca="false">IF($C11=0,"",K11/$C11)</f>
        <v>0</v>
      </c>
      <c r="W11" s="29" t="n">
        <f aca="false">IF($C11=0,"",M11/$C11)</f>
        <v>-0.0813916666666667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25</v>
      </c>
      <c r="D12" s="26" t="n">
        <v>6</v>
      </c>
      <c r="E12" s="26" t="n">
        <v>6</v>
      </c>
      <c r="F12" s="26" t="n">
        <v>19</v>
      </c>
      <c r="G12" s="26" t="n">
        <v>12</v>
      </c>
      <c r="H12" s="26" t="n">
        <v>8</v>
      </c>
      <c r="I12" s="26" t="n">
        <v>6</v>
      </c>
      <c r="J12" s="26" t="n">
        <v>0</v>
      </c>
      <c r="K12" s="27" t="n">
        <v>-7</v>
      </c>
      <c r="L12" s="27" t="n">
        <v>2.2199</v>
      </c>
      <c r="M12" s="19" t="n">
        <f aca="false">K12-L12</f>
        <v>-9.2199</v>
      </c>
      <c r="N12" s="26" t="n">
        <v>2</v>
      </c>
      <c r="O12" s="26" t="n">
        <v>6</v>
      </c>
      <c r="P12" s="28" t="n">
        <f aca="false">IF($C12=0,"",D12/$C12)</f>
        <v>0.24</v>
      </c>
      <c r="Q12" s="28" t="n">
        <f aca="false">IF($C12=0,"",E12/$C12)</f>
        <v>0.24</v>
      </c>
      <c r="R12" s="28" t="n">
        <f aca="false">IF($C12=0,"",F12/$C12)</f>
        <v>0.76</v>
      </c>
      <c r="S12" s="28" t="n">
        <f aca="false">IF($C12=0,"",G12/$C12)</f>
        <v>0.48</v>
      </c>
      <c r="T12" s="28" t="n">
        <f aca="false">IF($C12=0,"",H12/$C12)</f>
        <v>0.32</v>
      </c>
      <c r="U12" s="28" t="n">
        <f aca="false">IF($C12=0,"",I12/$C12)</f>
        <v>0.24</v>
      </c>
      <c r="V12" s="29" t="n">
        <f aca="false">IF($C12=0,"",K12/$C12)</f>
        <v>-0.28</v>
      </c>
      <c r="W12" s="29" t="n">
        <f aca="false">IF($C12=0,"",M12/$C12)</f>
        <v>-0.368796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24</v>
      </c>
      <c r="D13" s="26" t="n">
        <v>9</v>
      </c>
      <c r="E13" s="26" t="n">
        <v>9</v>
      </c>
      <c r="F13" s="26" t="n">
        <v>14</v>
      </c>
      <c r="G13" s="26" t="n">
        <v>12</v>
      </c>
      <c r="H13" s="26" t="n">
        <v>10</v>
      </c>
      <c r="I13" s="26" t="n">
        <v>9</v>
      </c>
      <c r="J13" s="26" t="n">
        <v>0</v>
      </c>
      <c r="K13" s="27" t="n">
        <v>3</v>
      </c>
      <c r="L13" s="27" t="n">
        <v>1.4673</v>
      </c>
      <c r="M13" s="19" t="n">
        <f aca="false">K13-L13</f>
        <v>1.5327</v>
      </c>
      <c r="N13" s="26" t="n">
        <v>2</v>
      </c>
      <c r="O13" s="26" t="n">
        <v>5</v>
      </c>
      <c r="P13" s="28" t="n">
        <f aca="false">IF($C13=0,"",D13/$C13)</f>
        <v>0.375</v>
      </c>
      <c r="Q13" s="28" t="n">
        <f aca="false">IF($C13=0,"",E13/$C13)</f>
        <v>0.375</v>
      </c>
      <c r="R13" s="28" t="n">
        <f aca="false">IF($C13=0,"",F13/$C13)</f>
        <v>0.583333333333333</v>
      </c>
      <c r="S13" s="28" t="n">
        <f aca="false">IF($C13=0,"",G13/$C13)</f>
        <v>0.5</v>
      </c>
      <c r="T13" s="28" t="n">
        <f aca="false">IF($C13=0,"",H13/$C13)</f>
        <v>0.416666666666667</v>
      </c>
      <c r="U13" s="28" t="n">
        <f aca="false">IF($C13=0,"",I13/$C13)</f>
        <v>0.375</v>
      </c>
      <c r="V13" s="29" t="n">
        <f aca="false">IF($C13=0,"",K13/$C13)</f>
        <v>0.125</v>
      </c>
      <c r="W13" s="29" t="n">
        <f aca="false">IF($C13=0,"",M13/$C13)</f>
        <v>0.0638625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27</v>
      </c>
      <c r="D14" s="26" t="n">
        <v>11</v>
      </c>
      <c r="E14" s="26" t="n">
        <v>11</v>
      </c>
      <c r="F14" s="26" t="n">
        <v>17</v>
      </c>
      <c r="G14" s="26" t="n">
        <v>16</v>
      </c>
      <c r="H14" s="26" t="n">
        <v>14</v>
      </c>
      <c r="I14" s="26" t="n">
        <v>11</v>
      </c>
      <c r="J14" s="26" t="n">
        <v>0</v>
      </c>
      <c r="K14" s="27" t="n">
        <v>6</v>
      </c>
      <c r="L14" s="27" t="n">
        <v>1.7727</v>
      </c>
      <c r="M14" s="19" t="n">
        <f aca="false">K14-L14</f>
        <v>4.2273</v>
      </c>
      <c r="N14" s="26" t="n">
        <v>2</v>
      </c>
      <c r="O14" s="26" t="n">
        <v>3</v>
      </c>
      <c r="P14" s="28" t="n">
        <f aca="false">IF($C14=0,"",D14/$C14)</f>
        <v>0.407407407407407</v>
      </c>
      <c r="Q14" s="28" t="n">
        <f aca="false">IF($C14=0,"",E14/$C14)</f>
        <v>0.407407407407407</v>
      </c>
      <c r="R14" s="28" t="n">
        <f aca="false">IF($C14=0,"",F14/$C14)</f>
        <v>0.62962962962963</v>
      </c>
      <c r="S14" s="28" t="n">
        <f aca="false">IF($C14=0,"",G14/$C14)</f>
        <v>0.592592592592593</v>
      </c>
      <c r="T14" s="28" t="n">
        <f aca="false">IF($C14=0,"",H14/$C14)</f>
        <v>0.518518518518519</v>
      </c>
      <c r="U14" s="28" t="n">
        <f aca="false">IF($C14=0,"",I14/$C14)</f>
        <v>0.407407407407407</v>
      </c>
      <c r="V14" s="29" t="n">
        <f aca="false">IF($C14=0,"",K14/$C14)</f>
        <v>0.222222222222222</v>
      </c>
      <c r="W14" s="29" t="n">
        <f aca="false">IF($C14=0,"",M14/$C14)</f>
        <v>0.156566666666667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22</v>
      </c>
      <c r="D15" s="26" t="n">
        <v>5</v>
      </c>
      <c r="E15" s="26" t="n">
        <v>5</v>
      </c>
      <c r="F15" s="26" t="n">
        <v>11</v>
      </c>
      <c r="G15" s="26" t="n">
        <v>11</v>
      </c>
      <c r="H15" s="26" t="n">
        <v>8</v>
      </c>
      <c r="I15" s="26" t="n">
        <v>5</v>
      </c>
      <c r="J15" s="26" t="n">
        <v>0</v>
      </c>
      <c r="K15" s="27" t="n">
        <v>-7</v>
      </c>
      <c r="L15" s="27" t="n">
        <v>1.1825</v>
      </c>
      <c r="M15" s="19" t="n">
        <f aca="false">K15-L15</f>
        <v>-8.1825</v>
      </c>
      <c r="N15" s="26" t="n">
        <v>2</v>
      </c>
      <c r="O15" s="26" t="n">
        <v>8</v>
      </c>
      <c r="P15" s="28" t="n">
        <f aca="false">IF($C15=0,"",D15/$C15)</f>
        <v>0.227272727272727</v>
      </c>
      <c r="Q15" s="28" t="n">
        <f aca="false">IF($C15=0,"",E15/$C15)</f>
        <v>0.227272727272727</v>
      </c>
      <c r="R15" s="28" t="n">
        <f aca="false">IF($C15=0,"",F15/$C15)</f>
        <v>0.5</v>
      </c>
      <c r="S15" s="28" t="n">
        <f aca="false">IF($C15=0,"",G15/$C15)</f>
        <v>0.5</v>
      </c>
      <c r="T15" s="28" t="n">
        <f aca="false">IF($C15=0,"",H15/$C15)</f>
        <v>0.363636363636364</v>
      </c>
      <c r="U15" s="28" t="n">
        <f aca="false">IF($C15=0,"",I15/$C15)</f>
        <v>0.227272727272727</v>
      </c>
      <c r="V15" s="29" t="n">
        <f aca="false">IF($C15=0,"",K15/$C15)</f>
        <v>-0.318181818181818</v>
      </c>
      <c r="W15" s="29" t="n">
        <f aca="false">IF($C15=0,"",M15/$C15)</f>
        <v>-0.371931818181818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22</v>
      </c>
      <c r="D16" s="26" t="n">
        <v>11</v>
      </c>
      <c r="E16" s="26" t="n">
        <v>11</v>
      </c>
      <c r="F16" s="26" t="n">
        <v>16</v>
      </c>
      <c r="G16" s="26" t="n">
        <v>12</v>
      </c>
      <c r="H16" s="26" t="n">
        <v>12</v>
      </c>
      <c r="I16" s="26" t="n">
        <v>11</v>
      </c>
      <c r="J16" s="26" t="n">
        <v>0</v>
      </c>
      <c r="K16" s="27" t="n">
        <v>11</v>
      </c>
      <c r="L16" s="27" t="n">
        <v>1.7517</v>
      </c>
      <c r="M16" s="19" t="n">
        <f aca="false">K16-L16</f>
        <v>9.2483</v>
      </c>
      <c r="N16" s="26" t="n">
        <v>3</v>
      </c>
      <c r="O16" s="26" t="n">
        <v>5</v>
      </c>
      <c r="P16" s="28" t="n">
        <f aca="false">IF($C16=0,"",D16/$C16)</f>
        <v>0.5</v>
      </c>
      <c r="Q16" s="28" t="n">
        <f aca="false">IF($C16=0,"",E16/$C16)</f>
        <v>0.5</v>
      </c>
      <c r="R16" s="28" t="n">
        <f aca="false">IF($C16=0,"",F16/$C16)</f>
        <v>0.727272727272727</v>
      </c>
      <c r="S16" s="28" t="n">
        <f aca="false">IF($C16=0,"",G16/$C16)</f>
        <v>0.545454545454545</v>
      </c>
      <c r="T16" s="28" t="n">
        <f aca="false">IF($C16=0,"",H16/$C16)</f>
        <v>0.545454545454545</v>
      </c>
      <c r="U16" s="28" t="n">
        <f aca="false">IF($C16=0,"",I16/$C16)</f>
        <v>0.5</v>
      </c>
      <c r="V16" s="29" t="n">
        <f aca="false">IF($C16=0,"",K16/$C16)</f>
        <v>0.5</v>
      </c>
      <c r="W16" s="29" t="n">
        <f aca="false">IF($C16=0,"",M16/$C16)</f>
        <v>0.420377272727273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27</v>
      </c>
      <c r="D17" s="26" t="n">
        <v>11</v>
      </c>
      <c r="E17" s="26" t="n">
        <v>11</v>
      </c>
      <c r="F17" s="26" t="n">
        <v>14</v>
      </c>
      <c r="G17" s="26" t="n">
        <v>14</v>
      </c>
      <c r="H17" s="26" t="n">
        <v>13</v>
      </c>
      <c r="I17" s="26" t="n">
        <v>11</v>
      </c>
      <c r="J17" s="26" t="n">
        <v>0</v>
      </c>
      <c r="K17" s="27" t="n">
        <v>6</v>
      </c>
      <c r="L17" s="27" t="n">
        <v>2.454</v>
      </c>
      <c r="M17" s="19" t="n">
        <f aca="false">K17-L17</f>
        <v>3.546</v>
      </c>
      <c r="N17" s="26" t="n">
        <v>2</v>
      </c>
      <c r="O17" s="26" t="n">
        <v>4</v>
      </c>
      <c r="P17" s="28" t="n">
        <f aca="false">IF($C17=0,"",D17/$C17)</f>
        <v>0.407407407407407</v>
      </c>
      <c r="Q17" s="28" t="n">
        <f aca="false">IF($C17=0,"",E17/$C17)</f>
        <v>0.407407407407407</v>
      </c>
      <c r="R17" s="28" t="n">
        <f aca="false">IF($C17=0,"",F17/$C17)</f>
        <v>0.518518518518519</v>
      </c>
      <c r="S17" s="28" t="n">
        <f aca="false">IF($C17=0,"",G17/$C17)</f>
        <v>0.518518518518519</v>
      </c>
      <c r="T17" s="28" t="n">
        <f aca="false">IF($C17=0,"",H17/$C17)</f>
        <v>0.481481481481481</v>
      </c>
      <c r="U17" s="28" t="n">
        <f aca="false">IF($C17=0,"",I17/$C17)</f>
        <v>0.407407407407407</v>
      </c>
      <c r="V17" s="29" t="n">
        <f aca="false">IF($C17=0,"",K17/$C17)</f>
        <v>0.222222222222222</v>
      </c>
      <c r="W17" s="29" t="n">
        <f aca="false">IF($C17=0,"",M17/$C17)</f>
        <v>0.131333333333333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291</v>
      </c>
      <c r="D18" s="30" t="n">
        <f aca="false">SUM(D6:D17)</f>
        <v>101</v>
      </c>
      <c r="E18" s="30" t="n">
        <f aca="false">SUM(E6:E17)</f>
        <v>101</v>
      </c>
      <c r="F18" s="30" t="n">
        <f aca="false">SUM(F6:F17)</f>
        <v>182</v>
      </c>
      <c r="G18" s="30" t="n">
        <f aca="false">SUM(G6:G17)</f>
        <v>148</v>
      </c>
      <c r="H18" s="30" t="n">
        <f aca="false">SUM(H6:H17)</f>
        <v>120</v>
      </c>
      <c r="I18" s="30" t="n">
        <f aca="false">SUM(I6:I17)</f>
        <v>101</v>
      </c>
      <c r="J18" s="30" t="n">
        <f aca="false">SUM(J6:J17)</f>
        <v>0</v>
      </c>
      <c r="K18" s="31" t="n">
        <f aca="false">SUM(K6:K17)</f>
        <v>12</v>
      </c>
      <c r="L18" s="31" t="n">
        <f aca="false">SUM(L6:L17)</f>
        <v>19.7207</v>
      </c>
      <c r="M18" s="31" t="n">
        <f aca="false">K18-L18</f>
        <v>-7.7207</v>
      </c>
      <c r="N18" s="32" t="n">
        <v>3</v>
      </c>
      <c r="O18" s="32" t="n">
        <v>10</v>
      </c>
      <c r="P18" s="33" t="n">
        <f aca="false">IF($C18=0,"",D18/$C18)</f>
        <v>0.347079037800687</v>
      </c>
      <c r="Q18" s="33" t="n">
        <f aca="false">IF($C18=0,"",E18/$C18)</f>
        <v>0.347079037800687</v>
      </c>
      <c r="R18" s="33" t="n">
        <f aca="false">IF($C18=0,"",F18/$C18)</f>
        <v>0.625429553264605</v>
      </c>
      <c r="S18" s="33" t="n">
        <f aca="false">IF($C18=0,"",G18/$C18)</f>
        <v>0.508591065292096</v>
      </c>
      <c r="T18" s="33" t="n">
        <f aca="false">IF($C18=0,"",H18/$C18)</f>
        <v>0.412371134020619</v>
      </c>
      <c r="U18" s="33" t="n">
        <f aca="false">IF($C18=0,"",I18/$C18)</f>
        <v>0.347079037800687</v>
      </c>
      <c r="V18" s="34" t="n">
        <f aca="false">IF($C18=0,"",K18/$C18)</f>
        <v>0.0412371134020619</v>
      </c>
      <c r="W18" s="34" t="n">
        <f aca="false">IF($C18=0,"",M18/$C18)</f>
        <v>-0.0265316151202749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27</v>
      </c>
      <c r="D19" s="26" t="n">
        <v>5</v>
      </c>
      <c r="E19" s="26" t="n">
        <v>5</v>
      </c>
      <c r="F19" s="26" t="n">
        <v>15</v>
      </c>
      <c r="G19" s="26" t="n">
        <v>9</v>
      </c>
      <c r="H19" s="26" t="n">
        <v>7</v>
      </c>
      <c r="I19" s="26" t="n">
        <v>5</v>
      </c>
      <c r="J19" s="26" t="n">
        <v>0</v>
      </c>
      <c r="K19" s="27" t="n">
        <v>-12</v>
      </c>
      <c r="L19" s="27" t="n">
        <v>1.94</v>
      </c>
      <c r="M19" s="19" t="n">
        <f aca="false">K19-L19</f>
        <v>-13.94</v>
      </c>
      <c r="N19" s="26" t="n">
        <v>2</v>
      </c>
      <c r="O19" s="26" t="n">
        <v>9</v>
      </c>
      <c r="P19" s="28" t="n">
        <f aca="false">IF($C19=0,"",D19/$C19)</f>
        <v>0.185185185185185</v>
      </c>
      <c r="Q19" s="28" t="n">
        <f aca="false">IF($C19=0,"",E19/$C19)</f>
        <v>0.185185185185185</v>
      </c>
      <c r="R19" s="28" t="n">
        <f aca="false">IF($C19=0,"",F19/$C19)</f>
        <v>0.555555555555556</v>
      </c>
      <c r="S19" s="28" t="n">
        <f aca="false">IF($C19=0,"",G19/$C19)</f>
        <v>0.333333333333333</v>
      </c>
      <c r="T19" s="28" t="n">
        <f aca="false">IF($C19=0,"",H19/$C19)</f>
        <v>0.259259259259259</v>
      </c>
      <c r="U19" s="28" t="n">
        <f aca="false">IF($C19=0,"",I19/$C19)</f>
        <v>0.185185185185185</v>
      </c>
      <c r="V19" s="29" t="n">
        <f aca="false">IF($C19=0,"",K19/$C19)</f>
        <v>-0.444444444444444</v>
      </c>
      <c r="W19" s="29" t="n">
        <f aca="false">IF($C19=0,"",M19/$C19)</f>
        <v>-0.516296296296296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26</v>
      </c>
      <c r="D20" s="26" t="n">
        <v>13</v>
      </c>
      <c r="E20" s="26" t="n">
        <v>13</v>
      </c>
      <c r="F20" s="26" t="n">
        <v>17</v>
      </c>
      <c r="G20" s="26" t="n">
        <v>15</v>
      </c>
      <c r="H20" s="26" t="n">
        <v>14</v>
      </c>
      <c r="I20" s="26" t="n">
        <v>13</v>
      </c>
      <c r="J20" s="26" t="n">
        <v>0</v>
      </c>
      <c r="K20" s="27" t="n">
        <v>13</v>
      </c>
      <c r="L20" s="27" t="n">
        <v>1.4636</v>
      </c>
      <c r="M20" s="19" t="n">
        <f aca="false">K20-L20</f>
        <v>11.5364</v>
      </c>
      <c r="N20" s="26" t="n">
        <v>5</v>
      </c>
      <c r="O20" s="26" t="n">
        <v>4</v>
      </c>
      <c r="P20" s="28" t="n">
        <f aca="false">IF($C20=0,"",D20/$C20)</f>
        <v>0.5</v>
      </c>
      <c r="Q20" s="28" t="n">
        <f aca="false">IF($C20=0,"",E20/$C20)</f>
        <v>0.5</v>
      </c>
      <c r="R20" s="28" t="n">
        <f aca="false">IF($C20=0,"",F20/$C20)</f>
        <v>0.653846153846154</v>
      </c>
      <c r="S20" s="28" t="n">
        <f aca="false">IF($C20=0,"",G20/$C20)</f>
        <v>0.576923076923077</v>
      </c>
      <c r="T20" s="28" t="n">
        <f aca="false">IF($C20=0,"",H20/$C20)</f>
        <v>0.538461538461538</v>
      </c>
      <c r="U20" s="28" t="n">
        <f aca="false">IF($C20=0,"",I20/$C20)</f>
        <v>0.5</v>
      </c>
      <c r="V20" s="29" t="n">
        <f aca="false">IF($C20=0,"",K20/$C20)</f>
        <v>0.5</v>
      </c>
      <c r="W20" s="29" t="n">
        <f aca="false">IF($C20=0,"",M20/$C20)</f>
        <v>0.443707692307692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28</v>
      </c>
      <c r="D21" s="26" t="n">
        <v>11</v>
      </c>
      <c r="E21" s="26" t="n">
        <v>11</v>
      </c>
      <c r="F21" s="26" t="n">
        <v>17</v>
      </c>
      <c r="G21" s="26" t="n">
        <v>16</v>
      </c>
      <c r="H21" s="26" t="n">
        <v>13</v>
      </c>
      <c r="I21" s="26" t="n">
        <v>11</v>
      </c>
      <c r="J21" s="26" t="n">
        <v>0</v>
      </c>
      <c r="K21" s="27" t="n">
        <v>5</v>
      </c>
      <c r="L21" s="27" t="n">
        <v>1.2054</v>
      </c>
      <c r="M21" s="19" t="n">
        <f aca="false">K21-L21</f>
        <v>3.7946</v>
      </c>
      <c r="N21" s="26" t="n">
        <v>4</v>
      </c>
      <c r="O21" s="26" t="n">
        <v>5</v>
      </c>
      <c r="P21" s="28" t="n">
        <f aca="false">IF($C21=0,"",D21/$C21)</f>
        <v>0.392857142857143</v>
      </c>
      <c r="Q21" s="28" t="n">
        <f aca="false">IF($C21=0,"",E21/$C21)</f>
        <v>0.392857142857143</v>
      </c>
      <c r="R21" s="28" t="n">
        <f aca="false">IF($C21=0,"",F21/$C21)</f>
        <v>0.607142857142857</v>
      </c>
      <c r="S21" s="28" t="n">
        <f aca="false">IF($C21=0,"",G21/$C21)</f>
        <v>0.571428571428571</v>
      </c>
      <c r="T21" s="28" t="n">
        <f aca="false">IF($C21=0,"",H21/$C21)</f>
        <v>0.464285714285714</v>
      </c>
      <c r="U21" s="28" t="n">
        <f aca="false">IF($C21=0,"",I21/$C21)</f>
        <v>0.392857142857143</v>
      </c>
      <c r="V21" s="29" t="n">
        <f aca="false">IF($C21=0,"",K21/$C21)</f>
        <v>0.178571428571429</v>
      </c>
      <c r="W21" s="29" t="n">
        <f aca="false">IF($C21=0,"",M21/$C21)</f>
        <v>0.135521428571429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26</v>
      </c>
      <c r="D22" s="26" t="n">
        <v>8</v>
      </c>
      <c r="E22" s="26" t="n">
        <v>8</v>
      </c>
      <c r="F22" s="26" t="n">
        <v>18</v>
      </c>
      <c r="G22" s="26" t="n">
        <v>17</v>
      </c>
      <c r="H22" s="26" t="n">
        <v>11</v>
      </c>
      <c r="I22" s="26" t="n">
        <v>8</v>
      </c>
      <c r="J22" s="26" t="n">
        <v>0</v>
      </c>
      <c r="K22" s="27" t="n">
        <v>-2</v>
      </c>
      <c r="L22" s="27" t="n">
        <v>1.3508</v>
      </c>
      <c r="M22" s="19" t="n">
        <f aca="false">K22-L22</f>
        <v>-3.3508</v>
      </c>
      <c r="N22" s="26" t="n">
        <v>1</v>
      </c>
      <c r="O22" s="26" t="n">
        <v>6</v>
      </c>
      <c r="P22" s="28" t="n">
        <f aca="false">IF($C22=0,"",D22/$C22)</f>
        <v>0.307692307692308</v>
      </c>
      <c r="Q22" s="28" t="n">
        <f aca="false">IF($C22=0,"",E22/$C22)</f>
        <v>0.307692307692308</v>
      </c>
      <c r="R22" s="28" t="n">
        <f aca="false">IF($C22=0,"",F22/$C22)</f>
        <v>0.692307692307692</v>
      </c>
      <c r="S22" s="28" t="n">
        <f aca="false">IF($C22=0,"",G22/$C22)</f>
        <v>0.653846153846154</v>
      </c>
      <c r="T22" s="28" t="n">
        <f aca="false">IF($C22=0,"",H22/$C22)</f>
        <v>0.423076923076923</v>
      </c>
      <c r="U22" s="28" t="n">
        <f aca="false">IF($C22=0,"",I22/$C22)</f>
        <v>0.307692307692308</v>
      </c>
      <c r="V22" s="29" t="n">
        <f aca="false">IF($C22=0,"",K22/$C22)</f>
        <v>-0.0769230769230769</v>
      </c>
      <c r="W22" s="29" t="n">
        <f aca="false">IF($C22=0,"",M22/$C22)</f>
        <v>-0.128876923076923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24</v>
      </c>
      <c r="D23" s="26" t="n">
        <v>6</v>
      </c>
      <c r="E23" s="26" t="n">
        <v>6</v>
      </c>
      <c r="F23" s="26" t="n">
        <v>12</v>
      </c>
      <c r="G23" s="26" t="n">
        <v>9</v>
      </c>
      <c r="H23" s="26" t="n">
        <v>7</v>
      </c>
      <c r="I23" s="26" t="n">
        <v>6</v>
      </c>
      <c r="J23" s="26" t="n">
        <v>0</v>
      </c>
      <c r="K23" s="27" t="n">
        <v>-6</v>
      </c>
      <c r="L23" s="27" t="n">
        <v>1.5311</v>
      </c>
      <c r="M23" s="19" t="n">
        <f aca="false">K23-L23</f>
        <v>-7.5311</v>
      </c>
      <c r="N23" s="26" t="n">
        <v>2</v>
      </c>
      <c r="O23" s="26" t="n">
        <v>6</v>
      </c>
      <c r="P23" s="28" t="n">
        <f aca="false">IF($C23=0,"",D23/$C23)</f>
        <v>0.25</v>
      </c>
      <c r="Q23" s="28" t="n">
        <f aca="false">IF($C23=0,"",E23/$C23)</f>
        <v>0.25</v>
      </c>
      <c r="R23" s="28" t="n">
        <f aca="false">IF($C23=0,"",F23/$C23)</f>
        <v>0.5</v>
      </c>
      <c r="S23" s="28" t="n">
        <f aca="false">IF($C23=0,"",G23/$C23)</f>
        <v>0.375</v>
      </c>
      <c r="T23" s="28" t="n">
        <f aca="false">IF($C23=0,"",H23/$C23)</f>
        <v>0.291666666666667</v>
      </c>
      <c r="U23" s="28" t="n">
        <f aca="false">IF($C23=0,"",I23/$C23)</f>
        <v>0.25</v>
      </c>
      <c r="V23" s="29" t="n">
        <f aca="false">IF($C23=0,"",K23/$C23)</f>
        <v>-0.25</v>
      </c>
      <c r="W23" s="29" t="n">
        <f aca="false">IF($C23=0,"",M23/$C23)</f>
        <v>-0.313795833333333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23</v>
      </c>
      <c r="D24" s="26" t="n">
        <v>11</v>
      </c>
      <c r="E24" s="26" t="n">
        <v>11</v>
      </c>
      <c r="F24" s="26" t="n">
        <v>18</v>
      </c>
      <c r="G24" s="26" t="n">
        <v>17</v>
      </c>
      <c r="H24" s="26" t="n">
        <v>14</v>
      </c>
      <c r="I24" s="26" t="n">
        <v>11</v>
      </c>
      <c r="J24" s="26" t="n">
        <v>0</v>
      </c>
      <c r="K24" s="27" t="n">
        <v>10</v>
      </c>
      <c r="L24" s="27" t="n">
        <v>1.599</v>
      </c>
      <c r="M24" s="19" t="n">
        <f aca="false">K24-L24</f>
        <v>8.401</v>
      </c>
      <c r="N24" s="26" t="n">
        <v>3</v>
      </c>
      <c r="O24" s="26" t="n">
        <v>3</v>
      </c>
      <c r="P24" s="28" t="n">
        <f aca="false">IF($C24=0,"",D24/$C24)</f>
        <v>0.478260869565217</v>
      </c>
      <c r="Q24" s="28" t="n">
        <f aca="false">IF($C24=0,"",E24/$C24)</f>
        <v>0.478260869565217</v>
      </c>
      <c r="R24" s="28" t="n">
        <f aca="false">IF($C24=0,"",F24/$C24)</f>
        <v>0.782608695652174</v>
      </c>
      <c r="S24" s="28" t="n">
        <f aca="false">IF($C24=0,"",G24/$C24)</f>
        <v>0.739130434782609</v>
      </c>
      <c r="T24" s="28" t="n">
        <f aca="false">IF($C24=0,"",H24/$C24)</f>
        <v>0.608695652173913</v>
      </c>
      <c r="U24" s="28" t="n">
        <f aca="false">IF($C24=0,"",I24/$C24)</f>
        <v>0.478260869565217</v>
      </c>
      <c r="V24" s="29" t="n">
        <f aca="false">IF($C24=0,"",K24/$C24)</f>
        <v>0.434782608695652</v>
      </c>
      <c r="W24" s="29" t="n">
        <f aca="false">IF($C24=0,"",M24/$C24)</f>
        <v>0.365260869565217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27</v>
      </c>
      <c r="D25" s="26" t="n">
        <v>14</v>
      </c>
      <c r="E25" s="26" t="n">
        <v>14</v>
      </c>
      <c r="F25" s="26" t="n">
        <v>20</v>
      </c>
      <c r="G25" s="26" t="n">
        <v>14</v>
      </c>
      <c r="H25" s="26" t="n">
        <v>14</v>
      </c>
      <c r="I25" s="26" t="n">
        <v>14</v>
      </c>
      <c r="J25" s="26" t="n">
        <v>0</v>
      </c>
      <c r="K25" s="27" t="n">
        <v>15</v>
      </c>
      <c r="L25" s="27" t="n">
        <v>2.0402</v>
      </c>
      <c r="M25" s="19" t="n">
        <f aca="false">K25-L25</f>
        <v>12.9598</v>
      </c>
      <c r="N25" s="26" t="n">
        <v>3</v>
      </c>
      <c r="O25" s="26" t="n">
        <v>3</v>
      </c>
      <c r="P25" s="28" t="n">
        <f aca="false">IF($C25=0,"",D25/$C25)</f>
        <v>0.518518518518519</v>
      </c>
      <c r="Q25" s="28" t="n">
        <f aca="false">IF($C25=0,"",E25/$C25)</f>
        <v>0.518518518518519</v>
      </c>
      <c r="R25" s="28" t="n">
        <f aca="false">IF($C25=0,"",F25/$C25)</f>
        <v>0.740740740740741</v>
      </c>
      <c r="S25" s="28" t="n">
        <f aca="false">IF($C25=0,"",G25/$C25)</f>
        <v>0.518518518518519</v>
      </c>
      <c r="T25" s="28" t="n">
        <f aca="false">IF($C25=0,"",H25/$C25)</f>
        <v>0.518518518518519</v>
      </c>
      <c r="U25" s="28" t="n">
        <f aca="false">IF($C25=0,"",I25/$C25)</f>
        <v>0.518518518518519</v>
      </c>
      <c r="V25" s="29" t="n">
        <f aca="false">IF($C25=0,"",K25/$C25)</f>
        <v>0.555555555555556</v>
      </c>
      <c r="W25" s="29" t="n">
        <f aca="false">IF($C25=0,"",M25/$C25)</f>
        <v>0.479992592592593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26</v>
      </c>
      <c r="D26" s="26" t="n">
        <v>10</v>
      </c>
      <c r="E26" s="26" t="n">
        <v>10</v>
      </c>
      <c r="F26" s="26" t="n">
        <v>19</v>
      </c>
      <c r="G26" s="26" t="n">
        <v>14</v>
      </c>
      <c r="H26" s="26" t="n">
        <v>14</v>
      </c>
      <c r="I26" s="26" t="n">
        <v>10</v>
      </c>
      <c r="J26" s="26" t="n">
        <v>0</v>
      </c>
      <c r="K26" s="27" t="n">
        <v>4</v>
      </c>
      <c r="L26" s="27" t="n">
        <v>1.9576</v>
      </c>
      <c r="M26" s="19" t="n">
        <f aca="false">K26-L26</f>
        <v>2.0424</v>
      </c>
      <c r="N26" s="26" t="n">
        <v>4</v>
      </c>
      <c r="O26" s="26" t="n">
        <v>5</v>
      </c>
      <c r="P26" s="28" t="n">
        <f aca="false">IF($C26=0,"",D26/$C26)</f>
        <v>0.384615384615385</v>
      </c>
      <c r="Q26" s="28" t="n">
        <f aca="false">IF($C26=0,"",E26/$C26)</f>
        <v>0.384615384615385</v>
      </c>
      <c r="R26" s="28" t="n">
        <f aca="false">IF($C26=0,"",F26/$C26)</f>
        <v>0.730769230769231</v>
      </c>
      <c r="S26" s="28" t="n">
        <f aca="false">IF($C26=0,"",G26/$C26)</f>
        <v>0.538461538461538</v>
      </c>
      <c r="T26" s="28" t="n">
        <f aca="false">IF($C26=0,"",H26/$C26)</f>
        <v>0.538461538461538</v>
      </c>
      <c r="U26" s="28" t="n">
        <f aca="false">IF($C26=0,"",I26/$C26)</f>
        <v>0.384615384615385</v>
      </c>
      <c r="V26" s="29" t="n">
        <f aca="false">IF($C26=0,"",K26/$C26)</f>
        <v>0.153846153846154</v>
      </c>
      <c r="W26" s="29" t="n">
        <f aca="false">IF($C26=0,"",M26/$C26)</f>
        <v>0.0785538461538461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25</v>
      </c>
      <c r="D27" s="26" t="n">
        <v>10</v>
      </c>
      <c r="E27" s="26" t="n">
        <v>10</v>
      </c>
      <c r="F27" s="26" t="n">
        <v>14</v>
      </c>
      <c r="G27" s="26" t="n">
        <v>14</v>
      </c>
      <c r="H27" s="26" t="n">
        <v>12</v>
      </c>
      <c r="I27" s="26" t="n">
        <v>10</v>
      </c>
      <c r="J27" s="26" t="n">
        <v>0</v>
      </c>
      <c r="K27" s="27" t="n">
        <v>5</v>
      </c>
      <c r="L27" s="27" t="n">
        <v>1.9369</v>
      </c>
      <c r="M27" s="19" t="n">
        <f aca="false">K27-L27</f>
        <v>3.0631</v>
      </c>
      <c r="N27" s="26" t="n">
        <v>6</v>
      </c>
      <c r="O27" s="26" t="n">
        <v>4</v>
      </c>
      <c r="P27" s="28" t="n">
        <f aca="false">IF($C27=0,"",D27/$C27)</f>
        <v>0.4</v>
      </c>
      <c r="Q27" s="28" t="n">
        <f aca="false">IF($C27=0,"",E27/$C27)</f>
        <v>0.4</v>
      </c>
      <c r="R27" s="28" t="n">
        <f aca="false">IF($C27=0,"",F27/$C27)</f>
        <v>0.56</v>
      </c>
      <c r="S27" s="28" t="n">
        <f aca="false">IF($C27=0,"",G27/$C27)</f>
        <v>0.56</v>
      </c>
      <c r="T27" s="28" t="n">
        <f aca="false">IF($C27=0,"",H27/$C27)</f>
        <v>0.48</v>
      </c>
      <c r="U27" s="28" t="n">
        <f aca="false">IF($C27=0,"",I27/$C27)</f>
        <v>0.4</v>
      </c>
      <c r="V27" s="29" t="n">
        <f aca="false">IF($C27=0,"",K27/$C27)</f>
        <v>0.2</v>
      </c>
      <c r="W27" s="29" t="n">
        <f aca="false">IF($C27=0,"",M27/$C27)</f>
        <v>0.122524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27</v>
      </c>
      <c r="D28" s="26" t="n">
        <v>10</v>
      </c>
      <c r="E28" s="26" t="n">
        <v>10</v>
      </c>
      <c r="F28" s="26" t="n">
        <v>20</v>
      </c>
      <c r="G28" s="26" t="n">
        <v>16</v>
      </c>
      <c r="H28" s="26" t="n">
        <v>12</v>
      </c>
      <c r="I28" s="26" t="n">
        <v>10</v>
      </c>
      <c r="J28" s="26" t="n">
        <v>0</v>
      </c>
      <c r="K28" s="27" t="n">
        <v>3</v>
      </c>
      <c r="L28" s="27" t="n">
        <v>1.7553</v>
      </c>
      <c r="M28" s="19" t="n">
        <f aca="false">K28-L28</f>
        <v>1.2447</v>
      </c>
      <c r="N28" s="26" t="n">
        <v>3</v>
      </c>
      <c r="O28" s="26" t="n">
        <v>6</v>
      </c>
      <c r="P28" s="28" t="n">
        <f aca="false">IF($C28=0,"",D28/$C28)</f>
        <v>0.37037037037037</v>
      </c>
      <c r="Q28" s="28" t="n">
        <f aca="false">IF($C28=0,"",E28/$C28)</f>
        <v>0.37037037037037</v>
      </c>
      <c r="R28" s="28" t="n">
        <f aca="false">IF($C28=0,"",F28/$C28)</f>
        <v>0.740740740740741</v>
      </c>
      <c r="S28" s="28" t="n">
        <f aca="false">IF($C28=0,"",G28/$C28)</f>
        <v>0.592592592592593</v>
      </c>
      <c r="T28" s="28" t="n">
        <f aca="false">IF($C28=0,"",H28/$C28)</f>
        <v>0.444444444444444</v>
      </c>
      <c r="U28" s="28" t="n">
        <f aca="false">IF($C28=0,"",I28/$C28)</f>
        <v>0.37037037037037</v>
      </c>
      <c r="V28" s="29" t="n">
        <f aca="false">IF($C28=0,"",K28/$C28)</f>
        <v>0.111111111111111</v>
      </c>
      <c r="W28" s="29" t="n">
        <f aca="false">IF($C28=0,"",M28/$C28)</f>
        <v>0.0461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22</v>
      </c>
      <c r="D29" s="26" t="n">
        <v>10</v>
      </c>
      <c r="E29" s="26" t="n">
        <v>10</v>
      </c>
      <c r="F29" s="26" t="n">
        <v>17</v>
      </c>
      <c r="G29" s="26" t="n">
        <v>15</v>
      </c>
      <c r="H29" s="26" t="n">
        <v>11</v>
      </c>
      <c r="I29" s="26" t="n">
        <v>10</v>
      </c>
      <c r="J29" s="26" t="n">
        <v>0</v>
      </c>
      <c r="K29" s="27" t="n">
        <v>8</v>
      </c>
      <c r="L29" s="27" t="n">
        <v>1.4793</v>
      </c>
      <c r="M29" s="19" t="n">
        <f aca="false">K29-L29</f>
        <v>6.5207</v>
      </c>
      <c r="N29" s="26" t="n">
        <v>5</v>
      </c>
      <c r="O29" s="26" t="n">
        <v>4</v>
      </c>
      <c r="P29" s="28" t="n">
        <f aca="false">IF($C29=0,"",D29/$C29)</f>
        <v>0.454545454545455</v>
      </c>
      <c r="Q29" s="28" t="n">
        <f aca="false">IF($C29=0,"",E29/$C29)</f>
        <v>0.454545454545455</v>
      </c>
      <c r="R29" s="28" t="n">
        <f aca="false">IF($C29=0,"",F29/$C29)</f>
        <v>0.772727272727273</v>
      </c>
      <c r="S29" s="28" t="n">
        <f aca="false">IF($C29=0,"",G29/$C29)</f>
        <v>0.681818181818182</v>
      </c>
      <c r="T29" s="28" t="n">
        <f aca="false">IF($C29=0,"",H29/$C29)</f>
        <v>0.5</v>
      </c>
      <c r="U29" s="28" t="n">
        <f aca="false">IF($C29=0,"",I29/$C29)</f>
        <v>0.454545454545455</v>
      </c>
      <c r="V29" s="29" t="n">
        <f aca="false">IF($C29=0,"",K29/$C29)</f>
        <v>0.363636363636364</v>
      </c>
      <c r="W29" s="29" t="n">
        <f aca="false">IF($C29=0,"",M29/$C29)</f>
        <v>0.296395454545455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30</v>
      </c>
      <c r="D30" s="26" t="n">
        <v>8</v>
      </c>
      <c r="E30" s="26" t="n">
        <v>8</v>
      </c>
      <c r="F30" s="26" t="n">
        <v>17</v>
      </c>
      <c r="G30" s="26" t="n">
        <v>13</v>
      </c>
      <c r="H30" s="26" t="n">
        <v>9</v>
      </c>
      <c r="I30" s="26" t="n">
        <v>8</v>
      </c>
      <c r="J30" s="26" t="n">
        <v>0</v>
      </c>
      <c r="K30" s="27" t="n">
        <v>-6</v>
      </c>
      <c r="L30" s="27" t="n">
        <v>2.2329</v>
      </c>
      <c r="M30" s="19" t="n">
        <f aca="false">K30-L30</f>
        <v>-8.2329</v>
      </c>
      <c r="N30" s="26" t="n">
        <v>2</v>
      </c>
      <c r="O30" s="26" t="n">
        <v>7</v>
      </c>
      <c r="P30" s="28" t="n">
        <f aca="false">IF($C30=0,"",D30/$C30)</f>
        <v>0.266666666666667</v>
      </c>
      <c r="Q30" s="28" t="n">
        <f aca="false">IF($C30=0,"",E30/$C30)</f>
        <v>0.266666666666667</v>
      </c>
      <c r="R30" s="28" t="n">
        <f aca="false">IF($C30=0,"",F30/$C30)</f>
        <v>0.566666666666667</v>
      </c>
      <c r="S30" s="28" t="n">
        <f aca="false">IF($C30=0,"",G30/$C30)</f>
        <v>0.433333333333333</v>
      </c>
      <c r="T30" s="28" t="n">
        <f aca="false">IF($C30=0,"",H30/$C30)</f>
        <v>0.3</v>
      </c>
      <c r="U30" s="28" t="n">
        <f aca="false">IF($C30=0,"",I30/$C30)</f>
        <v>0.266666666666667</v>
      </c>
      <c r="V30" s="29" t="n">
        <f aca="false">IF($C30=0,"",K30/$C30)</f>
        <v>-0.2</v>
      </c>
      <c r="W30" s="29" t="n">
        <f aca="false">IF($C30=0,"",M30/$C30)</f>
        <v>-0.27443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311</v>
      </c>
      <c r="D31" s="30" t="n">
        <f aca="false">SUM(D19:D30)</f>
        <v>116</v>
      </c>
      <c r="E31" s="30" t="n">
        <f aca="false">SUM(E19:E30)</f>
        <v>116</v>
      </c>
      <c r="F31" s="30" t="n">
        <f aca="false">SUM(F19:F30)</f>
        <v>204</v>
      </c>
      <c r="G31" s="30" t="n">
        <f aca="false">SUM(G19:G30)</f>
        <v>169</v>
      </c>
      <c r="H31" s="30" t="n">
        <f aca="false">SUM(H19:H30)</f>
        <v>138</v>
      </c>
      <c r="I31" s="30" t="n">
        <f aca="false">SUM(I19:I30)</f>
        <v>116</v>
      </c>
      <c r="J31" s="30" t="n">
        <f aca="false">SUM(J19:J30)</f>
        <v>0</v>
      </c>
      <c r="K31" s="31" t="n">
        <f aca="false">SUM(K19:K30)</f>
        <v>37</v>
      </c>
      <c r="L31" s="31" t="n">
        <f aca="false">SUM(L19:L30)</f>
        <v>20.4921</v>
      </c>
      <c r="M31" s="31" t="n">
        <f aca="false">K31-L31</f>
        <v>16.5079</v>
      </c>
      <c r="N31" s="32" t="n">
        <v>6</v>
      </c>
      <c r="O31" s="32" t="n">
        <v>10</v>
      </c>
      <c r="P31" s="33" t="n">
        <f aca="false">IF($C31=0,"",D31/$C31)</f>
        <v>0.372990353697749</v>
      </c>
      <c r="Q31" s="33" t="n">
        <f aca="false">IF($C31=0,"",E31/$C31)</f>
        <v>0.372990353697749</v>
      </c>
      <c r="R31" s="33" t="n">
        <f aca="false">IF($C31=0,"",F31/$C31)</f>
        <v>0.655948553054662</v>
      </c>
      <c r="S31" s="33" t="n">
        <f aca="false">IF($C31=0,"",G31/$C31)</f>
        <v>0.543408360128617</v>
      </c>
      <c r="T31" s="33" t="n">
        <f aca="false">IF($C31=0,"",H31/$C31)</f>
        <v>0.443729903536978</v>
      </c>
      <c r="U31" s="33" t="n">
        <f aca="false">IF($C31=0,"",I31/$C31)</f>
        <v>0.372990353697749</v>
      </c>
      <c r="V31" s="34" t="n">
        <f aca="false">IF($C31=0,"",K31/$C31)</f>
        <v>0.118971061093248</v>
      </c>
      <c r="W31" s="34" t="n">
        <f aca="false">IF($C31=0,"",M31/$C31)</f>
        <v>0.0530800643086817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29</v>
      </c>
      <c r="D32" s="26" t="n">
        <v>10</v>
      </c>
      <c r="E32" s="26" t="n">
        <v>10</v>
      </c>
      <c r="F32" s="26" t="n">
        <v>18</v>
      </c>
      <c r="G32" s="26" t="n">
        <v>15</v>
      </c>
      <c r="H32" s="26" t="n">
        <v>11</v>
      </c>
      <c r="I32" s="26" t="n">
        <v>10</v>
      </c>
      <c r="J32" s="26" t="n">
        <v>0</v>
      </c>
      <c r="K32" s="27" t="n">
        <v>1</v>
      </c>
      <c r="L32" s="27" t="n">
        <v>1.9705</v>
      </c>
      <c r="M32" s="19" t="n">
        <f aca="false">K32-L32</f>
        <v>-0.9705</v>
      </c>
      <c r="N32" s="26" t="n">
        <v>3</v>
      </c>
      <c r="O32" s="26" t="n">
        <v>5</v>
      </c>
      <c r="P32" s="28" t="n">
        <f aca="false">IF($C32=0,"",D32/$C32)</f>
        <v>0.344827586206897</v>
      </c>
      <c r="Q32" s="28" t="n">
        <f aca="false">IF($C32=0,"",E32/$C32)</f>
        <v>0.344827586206897</v>
      </c>
      <c r="R32" s="28" t="n">
        <f aca="false">IF($C32=0,"",F32/$C32)</f>
        <v>0.620689655172414</v>
      </c>
      <c r="S32" s="28" t="n">
        <f aca="false">IF($C32=0,"",G32/$C32)</f>
        <v>0.517241379310345</v>
      </c>
      <c r="T32" s="28" t="n">
        <f aca="false">IF($C32=0,"",H32/$C32)</f>
        <v>0.379310344827586</v>
      </c>
      <c r="U32" s="28" t="n">
        <f aca="false">IF($C32=0,"",I32/$C32)</f>
        <v>0.344827586206897</v>
      </c>
      <c r="V32" s="29" t="n">
        <f aca="false">IF($C32=0,"",K32/$C32)</f>
        <v>0.0344827586206897</v>
      </c>
      <c r="W32" s="29" t="n">
        <f aca="false">IF($C32=0,"",M32/$C32)</f>
        <v>-0.0334655172413793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29</v>
      </c>
      <c r="D33" s="26" t="n">
        <v>9</v>
      </c>
      <c r="E33" s="26" t="n">
        <v>9</v>
      </c>
      <c r="F33" s="26" t="n">
        <v>19</v>
      </c>
      <c r="G33" s="26" t="n">
        <v>14</v>
      </c>
      <c r="H33" s="26" t="n">
        <v>11</v>
      </c>
      <c r="I33" s="26" t="n">
        <v>9</v>
      </c>
      <c r="J33" s="26" t="n">
        <v>0</v>
      </c>
      <c r="K33" s="27" t="n">
        <v>-2</v>
      </c>
      <c r="L33" s="27" t="n">
        <v>2.0534</v>
      </c>
      <c r="M33" s="19" t="n">
        <f aca="false">K33-L33</f>
        <v>-4.0534</v>
      </c>
      <c r="N33" s="26" t="n">
        <v>3</v>
      </c>
      <c r="O33" s="26" t="n">
        <v>9</v>
      </c>
      <c r="P33" s="28" t="n">
        <f aca="false">IF($C33=0,"",D33/$C33)</f>
        <v>0.310344827586207</v>
      </c>
      <c r="Q33" s="28" t="n">
        <f aca="false">IF($C33=0,"",E33/$C33)</f>
        <v>0.310344827586207</v>
      </c>
      <c r="R33" s="28" t="n">
        <f aca="false">IF($C33=0,"",F33/$C33)</f>
        <v>0.655172413793103</v>
      </c>
      <c r="S33" s="28" t="n">
        <f aca="false">IF($C33=0,"",G33/$C33)</f>
        <v>0.482758620689655</v>
      </c>
      <c r="T33" s="28" t="n">
        <f aca="false">IF($C33=0,"",H33/$C33)</f>
        <v>0.379310344827586</v>
      </c>
      <c r="U33" s="28" t="n">
        <f aca="false">IF($C33=0,"",I33/$C33)</f>
        <v>0.310344827586207</v>
      </c>
      <c r="V33" s="29" t="n">
        <f aca="false">IF($C33=0,"",K33/$C33)</f>
        <v>-0.0689655172413793</v>
      </c>
      <c r="W33" s="29" t="n">
        <f aca="false">IF($C33=0,"",M33/$C33)</f>
        <v>-0.139772413793103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29</v>
      </c>
      <c r="D34" s="26" t="n">
        <v>10</v>
      </c>
      <c r="E34" s="26" t="n">
        <v>10</v>
      </c>
      <c r="F34" s="26" t="n">
        <v>18</v>
      </c>
      <c r="G34" s="26" t="n">
        <v>16</v>
      </c>
      <c r="H34" s="26" t="n">
        <v>12</v>
      </c>
      <c r="I34" s="26" t="n">
        <v>10</v>
      </c>
      <c r="J34" s="26" t="n">
        <v>0</v>
      </c>
      <c r="K34" s="27" t="n">
        <v>1</v>
      </c>
      <c r="L34" s="27" t="n">
        <v>1.7106</v>
      </c>
      <c r="M34" s="19" t="n">
        <f aca="false">K34-L34</f>
        <v>-0.7106</v>
      </c>
      <c r="N34" s="26" t="n">
        <v>2</v>
      </c>
      <c r="O34" s="26" t="n">
        <v>6</v>
      </c>
      <c r="P34" s="28" t="n">
        <f aca="false">IF($C34=0,"",D34/$C34)</f>
        <v>0.344827586206897</v>
      </c>
      <c r="Q34" s="28" t="n">
        <f aca="false">IF($C34=0,"",E34/$C34)</f>
        <v>0.344827586206897</v>
      </c>
      <c r="R34" s="28" t="n">
        <f aca="false">IF($C34=0,"",F34/$C34)</f>
        <v>0.620689655172414</v>
      </c>
      <c r="S34" s="28" t="n">
        <f aca="false">IF($C34=0,"",G34/$C34)</f>
        <v>0.551724137931035</v>
      </c>
      <c r="T34" s="28" t="n">
        <f aca="false">IF($C34=0,"",H34/$C34)</f>
        <v>0.413793103448276</v>
      </c>
      <c r="U34" s="28" t="n">
        <f aca="false">IF($C34=0,"",I34/$C34)</f>
        <v>0.344827586206897</v>
      </c>
      <c r="V34" s="29" t="n">
        <f aca="false">IF($C34=0,"",K34/$C34)</f>
        <v>0.0344827586206897</v>
      </c>
      <c r="W34" s="29" t="n">
        <f aca="false">IF($C34=0,"",M34/$C34)</f>
        <v>-0.0245034482758621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20</v>
      </c>
      <c r="D35" s="26" t="n">
        <v>7</v>
      </c>
      <c r="E35" s="26" t="n">
        <v>7</v>
      </c>
      <c r="F35" s="26" t="n">
        <v>14</v>
      </c>
      <c r="G35" s="26" t="n">
        <v>12</v>
      </c>
      <c r="H35" s="26" t="n">
        <v>8</v>
      </c>
      <c r="I35" s="26" t="n">
        <v>7</v>
      </c>
      <c r="J35" s="26" t="n">
        <v>0</v>
      </c>
      <c r="K35" s="27" t="n">
        <v>1</v>
      </c>
      <c r="L35" s="27" t="n">
        <v>1.4233</v>
      </c>
      <c r="M35" s="19" t="n">
        <f aca="false">K35-L35</f>
        <v>-0.4233</v>
      </c>
      <c r="N35" s="26" t="n">
        <v>4</v>
      </c>
      <c r="O35" s="26" t="n">
        <v>7</v>
      </c>
      <c r="P35" s="28" t="n">
        <f aca="false">IF($C35=0,"",D35/$C35)</f>
        <v>0.35</v>
      </c>
      <c r="Q35" s="28" t="n">
        <f aca="false">IF($C35=0,"",E35/$C35)</f>
        <v>0.35</v>
      </c>
      <c r="R35" s="28" t="n">
        <f aca="false">IF($C35=0,"",F35/$C35)</f>
        <v>0.7</v>
      </c>
      <c r="S35" s="28" t="n">
        <f aca="false">IF($C35=0,"",G35/$C35)</f>
        <v>0.6</v>
      </c>
      <c r="T35" s="28" t="n">
        <f aca="false">IF($C35=0,"",H35/$C35)</f>
        <v>0.4</v>
      </c>
      <c r="U35" s="28" t="n">
        <f aca="false">IF($C35=0,"",I35/$C35)</f>
        <v>0.35</v>
      </c>
      <c r="V35" s="29" t="n">
        <f aca="false">IF($C35=0,"",K35/$C35)</f>
        <v>0.05</v>
      </c>
      <c r="W35" s="29" t="n">
        <f aca="false">IF($C35=0,"",M35/$C35)</f>
        <v>-0.021165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21</v>
      </c>
      <c r="D36" s="26" t="n">
        <v>10</v>
      </c>
      <c r="E36" s="26" t="n">
        <v>10</v>
      </c>
      <c r="F36" s="26" t="n">
        <v>16</v>
      </c>
      <c r="G36" s="26" t="n">
        <v>13</v>
      </c>
      <c r="H36" s="26" t="n">
        <v>11</v>
      </c>
      <c r="I36" s="26" t="n">
        <v>10</v>
      </c>
      <c r="J36" s="26" t="n">
        <v>0</v>
      </c>
      <c r="K36" s="27" t="n">
        <v>9</v>
      </c>
      <c r="L36" s="27" t="n">
        <v>1.6657</v>
      </c>
      <c r="M36" s="19" t="n">
        <f aca="false">K36-L36</f>
        <v>7.3343</v>
      </c>
      <c r="N36" s="26" t="n">
        <v>4</v>
      </c>
      <c r="O36" s="26" t="n">
        <v>4</v>
      </c>
      <c r="P36" s="28" t="n">
        <f aca="false">IF($C36=0,"",D36/$C36)</f>
        <v>0.476190476190476</v>
      </c>
      <c r="Q36" s="28" t="n">
        <f aca="false">IF($C36=0,"",E36/$C36)</f>
        <v>0.476190476190476</v>
      </c>
      <c r="R36" s="28" t="n">
        <f aca="false">IF($C36=0,"",F36/$C36)</f>
        <v>0.761904761904762</v>
      </c>
      <c r="S36" s="28" t="n">
        <f aca="false">IF($C36=0,"",G36/$C36)</f>
        <v>0.619047619047619</v>
      </c>
      <c r="T36" s="28" t="n">
        <f aca="false">IF($C36=0,"",H36/$C36)</f>
        <v>0.523809523809524</v>
      </c>
      <c r="U36" s="28" t="n">
        <f aca="false">IF($C36=0,"",I36/$C36)</f>
        <v>0.476190476190476</v>
      </c>
      <c r="V36" s="29" t="n">
        <f aca="false">IF($C36=0,"",K36/$C36)</f>
        <v>0.428571428571429</v>
      </c>
      <c r="W36" s="29" t="n">
        <f aca="false">IF($C36=0,"",M36/$C36)</f>
        <v>0.349252380952381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26</v>
      </c>
      <c r="D37" s="26" t="n">
        <v>8</v>
      </c>
      <c r="E37" s="26" t="n">
        <v>8</v>
      </c>
      <c r="F37" s="26" t="n">
        <v>14</v>
      </c>
      <c r="G37" s="26" t="n">
        <v>11</v>
      </c>
      <c r="H37" s="26" t="n">
        <v>10</v>
      </c>
      <c r="I37" s="26" t="n">
        <v>8</v>
      </c>
      <c r="J37" s="26" t="n">
        <v>0</v>
      </c>
      <c r="K37" s="27" t="n">
        <v>-2</v>
      </c>
      <c r="L37" s="27" t="n">
        <v>1.959</v>
      </c>
      <c r="M37" s="19" t="n">
        <f aca="false">K37-L37</f>
        <v>-3.959</v>
      </c>
      <c r="N37" s="26" t="n">
        <v>2</v>
      </c>
      <c r="O37" s="26" t="n">
        <v>7</v>
      </c>
      <c r="P37" s="28" t="n">
        <f aca="false">IF($C37=0,"",D37/$C37)</f>
        <v>0.307692307692308</v>
      </c>
      <c r="Q37" s="28" t="n">
        <f aca="false">IF($C37=0,"",E37/$C37)</f>
        <v>0.307692307692308</v>
      </c>
      <c r="R37" s="28" t="n">
        <f aca="false">IF($C37=0,"",F37/$C37)</f>
        <v>0.538461538461538</v>
      </c>
      <c r="S37" s="28" t="n">
        <f aca="false">IF($C37=0,"",G37/$C37)</f>
        <v>0.423076923076923</v>
      </c>
      <c r="T37" s="28" t="n">
        <f aca="false">IF($C37=0,"",H37/$C37)</f>
        <v>0.384615384615385</v>
      </c>
      <c r="U37" s="28" t="n">
        <f aca="false">IF($C37=0,"",I37/$C37)</f>
        <v>0.307692307692308</v>
      </c>
      <c r="V37" s="29" t="n">
        <f aca="false">IF($C37=0,"",K37/$C37)</f>
        <v>-0.0769230769230769</v>
      </c>
      <c r="W37" s="29" t="n">
        <f aca="false">IF($C37=0,"",M37/$C37)</f>
        <v>-0.152269230769231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21</v>
      </c>
      <c r="D38" s="26" t="n">
        <v>6</v>
      </c>
      <c r="E38" s="26" t="n">
        <v>6</v>
      </c>
      <c r="F38" s="26" t="n">
        <v>12</v>
      </c>
      <c r="G38" s="26" t="n">
        <v>10</v>
      </c>
      <c r="H38" s="26" t="n">
        <v>8</v>
      </c>
      <c r="I38" s="26" t="n">
        <v>6</v>
      </c>
      <c r="J38" s="26" t="n">
        <v>0</v>
      </c>
      <c r="K38" s="27" t="n">
        <v>-3</v>
      </c>
      <c r="L38" s="27" t="n">
        <v>1.6822</v>
      </c>
      <c r="M38" s="19" t="n">
        <f aca="false">K38-L38</f>
        <v>-4.6822</v>
      </c>
      <c r="N38" s="26" t="n">
        <v>2</v>
      </c>
      <c r="O38" s="26" t="n">
        <v>5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0.571428571428571</v>
      </c>
      <c r="S38" s="28" t="n">
        <f aca="false">IF($C38=0,"",G38/$C38)</f>
        <v>0.476190476190476</v>
      </c>
      <c r="T38" s="28" t="n">
        <f aca="false">IF($C38=0,"",H38/$C38)</f>
        <v>0.380952380952381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-0.222961904761905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27</v>
      </c>
      <c r="D39" s="26" t="n">
        <v>10</v>
      </c>
      <c r="E39" s="26" t="n">
        <v>10</v>
      </c>
      <c r="F39" s="26" t="n">
        <v>17</v>
      </c>
      <c r="G39" s="26" t="n">
        <v>15</v>
      </c>
      <c r="H39" s="26" t="n">
        <v>11</v>
      </c>
      <c r="I39" s="26" t="n">
        <v>10</v>
      </c>
      <c r="J39" s="26" t="n">
        <v>0</v>
      </c>
      <c r="K39" s="27" t="n">
        <v>3</v>
      </c>
      <c r="L39" s="27" t="n">
        <v>2.5948</v>
      </c>
      <c r="M39" s="19" t="n">
        <f aca="false">K39-L39</f>
        <v>0.4052</v>
      </c>
      <c r="N39" s="26" t="n">
        <v>4</v>
      </c>
      <c r="O39" s="26" t="n">
        <v>8</v>
      </c>
      <c r="P39" s="28" t="n">
        <f aca="false">IF($C39=0,"",D39/$C39)</f>
        <v>0.37037037037037</v>
      </c>
      <c r="Q39" s="28" t="n">
        <f aca="false">IF($C39=0,"",E39/$C39)</f>
        <v>0.37037037037037</v>
      </c>
      <c r="R39" s="28" t="n">
        <f aca="false">IF($C39=0,"",F39/$C39)</f>
        <v>0.62962962962963</v>
      </c>
      <c r="S39" s="28" t="n">
        <f aca="false">IF($C39=0,"",G39/$C39)</f>
        <v>0.555555555555556</v>
      </c>
      <c r="T39" s="28" t="n">
        <f aca="false">IF($C39=0,"",H39/$C39)</f>
        <v>0.407407407407407</v>
      </c>
      <c r="U39" s="28" t="n">
        <f aca="false">IF($C39=0,"",I39/$C39)</f>
        <v>0.37037037037037</v>
      </c>
      <c r="V39" s="29" t="n">
        <f aca="false">IF($C39=0,"",K39/$C39)</f>
        <v>0.111111111111111</v>
      </c>
      <c r="W39" s="29" t="n">
        <f aca="false">IF($C39=0,"",M39/$C39)</f>
        <v>0.0150074074074074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24</v>
      </c>
      <c r="D40" s="26" t="n">
        <v>14</v>
      </c>
      <c r="E40" s="26" t="n">
        <v>14</v>
      </c>
      <c r="F40" s="26" t="n">
        <v>17</v>
      </c>
      <c r="G40" s="26" t="n">
        <v>16</v>
      </c>
      <c r="H40" s="26" t="n">
        <v>14</v>
      </c>
      <c r="I40" s="26" t="n">
        <v>14</v>
      </c>
      <c r="J40" s="26" t="n">
        <v>0</v>
      </c>
      <c r="K40" s="27" t="n">
        <v>18</v>
      </c>
      <c r="L40" s="27" t="n">
        <v>2.4486</v>
      </c>
      <c r="M40" s="19" t="n">
        <f aca="false">K40-L40</f>
        <v>15.5514</v>
      </c>
      <c r="N40" s="26" t="n">
        <v>7</v>
      </c>
      <c r="O40" s="26" t="n">
        <v>4</v>
      </c>
      <c r="P40" s="28" t="n">
        <f aca="false">IF($C40=0,"",D40/$C40)</f>
        <v>0.583333333333333</v>
      </c>
      <c r="Q40" s="28" t="n">
        <f aca="false">IF($C40=0,"",E40/$C40)</f>
        <v>0.583333333333333</v>
      </c>
      <c r="R40" s="28" t="n">
        <f aca="false">IF($C40=0,"",F40/$C40)</f>
        <v>0.708333333333333</v>
      </c>
      <c r="S40" s="28" t="n">
        <f aca="false">IF($C40=0,"",G40/$C40)</f>
        <v>0.666666666666667</v>
      </c>
      <c r="T40" s="28" t="n">
        <f aca="false">IF($C40=0,"",H40/$C40)</f>
        <v>0.583333333333333</v>
      </c>
      <c r="U40" s="28" t="n">
        <f aca="false">IF($C40=0,"",I40/$C40)</f>
        <v>0.583333333333333</v>
      </c>
      <c r="V40" s="29" t="n">
        <f aca="false">IF($C40=0,"",K40/$C40)</f>
        <v>0.75</v>
      </c>
      <c r="W40" s="29" t="n">
        <f aca="false">IF($C40=0,"",M40/$C40)</f>
        <v>0.647975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27</v>
      </c>
      <c r="D41" s="26" t="n">
        <v>12</v>
      </c>
      <c r="E41" s="26" t="n">
        <v>12</v>
      </c>
      <c r="F41" s="26" t="n">
        <v>17</v>
      </c>
      <c r="G41" s="26" t="n">
        <v>14</v>
      </c>
      <c r="H41" s="26" t="n">
        <v>14</v>
      </c>
      <c r="I41" s="26" t="n">
        <v>12</v>
      </c>
      <c r="J41" s="26" t="n">
        <v>0</v>
      </c>
      <c r="K41" s="27" t="n">
        <v>9</v>
      </c>
      <c r="L41" s="27" t="n">
        <v>1.2204</v>
      </c>
      <c r="M41" s="19" t="n">
        <f aca="false">K41-L41</f>
        <v>7.7796</v>
      </c>
      <c r="N41" s="26" t="n">
        <v>3</v>
      </c>
      <c r="O41" s="26" t="n">
        <v>3</v>
      </c>
      <c r="P41" s="28" t="n">
        <f aca="false">IF($C41=0,"",D41/$C41)</f>
        <v>0.444444444444444</v>
      </c>
      <c r="Q41" s="28" t="n">
        <f aca="false">IF($C41=0,"",E41/$C41)</f>
        <v>0.444444444444444</v>
      </c>
      <c r="R41" s="28" t="n">
        <f aca="false">IF($C41=0,"",F41/$C41)</f>
        <v>0.62962962962963</v>
      </c>
      <c r="S41" s="28" t="n">
        <f aca="false">IF($C41=0,"",G41/$C41)</f>
        <v>0.518518518518519</v>
      </c>
      <c r="T41" s="28" t="n">
        <f aca="false">IF($C41=0,"",H41/$C41)</f>
        <v>0.518518518518519</v>
      </c>
      <c r="U41" s="28" t="n">
        <f aca="false">IF($C41=0,"",I41/$C41)</f>
        <v>0.444444444444444</v>
      </c>
      <c r="V41" s="29" t="n">
        <f aca="false">IF($C41=0,"",K41/$C41)</f>
        <v>0.333333333333333</v>
      </c>
      <c r="W41" s="29" t="n">
        <f aca="false">IF($C41=0,"",M41/$C41)</f>
        <v>0.288133333333333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29</v>
      </c>
      <c r="D42" s="26" t="n">
        <v>11</v>
      </c>
      <c r="E42" s="26" t="n">
        <v>11</v>
      </c>
      <c r="F42" s="26" t="n">
        <v>22</v>
      </c>
      <c r="G42" s="26" t="n">
        <v>17</v>
      </c>
      <c r="H42" s="26" t="n">
        <v>14</v>
      </c>
      <c r="I42" s="26" t="n">
        <v>11</v>
      </c>
      <c r="J42" s="26" t="n">
        <v>0</v>
      </c>
      <c r="K42" s="27" t="n">
        <v>4</v>
      </c>
      <c r="L42" s="27" t="n">
        <v>1.3419</v>
      </c>
      <c r="M42" s="19" t="n">
        <f aca="false">K42-L42</f>
        <v>2.6581</v>
      </c>
      <c r="N42" s="26" t="n">
        <v>3</v>
      </c>
      <c r="O42" s="26" t="n">
        <v>5</v>
      </c>
      <c r="P42" s="28" t="n">
        <f aca="false">IF($C42=0,"",D42/$C42)</f>
        <v>0.379310344827586</v>
      </c>
      <c r="Q42" s="28" t="n">
        <f aca="false">IF($C42=0,"",E42/$C42)</f>
        <v>0.379310344827586</v>
      </c>
      <c r="R42" s="28" t="n">
        <f aca="false">IF($C42=0,"",F42/$C42)</f>
        <v>0.758620689655172</v>
      </c>
      <c r="S42" s="28" t="n">
        <f aca="false">IF($C42=0,"",G42/$C42)</f>
        <v>0.586206896551724</v>
      </c>
      <c r="T42" s="28" t="n">
        <f aca="false">IF($C42=0,"",H42/$C42)</f>
        <v>0.482758620689655</v>
      </c>
      <c r="U42" s="28" t="n">
        <f aca="false">IF($C42=0,"",I42/$C42)</f>
        <v>0.379310344827586</v>
      </c>
      <c r="V42" s="29" t="n">
        <f aca="false">IF($C42=0,"",K42/$C42)</f>
        <v>0.137931034482759</v>
      </c>
      <c r="W42" s="29" t="n">
        <f aca="false">IF($C42=0,"",M42/$C42)</f>
        <v>0.0916586206896552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25</v>
      </c>
      <c r="D43" s="26" t="n">
        <v>8</v>
      </c>
      <c r="E43" s="26" t="n">
        <v>8</v>
      </c>
      <c r="F43" s="26" t="n">
        <v>18</v>
      </c>
      <c r="G43" s="26" t="n">
        <v>14</v>
      </c>
      <c r="H43" s="26" t="n">
        <v>10</v>
      </c>
      <c r="I43" s="26" t="n">
        <v>8</v>
      </c>
      <c r="J43" s="26" t="n">
        <v>0</v>
      </c>
      <c r="K43" s="27" t="n">
        <v>-1</v>
      </c>
      <c r="L43" s="27" t="n">
        <v>0.7155</v>
      </c>
      <c r="M43" s="19" t="n">
        <f aca="false">K43-L43</f>
        <v>-1.7155</v>
      </c>
      <c r="N43" s="26" t="n">
        <v>4</v>
      </c>
      <c r="O43" s="26" t="n">
        <v>7</v>
      </c>
      <c r="P43" s="28" t="n">
        <f aca="false">IF($C43=0,"",D43/$C43)</f>
        <v>0.32</v>
      </c>
      <c r="Q43" s="28" t="n">
        <f aca="false">IF($C43=0,"",E43/$C43)</f>
        <v>0.32</v>
      </c>
      <c r="R43" s="28" t="n">
        <f aca="false">IF($C43=0,"",F43/$C43)</f>
        <v>0.72</v>
      </c>
      <c r="S43" s="28" t="n">
        <f aca="false">IF($C43=0,"",G43/$C43)</f>
        <v>0.56</v>
      </c>
      <c r="T43" s="28" t="n">
        <f aca="false">IF($C43=0,"",H43/$C43)</f>
        <v>0.4</v>
      </c>
      <c r="U43" s="28" t="n">
        <f aca="false">IF($C43=0,"",I43/$C43)</f>
        <v>0.32</v>
      </c>
      <c r="V43" s="29" t="n">
        <f aca="false">IF($C43=0,"",K43/$C43)</f>
        <v>-0.04</v>
      </c>
      <c r="W43" s="29" t="n">
        <f aca="false">IF($C43=0,"",M43/$C43)</f>
        <v>-0.06862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307</v>
      </c>
      <c r="D44" s="30" t="n">
        <f aca="false">SUM(D32:D43)</f>
        <v>115</v>
      </c>
      <c r="E44" s="30" t="n">
        <f aca="false">SUM(E32:E43)</f>
        <v>115</v>
      </c>
      <c r="F44" s="30" t="n">
        <f aca="false">SUM(F32:F43)</f>
        <v>202</v>
      </c>
      <c r="G44" s="30" t="n">
        <f aca="false">SUM(G32:G43)</f>
        <v>167</v>
      </c>
      <c r="H44" s="30" t="n">
        <f aca="false">SUM(H32:H43)</f>
        <v>134</v>
      </c>
      <c r="I44" s="30" t="n">
        <f aca="false">SUM(I32:I43)</f>
        <v>115</v>
      </c>
      <c r="J44" s="30" t="n">
        <f aca="false">SUM(J32:J43)</f>
        <v>0</v>
      </c>
      <c r="K44" s="31" t="n">
        <f aca="false">SUM(K32:K43)</f>
        <v>38</v>
      </c>
      <c r="L44" s="31" t="n">
        <f aca="false">SUM(L32:L43)</f>
        <v>20.7859</v>
      </c>
      <c r="M44" s="31" t="n">
        <f aca="false">K44-L44</f>
        <v>17.2141</v>
      </c>
      <c r="N44" s="32" t="n">
        <v>7</v>
      </c>
      <c r="O44" s="32" t="n">
        <v>9</v>
      </c>
      <c r="P44" s="33" t="n">
        <f aca="false">IF($C44=0,"",D44/$C44)</f>
        <v>0.374592833876222</v>
      </c>
      <c r="Q44" s="33" t="n">
        <f aca="false">IF($C44=0,"",E44/$C44)</f>
        <v>0.374592833876222</v>
      </c>
      <c r="R44" s="33" t="n">
        <f aca="false">IF($C44=0,"",F44/$C44)</f>
        <v>0.657980456026059</v>
      </c>
      <c r="S44" s="33" t="n">
        <f aca="false">IF($C44=0,"",G44/$C44)</f>
        <v>0.543973941368078</v>
      </c>
      <c r="T44" s="33" t="n">
        <f aca="false">IF($C44=0,"",H44/$C44)</f>
        <v>0.436482084690554</v>
      </c>
      <c r="U44" s="33" t="n">
        <f aca="false">IF($C44=0,"",I44/$C44)</f>
        <v>0.374592833876222</v>
      </c>
      <c r="V44" s="34" t="n">
        <f aca="false">IF($C44=0,"",K44/$C44)</f>
        <v>0.123778501628665</v>
      </c>
      <c r="W44" s="34" t="n">
        <f aca="false">IF($C44=0,"",M44/$C44)</f>
        <v>0.056071986970684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28</v>
      </c>
      <c r="D45" s="26" t="n">
        <v>11</v>
      </c>
      <c r="E45" s="26" t="n">
        <v>11</v>
      </c>
      <c r="F45" s="26" t="n">
        <v>20</v>
      </c>
      <c r="G45" s="26" t="n">
        <v>16</v>
      </c>
      <c r="H45" s="26" t="n">
        <v>13</v>
      </c>
      <c r="I45" s="26" t="n">
        <v>11</v>
      </c>
      <c r="J45" s="26" t="n">
        <v>0</v>
      </c>
      <c r="K45" s="27" t="n">
        <v>5</v>
      </c>
      <c r="L45" s="27" t="n">
        <v>0.8945</v>
      </c>
      <c r="M45" s="19" t="n">
        <f aca="false">K45-L45</f>
        <v>4.1055</v>
      </c>
      <c r="N45" s="26" t="n">
        <v>3</v>
      </c>
      <c r="O45" s="26" t="n">
        <v>4</v>
      </c>
      <c r="P45" s="28" t="n">
        <f aca="false">IF($C45=0,"",D45/$C45)</f>
        <v>0.392857142857143</v>
      </c>
      <c r="Q45" s="28" t="n">
        <f aca="false">IF($C45=0,"",E45/$C45)</f>
        <v>0.392857142857143</v>
      </c>
      <c r="R45" s="28" t="n">
        <f aca="false">IF($C45=0,"",F45/$C45)</f>
        <v>0.714285714285714</v>
      </c>
      <c r="S45" s="28" t="n">
        <f aca="false">IF($C45=0,"",G45/$C45)</f>
        <v>0.571428571428571</v>
      </c>
      <c r="T45" s="28" t="n">
        <f aca="false">IF($C45=0,"",H45/$C45)</f>
        <v>0.464285714285714</v>
      </c>
      <c r="U45" s="28" t="n">
        <f aca="false">IF($C45=0,"",I45/$C45)</f>
        <v>0.392857142857143</v>
      </c>
      <c r="V45" s="29" t="n">
        <f aca="false">IF($C45=0,"",K45/$C45)</f>
        <v>0.178571428571429</v>
      </c>
      <c r="W45" s="29" t="n">
        <f aca="false">IF($C45=0,"",M45/$C45)</f>
        <v>0.146625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29</v>
      </c>
      <c r="D46" s="26" t="n">
        <v>8</v>
      </c>
      <c r="E46" s="26" t="n">
        <v>8</v>
      </c>
      <c r="F46" s="26" t="n">
        <v>11</v>
      </c>
      <c r="G46" s="26" t="n">
        <v>10</v>
      </c>
      <c r="H46" s="26" t="n">
        <v>8</v>
      </c>
      <c r="I46" s="26" t="n">
        <v>8</v>
      </c>
      <c r="J46" s="26" t="n">
        <v>0</v>
      </c>
      <c r="K46" s="27" t="n">
        <v>-5</v>
      </c>
      <c r="L46" s="27" t="n">
        <v>1.1686</v>
      </c>
      <c r="M46" s="19" t="n">
        <f aca="false">K46-L46</f>
        <v>-6.1686</v>
      </c>
      <c r="N46" s="26" t="n">
        <v>2</v>
      </c>
      <c r="O46" s="26" t="n">
        <v>7</v>
      </c>
      <c r="P46" s="28" t="n">
        <f aca="false">IF($C46=0,"",D46/$C46)</f>
        <v>0.275862068965517</v>
      </c>
      <c r="Q46" s="28" t="n">
        <f aca="false">IF($C46=0,"",E46/$C46)</f>
        <v>0.275862068965517</v>
      </c>
      <c r="R46" s="28" t="n">
        <f aca="false">IF($C46=0,"",F46/$C46)</f>
        <v>0.379310344827586</v>
      </c>
      <c r="S46" s="28" t="n">
        <f aca="false">IF($C46=0,"",G46/$C46)</f>
        <v>0.344827586206897</v>
      </c>
      <c r="T46" s="28" t="n">
        <f aca="false">IF($C46=0,"",H46/$C46)</f>
        <v>0.275862068965517</v>
      </c>
      <c r="U46" s="28" t="n">
        <f aca="false">IF($C46=0,"",I46/$C46)</f>
        <v>0.275862068965517</v>
      </c>
      <c r="V46" s="29" t="n">
        <f aca="false">IF($C46=0,"",K46/$C46)</f>
        <v>-0.172413793103448</v>
      </c>
      <c r="W46" s="29" t="n">
        <f aca="false">IF($C46=0,"",M46/$C46)</f>
        <v>-0.212710344827586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20</v>
      </c>
      <c r="D47" s="26" t="n">
        <v>10</v>
      </c>
      <c r="E47" s="26" t="n">
        <v>10</v>
      </c>
      <c r="F47" s="26" t="n">
        <v>16</v>
      </c>
      <c r="G47" s="26" t="n">
        <v>14</v>
      </c>
      <c r="H47" s="26" t="n">
        <v>11</v>
      </c>
      <c r="I47" s="26" t="n">
        <v>10</v>
      </c>
      <c r="J47" s="26" t="n">
        <v>0</v>
      </c>
      <c r="K47" s="27" t="n">
        <v>10</v>
      </c>
      <c r="L47" s="27" t="n">
        <v>0.5589</v>
      </c>
      <c r="M47" s="19" t="n">
        <f aca="false">K47-L47</f>
        <v>9.4411</v>
      </c>
      <c r="N47" s="26" t="n">
        <v>4</v>
      </c>
      <c r="O47" s="26" t="n">
        <v>4</v>
      </c>
      <c r="P47" s="28" t="n">
        <f aca="false">IF($C47=0,"",D47/$C47)</f>
        <v>0.5</v>
      </c>
      <c r="Q47" s="28" t="n">
        <f aca="false">IF($C47=0,"",E47/$C47)</f>
        <v>0.5</v>
      </c>
      <c r="R47" s="28" t="n">
        <f aca="false">IF($C47=0,"",F47/$C47)</f>
        <v>0.8</v>
      </c>
      <c r="S47" s="28" t="n">
        <f aca="false">IF($C47=0,"",G47/$C47)</f>
        <v>0.7</v>
      </c>
      <c r="T47" s="28" t="n">
        <f aca="false">IF($C47=0,"",H47/$C47)</f>
        <v>0.55</v>
      </c>
      <c r="U47" s="28" t="n">
        <f aca="false">IF($C47=0,"",I47/$C47)</f>
        <v>0.5</v>
      </c>
      <c r="V47" s="29" t="n">
        <f aca="false">IF($C47=0,"",K47/$C47)</f>
        <v>0.5</v>
      </c>
      <c r="W47" s="29" t="n">
        <f aca="false">IF($C47=0,"",M47/$C47)</f>
        <v>0.472055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25</v>
      </c>
      <c r="D48" s="26" t="n">
        <v>11</v>
      </c>
      <c r="E48" s="26" t="n">
        <v>11</v>
      </c>
      <c r="F48" s="26" t="n">
        <v>20</v>
      </c>
      <c r="G48" s="26" t="n">
        <v>17</v>
      </c>
      <c r="H48" s="26" t="n">
        <v>13</v>
      </c>
      <c r="I48" s="26" t="n">
        <v>11</v>
      </c>
      <c r="J48" s="26" t="n">
        <v>0</v>
      </c>
      <c r="K48" s="27" t="n">
        <v>8</v>
      </c>
      <c r="L48" s="27" t="n">
        <v>0.3614</v>
      </c>
      <c r="M48" s="19" t="n">
        <f aca="false">K48-L48</f>
        <v>7.6386</v>
      </c>
      <c r="N48" s="26" t="n">
        <v>2</v>
      </c>
      <c r="O48" s="26" t="n">
        <v>3</v>
      </c>
      <c r="P48" s="28" t="n">
        <f aca="false">IF($C48=0,"",D48/$C48)</f>
        <v>0.44</v>
      </c>
      <c r="Q48" s="28" t="n">
        <f aca="false">IF($C48=0,"",E48/$C48)</f>
        <v>0.44</v>
      </c>
      <c r="R48" s="28" t="n">
        <f aca="false">IF($C48=0,"",F48/$C48)</f>
        <v>0.8</v>
      </c>
      <c r="S48" s="28" t="n">
        <f aca="false">IF($C48=0,"",G48/$C48)</f>
        <v>0.68</v>
      </c>
      <c r="T48" s="28" t="n">
        <f aca="false">IF($C48=0,"",H48/$C48)</f>
        <v>0.52</v>
      </c>
      <c r="U48" s="28" t="n">
        <f aca="false">IF($C48=0,"",I48/$C48)</f>
        <v>0.44</v>
      </c>
      <c r="V48" s="29" t="n">
        <f aca="false">IF($C48=0,"",K48/$C48)</f>
        <v>0.32</v>
      </c>
      <c r="W48" s="29" t="n">
        <f aca="false">IF($C48=0,"",M48/$C48)</f>
        <v>0.305544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27</v>
      </c>
      <c r="D49" s="26" t="n">
        <v>8</v>
      </c>
      <c r="E49" s="26" t="n">
        <v>8</v>
      </c>
      <c r="F49" s="26" t="n">
        <v>14</v>
      </c>
      <c r="G49" s="26" t="n">
        <v>12</v>
      </c>
      <c r="H49" s="26" t="n">
        <v>12</v>
      </c>
      <c r="I49" s="26" t="n">
        <v>8</v>
      </c>
      <c r="J49" s="26" t="n">
        <v>0</v>
      </c>
      <c r="K49" s="27" t="n">
        <v>-3</v>
      </c>
      <c r="L49" s="27" t="n">
        <v>0.5811</v>
      </c>
      <c r="M49" s="19" t="n">
        <f aca="false">K49-L49</f>
        <v>-3.5811</v>
      </c>
      <c r="N49" s="26" t="n">
        <v>2</v>
      </c>
      <c r="O49" s="26" t="n">
        <v>7</v>
      </c>
      <c r="P49" s="28" t="n">
        <f aca="false">IF($C49=0,"",D49/$C49)</f>
        <v>0.296296296296296</v>
      </c>
      <c r="Q49" s="28" t="n">
        <f aca="false">IF($C49=0,"",E49/$C49)</f>
        <v>0.296296296296296</v>
      </c>
      <c r="R49" s="28" t="n">
        <f aca="false">IF($C49=0,"",F49/$C49)</f>
        <v>0.518518518518519</v>
      </c>
      <c r="S49" s="28" t="n">
        <f aca="false">IF($C49=0,"",G49/$C49)</f>
        <v>0.444444444444444</v>
      </c>
      <c r="T49" s="28" t="n">
        <f aca="false">IF($C49=0,"",H49/$C49)</f>
        <v>0.444444444444444</v>
      </c>
      <c r="U49" s="28" t="n">
        <f aca="false">IF($C49=0,"",I49/$C49)</f>
        <v>0.296296296296296</v>
      </c>
      <c r="V49" s="29" t="n">
        <f aca="false">IF($C49=0,"",K49/$C49)</f>
        <v>-0.111111111111111</v>
      </c>
      <c r="W49" s="29" t="n">
        <f aca="false">IF($C49=0,"",M49/$C49)</f>
        <v>-0.132633333333333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25</v>
      </c>
      <c r="D50" s="26" t="n">
        <v>7</v>
      </c>
      <c r="E50" s="26" t="n">
        <v>7</v>
      </c>
      <c r="F50" s="26" t="n">
        <v>12</v>
      </c>
      <c r="G50" s="26" t="n">
        <v>10</v>
      </c>
      <c r="H50" s="26" t="n">
        <v>8</v>
      </c>
      <c r="I50" s="26" t="n">
        <v>7</v>
      </c>
      <c r="J50" s="26" t="n">
        <v>0</v>
      </c>
      <c r="K50" s="27" t="n">
        <v>-4</v>
      </c>
      <c r="L50" s="27" t="n">
        <v>0.4854</v>
      </c>
      <c r="M50" s="19" t="n">
        <f aca="false">K50-L50</f>
        <v>-4.4854</v>
      </c>
      <c r="N50" s="26" t="n">
        <v>3</v>
      </c>
      <c r="O50" s="26" t="n">
        <v>5</v>
      </c>
      <c r="P50" s="28" t="n">
        <f aca="false">IF($C50=0,"",D50/$C50)</f>
        <v>0.28</v>
      </c>
      <c r="Q50" s="28" t="n">
        <f aca="false">IF($C50=0,"",E50/$C50)</f>
        <v>0.28</v>
      </c>
      <c r="R50" s="28" t="n">
        <f aca="false">IF($C50=0,"",F50/$C50)</f>
        <v>0.48</v>
      </c>
      <c r="S50" s="28" t="n">
        <f aca="false">IF($C50=0,"",G50/$C50)</f>
        <v>0.4</v>
      </c>
      <c r="T50" s="28" t="n">
        <f aca="false">IF($C50=0,"",H50/$C50)</f>
        <v>0.32</v>
      </c>
      <c r="U50" s="28" t="n">
        <f aca="false">IF($C50=0,"",I50/$C50)</f>
        <v>0.28</v>
      </c>
      <c r="V50" s="29" t="n">
        <f aca="false">IF($C50=0,"",K50/$C50)</f>
        <v>-0.16</v>
      </c>
      <c r="W50" s="29" t="n">
        <f aca="false">IF($C50=0,"",M50/$C50)</f>
        <v>-0.179416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25</v>
      </c>
      <c r="D51" s="26" t="n">
        <v>7</v>
      </c>
      <c r="E51" s="26" t="n">
        <v>7</v>
      </c>
      <c r="F51" s="26" t="n">
        <v>13</v>
      </c>
      <c r="G51" s="26" t="n">
        <v>11</v>
      </c>
      <c r="H51" s="26" t="n">
        <v>9</v>
      </c>
      <c r="I51" s="26" t="n">
        <v>7</v>
      </c>
      <c r="J51" s="26" t="n">
        <v>0</v>
      </c>
      <c r="K51" s="27" t="n">
        <v>-4</v>
      </c>
      <c r="L51" s="27" t="n">
        <v>0.528</v>
      </c>
      <c r="M51" s="19" t="n">
        <f aca="false">K51-L51</f>
        <v>-4.528</v>
      </c>
      <c r="N51" s="26" t="n">
        <v>1</v>
      </c>
      <c r="O51" s="26" t="n">
        <v>5</v>
      </c>
      <c r="P51" s="28" t="n">
        <f aca="false">IF($C51=0,"",D51/$C51)</f>
        <v>0.28</v>
      </c>
      <c r="Q51" s="28" t="n">
        <f aca="false">IF($C51=0,"",E51/$C51)</f>
        <v>0.28</v>
      </c>
      <c r="R51" s="28" t="n">
        <f aca="false">IF($C51=0,"",F51/$C51)</f>
        <v>0.52</v>
      </c>
      <c r="S51" s="28" t="n">
        <f aca="false">IF($C51=0,"",G51/$C51)</f>
        <v>0.44</v>
      </c>
      <c r="T51" s="28" t="n">
        <f aca="false">IF($C51=0,"",H51/$C51)</f>
        <v>0.36</v>
      </c>
      <c r="U51" s="28" t="n">
        <f aca="false">IF($C51=0,"",I51/$C51)</f>
        <v>0.28</v>
      </c>
      <c r="V51" s="29" t="n">
        <f aca="false">IF($C51=0,"",K51/$C51)</f>
        <v>-0.16</v>
      </c>
      <c r="W51" s="29" t="n">
        <f aca="false">IF($C51=0,"",M51/$C51)</f>
        <v>-0.18112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27</v>
      </c>
      <c r="D52" s="26" t="n">
        <v>9</v>
      </c>
      <c r="E52" s="26" t="n">
        <v>9</v>
      </c>
      <c r="F52" s="26" t="n">
        <v>14</v>
      </c>
      <c r="G52" s="26" t="n">
        <v>11</v>
      </c>
      <c r="H52" s="26" t="n">
        <v>11</v>
      </c>
      <c r="I52" s="26" t="n">
        <v>9</v>
      </c>
      <c r="J52" s="26" t="n">
        <v>0</v>
      </c>
      <c r="K52" s="27" t="n">
        <v>0</v>
      </c>
      <c r="L52" s="27" t="n">
        <v>0.4519</v>
      </c>
      <c r="M52" s="19" t="n">
        <f aca="false">K52-L52</f>
        <v>-0.4519</v>
      </c>
      <c r="N52" s="26" t="n">
        <v>2</v>
      </c>
      <c r="O52" s="26" t="n">
        <v>5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0.518518518518519</v>
      </c>
      <c r="S52" s="28" t="n">
        <f aca="false">IF($C52=0,"",G52/$C52)</f>
        <v>0.407407407407407</v>
      </c>
      <c r="T52" s="28" t="n">
        <f aca="false">IF($C52=0,"",H52/$C52)</f>
        <v>0.407407407407407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-0.016737037037037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6</v>
      </c>
      <c r="E53" s="26" t="n">
        <v>6</v>
      </c>
      <c r="F53" s="26" t="n">
        <v>11</v>
      </c>
      <c r="G53" s="26" t="n">
        <v>10</v>
      </c>
      <c r="H53" s="26" t="n">
        <v>6</v>
      </c>
      <c r="I53" s="26" t="n">
        <v>6</v>
      </c>
      <c r="J53" s="26" t="n">
        <v>0</v>
      </c>
      <c r="K53" s="27" t="n">
        <v>-3</v>
      </c>
      <c r="L53" s="27" t="n">
        <v>0.3877</v>
      </c>
      <c r="M53" s="19" t="n">
        <f aca="false">K53-L53</f>
        <v>-3.3877</v>
      </c>
      <c r="N53" s="26" t="n">
        <v>2</v>
      </c>
      <c r="O53" s="26" t="n">
        <v>5</v>
      </c>
      <c r="P53" s="28" t="n">
        <f aca="false">IF($C53=0,"",D53/$C53)</f>
        <v>0.285714285714286</v>
      </c>
      <c r="Q53" s="28" t="n">
        <f aca="false">IF($C53=0,"",E53/$C53)</f>
        <v>0.285714285714286</v>
      </c>
      <c r="R53" s="28" t="n">
        <f aca="false">IF($C53=0,"",F53/$C53)</f>
        <v>0.523809523809524</v>
      </c>
      <c r="S53" s="28" t="n">
        <f aca="false">IF($C53=0,"",G53/$C53)</f>
        <v>0.476190476190476</v>
      </c>
      <c r="T53" s="28" t="n">
        <f aca="false">IF($C53=0,"",H53/$C53)</f>
        <v>0.285714285714286</v>
      </c>
      <c r="U53" s="28" t="n">
        <f aca="false">IF($C53=0,"",I53/$C53)</f>
        <v>0.285714285714286</v>
      </c>
      <c r="V53" s="29" t="n">
        <f aca="false">IF($C53=0,"",K53/$C53)</f>
        <v>-0.142857142857143</v>
      </c>
      <c r="W53" s="29" t="n">
        <f aca="false">IF($C53=0,"",M53/$C53)</f>
        <v>-0.161319047619048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8</v>
      </c>
      <c r="E54" s="26" t="n">
        <v>8</v>
      </c>
      <c r="F54" s="26" t="n">
        <v>14</v>
      </c>
      <c r="G54" s="26" t="n">
        <v>13</v>
      </c>
      <c r="H54" s="26" t="n">
        <v>11</v>
      </c>
      <c r="I54" s="26" t="n">
        <v>8</v>
      </c>
      <c r="J54" s="26" t="n">
        <v>0</v>
      </c>
      <c r="K54" s="27" t="n">
        <v>-4</v>
      </c>
      <c r="L54" s="27" t="n">
        <v>0.5288</v>
      </c>
      <c r="M54" s="19" t="n">
        <f aca="false">K54-L54</f>
        <v>-4.5288</v>
      </c>
      <c r="N54" s="26" t="n">
        <v>2</v>
      </c>
      <c r="O54" s="26" t="n">
        <v>5</v>
      </c>
      <c r="P54" s="28" t="n">
        <f aca="false">IF($C54=0,"",D54/$C54)</f>
        <v>0.285714285714286</v>
      </c>
      <c r="Q54" s="28" t="n">
        <f aca="false">IF($C54=0,"",E54/$C54)</f>
        <v>0.285714285714286</v>
      </c>
      <c r="R54" s="28" t="n">
        <f aca="false">IF($C54=0,"",F54/$C54)</f>
        <v>0.5</v>
      </c>
      <c r="S54" s="28" t="n">
        <f aca="false">IF($C54=0,"",G54/$C54)</f>
        <v>0.464285714285714</v>
      </c>
      <c r="T54" s="28" t="n">
        <f aca="false">IF($C54=0,"",H54/$C54)</f>
        <v>0.392857142857143</v>
      </c>
      <c r="U54" s="28" t="n">
        <f aca="false">IF($C54=0,"",I54/$C54)</f>
        <v>0.285714285714286</v>
      </c>
      <c r="V54" s="29" t="n">
        <f aca="false">IF($C54=0,"",K54/$C54)</f>
        <v>-0.142857142857143</v>
      </c>
      <c r="W54" s="29" t="n">
        <f aca="false">IF($C54=0,"",M54/$C54)</f>
        <v>-0.161742857142857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29</v>
      </c>
      <c r="D55" s="26" t="n">
        <v>13</v>
      </c>
      <c r="E55" s="26" t="n">
        <v>13</v>
      </c>
      <c r="F55" s="26" t="n">
        <v>19</v>
      </c>
      <c r="G55" s="26" t="n">
        <v>17</v>
      </c>
      <c r="H55" s="26" t="n">
        <v>14</v>
      </c>
      <c r="I55" s="26" t="n">
        <v>13</v>
      </c>
      <c r="J55" s="26" t="n">
        <v>0</v>
      </c>
      <c r="K55" s="27" t="n">
        <v>10</v>
      </c>
      <c r="L55" s="27" t="n">
        <v>0.5711</v>
      </c>
      <c r="M55" s="19" t="n">
        <f aca="false">K55-L55</f>
        <v>9.4289</v>
      </c>
      <c r="N55" s="26" t="n">
        <v>3</v>
      </c>
      <c r="O55" s="26" t="n">
        <v>4</v>
      </c>
      <c r="P55" s="28" t="n">
        <f aca="false">IF($C55=0,"",D55/$C55)</f>
        <v>0.448275862068966</v>
      </c>
      <c r="Q55" s="28" t="n">
        <f aca="false">IF($C55=0,"",E55/$C55)</f>
        <v>0.448275862068966</v>
      </c>
      <c r="R55" s="28" t="n">
        <f aca="false">IF($C55=0,"",F55/$C55)</f>
        <v>0.655172413793103</v>
      </c>
      <c r="S55" s="28" t="n">
        <f aca="false">IF($C55=0,"",G55/$C55)</f>
        <v>0.586206896551724</v>
      </c>
      <c r="T55" s="28" t="n">
        <f aca="false">IF($C55=0,"",H55/$C55)</f>
        <v>0.482758620689655</v>
      </c>
      <c r="U55" s="28" t="n">
        <f aca="false">IF($C55=0,"",I55/$C55)</f>
        <v>0.448275862068966</v>
      </c>
      <c r="V55" s="29" t="n">
        <f aca="false">IF($C55=0,"",K55/$C55)</f>
        <v>0.344827586206897</v>
      </c>
      <c r="W55" s="29" t="n">
        <f aca="false">IF($C55=0,"",M55/$C55)</f>
        <v>0.325134482758621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9</v>
      </c>
      <c r="E56" s="26" t="n">
        <v>9</v>
      </c>
      <c r="F56" s="26" t="n">
        <v>17</v>
      </c>
      <c r="G56" s="26" t="n">
        <v>13</v>
      </c>
      <c r="H56" s="26" t="n">
        <v>9</v>
      </c>
      <c r="I56" s="26" t="n">
        <v>9</v>
      </c>
      <c r="J56" s="26" t="n">
        <v>0</v>
      </c>
      <c r="K56" s="27" t="n">
        <v>-3</v>
      </c>
      <c r="L56" s="27" t="n">
        <v>0.6798</v>
      </c>
      <c r="M56" s="19" t="n">
        <f aca="false">K56-L56</f>
        <v>-3.6798</v>
      </c>
      <c r="N56" s="26" t="n">
        <v>4</v>
      </c>
      <c r="O56" s="26" t="n">
        <v>5</v>
      </c>
      <c r="P56" s="28" t="n">
        <f aca="false">IF($C56=0,"",D56/$C56)</f>
        <v>0.3</v>
      </c>
      <c r="Q56" s="28" t="n">
        <f aca="false">IF($C56=0,"",E56/$C56)</f>
        <v>0.3</v>
      </c>
      <c r="R56" s="28" t="n">
        <f aca="false">IF($C56=0,"",F56/$C56)</f>
        <v>0.566666666666667</v>
      </c>
      <c r="S56" s="28" t="n">
        <f aca="false">IF($C56=0,"",G56/$C56)</f>
        <v>0.433333333333333</v>
      </c>
      <c r="T56" s="28" t="n">
        <f aca="false">IF($C56=0,"",H56/$C56)</f>
        <v>0.3</v>
      </c>
      <c r="U56" s="28" t="n">
        <f aca="false">IF($C56=0,"",I56/$C56)</f>
        <v>0.3</v>
      </c>
      <c r="V56" s="29" t="n">
        <f aca="false">IF($C56=0,"",K56/$C56)</f>
        <v>-0.1</v>
      </c>
      <c r="W56" s="29" t="n">
        <f aca="false">IF($C56=0,"",M56/$C56)</f>
        <v>-0.12266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314</v>
      </c>
      <c r="D57" s="30" t="n">
        <f aca="false">SUM(D45:D56)</f>
        <v>107</v>
      </c>
      <c r="E57" s="30" t="n">
        <f aca="false">SUM(E45:E56)</f>
        <v>107</v>
      </c>
      <c r="F57" s="30" t="n">
        <f aca="false">SUM(F45:F56)</f>
        <v>181</v>
      </c>
      <c r="G57" s="30" t="n">
        <f aca="false">SUM(G45:G56)</f>
        <v>154</v>
      </c>
      <c r="H57" s="30" t="n">
        <f aca="false">SUM(H45:H56)</f>
        <v>125</v>
      </c>
      <c r="I57" s="30" t="n">
        <f aca="false">SUM(I45:I56)</f>
        <v>107</v>
      </c>
      <c r="J57" s="30" t="n">
        <f aca="false">SUM(J45:J56)</f>
        <v>0</v>
      </c>
      <c r="K57" s="31" t="n">
        <f aca="false">SUM(K45:K56)</f>
        <v>7</v>
      </c>
      <c r="L57" s="31" t="n">
        <f aca="false">SUM(L45:L56)</f>
        <v>7.1972</v>
      </c>
      <c r="M57" s="31" t="n">
        <f aca="false">K57-L57</f>
        <v>-0.1972</v>
      </c>
      <c r="N57" s="32" t="n">
        <v>4</v>
      </c>
      <c r="O57" s="32" t="n">
        <v>9</v>
      </c>
      <c r="P57" s="33" t="n">
        <f aca="false">IF($C57=0,"",D57/$C57)</f>
        <v>0.340764331210191</v>
      </c>
      <c r="Q57" s="33" t="n">
        <f aca="false">IF($C57=0,"",E57/$C57)</f>
        <v>0.340764331210191</v>
      </c>
      <c r="R57" s="33" t="n">
        <f aca="false">IF($C57=0,"",F57/$C57)</f>
        <v>0.576433121019108</v>
      </c>
      <c r="S57" s="33" t="n">
        <f aca="false">IF($C57=0,"",G57/$C57)</f>
        <v>0.490445859872611</v>
      </c>
      <c r="T57" s="33" t="n">
        <f aca="false">IF($C57=0,"",H57/$C57)</f>
        <v>0.398089171974522</v>
      </c>
      <c r="U57" s="33" t="n">
        <f aca="false">IF($C57=0,"",I57/$C57)</f>
        <v>0.340764331210191</v>
      </c>
      <c r="V57" s="34" t="n">
        <f aca="false">IF($C57=0,"",K57/$C57)</f>
        <v>0.0222929936305732</v>
      </c>
      <c r="W57" s="34" t="n">
        <f aca="false">IF($C57=0,"",M57/$C57)</f>
        <v>-0.000628025477707008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26</v>
      </c>
      <c r="D58" s="26" t="n">
        <v>10</v>
      </c>
      <c r="E58" s="26" t="n">
        <v>10</v>
      </c>
      <c r="F58" s="26" t="n">
        <v>18</v>
      </c>
      <c r="G58" s="26" t="n">
        <v>14</v>
      </c>
      <c r="H58" s="26" t="n">
        <v>10</v>
      </c>
      <c r="I58" s="26" t="n">
        <v>10</v>
      </c>
      <c r="J58" s="26" t="n">
        <v>0</v>
      </c>
      <c r="K58" s="27" t="n">
        <v>4</v>
      </c>
      <c r="L58" s="27" t="n">
        <v>0.6891</v>
      </c>
      <c r="M58" s="19" t="n">
        <f aca="false">K58-L58</f>
        <v>3.3109</v>
      </c>
      <c r="N58" s="26" t="n">
        <v>2</v>
      </c>
      <c r="O58" s="26" t="n">
        <v>4</v>
      </c>
      <c r="P58" s="28" t="n">
        <f aca="false">IF($C58=0,"",D58/$C58)</f>
        <v>0.384615384615385</v>
      </c>
      <c r="Q58" s="28" t="n">
        <f aca="false">IF($C58=0,"",E58/$C58)</f>
        <v>0.384615384615385</v>
      </c>
      <c r="R58" s="28" t="n">
        <f aca="false">IF($C58=0,"",F58/$C58)</f>
        <v>0.692307692307692</v>
      </c>
      <c r="S58" s="28" t="n">
        <f aca="false">IF($C58=0,"",G58/$C58)</f>
        <v>0.538461538461538</v>
      </c>
      <c r="T58" s="28" t="n">
        <f aca="false">IF($C58=0,"",H58/$C58)</f>
        <v>0.384615384615385</v>
      </c>
      <c r="U58" s="28" t="n">
        <f aca="false">IF($C58=0,"",I58/$C58)</f>
        <v>0.384615384615385</v>
      </c>
      <c r="V58" s="29" t="n">
        <f aca="false">IF($C58=0,"",K58/$C58)</f>
        <v>0.153846153846154</v>
      </c>
      <c r="W58" s="29" t="n">
        <f aca="false">IF($C58=0,"",M58/$C58)</f>
        <v>0.127342307692308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26</v>
      </c>
      <c r="D59" s="26" t="n">
        <v>14</v>
      </c>
      <c r="E59" s="26" t="n">
        <v>14</v>
      </c>
      <c r="F59" s="26" t="n">
        <v>18</v>
      </c>
      <c r="G59" s="26" t="n">
        <v>18</v>
      </c>
      <c r="H59" s="26" t="n">
        <v>17</v>
      </c>
      <c r="I59" s="26" t="n">
        <v>14</v>
      </c>
      <c r="J59" s="26" t="n">
        <v>0</v>
      </c>
      <c r="K59" s="27" t="n">
        <v>16</v>
      </c>
      <c r="L59" s="27" t="n">
        <v>0.4495</v>
      </c>
      <c r="M59" s="19" t="n">
        <f aca="false">K59-L59</f>
        <v>15.5505</v>
      </c>
      <c r="N59" s="26" t="n">
        <v>3</v>
      </c>
      <c r="O59" s="26" t="n">
        <v>3</v>
      </c>
      <c r="P59" s="28" t="n">
        <f aca="false">IF($C59=0,"",D59/$C59)</f>
        <v>0.538461538461538</v>
      </c>
      <c r="Q59" s="28" t="n">
        <f aca="false">IF($C59=0,"",E59/$C59)</f>
        <v>0.538461538461538</v>
      </c>
      <c r="R59" s="28" t="n">
        <f aca="false">IF($C59=0,"",F59/$C59)</f>
        <v>0.692307692307692</v>
      </c>
      <c r="S59" s="28" t="n">
        <f aca="false">IF($C59=0,"",G59/$C59)</f>
        <v>0.692307692307692</v>
      </c>
      <c r="T59" s="28" t="n">
        <f aca="false">IF($C59=0,"",H59/$C59)</f>
        <v>0.653846153846154</v>
      </c>
      <c r="U59" s="28" t="n">
        <f aca="false">IF($C59=0,"",I59/$C59)</f>
        <v>0.538461538461538</v>
      </c>
      <c r="V59" s="29" t="n">
        <f aca="false">IF($C59=0,"",K59/$C59)</f>
        <v>0.615384615384615</v>
      </c>
      <c r="W59" s="29" t="n">
        <f aca="false">IF($C59=0,"",M59/$C59)</f>
        <v>0.598096153846154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28</v>
      </c>
      <c r="D60" s="26" t="n">
        <v>14</v>
      </c>
      <c r="E60" s="26" t="n">
        <v>14</v>
      </c>
      <c r="F60" s="26" t="n">
        <v>23</v>
      </c>
      <c r="G60" s="26" t="n">
        <v>17</v>
      </c>
      <c r="H60" s="26" t="n">
        <v>15</v>
      </c>
      <c r="I60" s="26" t="n">
        <v>14</v>
      </c>
      <c r="J60" s="26" t="n">
        <v>0</v>
      </c>
      <c r="K60" s="27" t="n">
        <v>14</v>
      </c>
      <c r="L60" s="27" t="n">
        <v>0.4873</v>
      </c>
      <c r="M60" s="19" t="n">
        <f aca="false">K60-L60</f>
        <v>13.5127</v>
      </c>
      <c r="N60" s="26" t="n">
        <v>4</v>
      </c>
      <c r="O60" s="26" t="n">
        <v>3</v>
      </c>
      <c r="P60" s="28" t="n">
        <f aca="false">IF($C60=0,"",D60/$C60)</f>
        <v>0.5</v>
      </c>
      <c r="Q60" s="28" t="n">
        <f aca="false">IF($C60=0,"",E60/$C60)</f>
        <v>0.5</v>
      </c>
      <c r="R60" s="28" t="n">
        <f aca="false">IF($C60=0,"",F60/$C60)</f>
        <v>0.821428571428571</v>
      </c>
      <c r="S60" s="28" t="n">
        <f aca="false">IF($C60=0,"",G60/$C60)</f>
        <v>0.607142857142857</v>
      </c>
      <c r="T60" s="28" t="n">
        <f aca="false">IF($C60=0,"",H60/$C60)</f>
        <v>0.535714285714286</v>
      </c>
      <c r="U60" s="28" t="n">
        <f aca="false">IF($C60=0,"",I60/$C60)</f>
        <v>0.5</v>
      </c>
      <c r="V60" s="29" t="n">
        <f aca="false">IF($C60=0,"",K60/$C60)</f>
        <v>0.5</v>
      </c>
      <c r="W60" s="29" t="n">
        <f aca="false">IF($C60=0,"",M60/$C60)</f>
        <v>0.482596428571429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32</v>
      </c>
      <c r="D61" s="26" t="n">
        <v>17</v>
      </c>
      <c r="E61" s="26" t="n">
        <v>17</v>
      </c>
      <c r="F61" s="26" t="n">
        <v>20</v>
      </c>
      <c r="G61" s="26" t="n">
        <v>18</v>
      </c>
      <c r="H61" s="26" t="n">
        <v>17</v>
      </c>
      <c r="I61" s="26" t="n">
        <v>17</v>
      </c>
      <c r="J61" s="26" t="n">
        <v>0</v>
      </c>
      <c r="K61" s="27" t="n">
        <v>19</v>
      </c>
      <c r="L61" s="27" t="n">
        <v>0.3401</v>
      </c>
      <c r="M61" s="19" t="n">
        <f aca="false">K61-L61</f>
        <v>18.6599</v>
      </c>
      <c r="N61" s="26" t="n">
        <v>4</v>
      </c>
      <c r="O61" s="26" t="n">
        <v>4</v>
      </c>
      <c r="P61" s="28" t="n">
        <f aca="false">IF($C61=0,"",D61/$C61)</f>
        <v>0.53125</v>
      </c>
      <c r="Q61" s="28" t="n">
        <f aca="false">IF($C61=0,"",E61/$C61)</f>
        <v>0.53125</v>
      </c>
      <c r="R61" s="28" t="n">
        <f aca="false">IF($C61=0,"",F61/$C61)</f>
        <v>0.625</v>
      </c>
      <c r="S61" s="28" t="n">
        <f aca="false">IF($C61=0,"",G61/$C61)</f>
        <v>0.5625</v>
      </c>
      <c r="T61" s="28" t="n">
        <f aca="false">IF($C61=0,"",H61/$C61)</f>
        <v>0.53125</v>
      </c>
      <c r="U61" s="28" t="n">
        <f aca="false">IF($C61=0,"",I61/$C61)</f>
        <v>0.53125</v>
      </c>
      <c r="V61" s="29" t="n">
        <f aca="false">IF($C61=0,"",K61/$C61)</f>
        <v>0.59375</v>
      </c>
      <c r="W61" s="29" t="n">
        <f aca="false">IF($C61=0,"",M61/$C61)</f>
        <v>0.583121875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24</v>
      </c>
      <c r="D62" s="26" t="n">
        <v>6</v>
      </c>
      <c r="E62" s="26" t="n">
        <v>6</v>
      </c>
      <c r="F62" s="26" t="n">
        <v>13</v>
      </c>
      <c r="G62" s="26" t="n">
        <v>11</v>
      </c>
      <c r="H62" s="26" t="n">
        <v>8</v>
      </c>
      <c r="I62" s="26" t="n">
        <v>6</v>
      </c>
      <c r="J62" s="26" t="n">
        <v>0</v>
      </c>
      <c r="K62" s="27" t="n">
        <v>-6</v>
      </c>
      <c r="L62" s="27" t="n">
        <v>0.2868</v>
      </c>
      <c r="M62" s="19" t="n">
        <f aca="false">K62-L62</f>
        <v>-6.2868</v>
      </c>
      <c r="N62" s="26" t="n">
        <v>2</v>
      </c>
      <c r="O62" s="26" t="n">
        <v>4</v>
      </c>
      <c r="P62" s="28" t="n">
        <f aca="false">IF($C62=0,"",D62/$C62)</f>
        <v>0.25</v>
      </c>
      <c r="Q62" s="28" t="n">
        <f aca="false">IF($C62=0,"",E62/$C62)</f>
        <v>0.25</v>
      </c>
      <c r="R62" s="28" t="n">
        <f aca="false">IF($C62=0,"",F62/$C62)</f>
        <v>0.541666666666667</v>
      </c>
      <c r="S62" s="28" t="n">
        <f aca="false">IF($C62=0,"",G62/$C62)</f>
        <v>0.458333333333333</v>
      </c>
      <c r="T62" s="28" t="n">
        <f aca="false">IF($C62=0,"",H62/$C62)</f>
        <v>0.333333333333333</v>
      </c>
      <c r="U62" s="28" t="n">
        <f aca="false">IF($C62=0,"",I62/$C62)</f>
        <v>0.25</v>
      </c>
      <c r="V62" s="29" t="n">
        <f aca="false">IF($C62=0,"",K62/$C62)</f>
        <v>-0.25</v>
      </c>
      <c r="W62" s="29" t="n">
        <f aca="false">IF($C62=0,"",M62/$C62)</f>
        <v>-0.26195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24</v>
      </c>
      <c r="D63" s="26" t="n">
        <v>6</v>
      </c>
      <c r="E63" s="26" t="n">
        <v>6</v>
      </c>
      <c r="F63" s="26" t="n">
        <v>12</v>
      </c>
      <c r="G63" s="26" t="n">
        <v>9</v>
      </c>
      <c r="H63" s="26" t="n">
        <v>7</v>
      </c>
      <c r="I63" s="26" t="n">
        <v>6</v>
      </c>
      <c r="J63" s="26" t="n">
        <v>0</v>
      </c>
      <c r="K63" s="27" t="n">
        <v>-6</v>
      </c>
      <c r="L63" s="27" t="n">
        <v>0.3501</v>
      </c>
      <c r="M63" s="19" t="n">
        <f aca="false">K63-L63</f>
        <v>-6.3501</v>
      </c>
      <c r="N63" s="26" t="n">
        <v>2</v>
      </c>
      <c r="O63" s="26" t="n">
        <v>6</v>
      </c>
      <c r="P63" s="28" t="n">
        <f aca="false">IF($C63=0,"",D63/$C63)</f>
        <v>0.25</v>
      </c>
      <c r="Q63" s="28" t="n">
        <f aca="false">IF($C63=0,"",E63/$C63)</f>
        <v>0.25</v>
      </c>
      <c r="R63" s="28" t="n">
        <f aca="false">IF($C63=0,"",F63/$C63)</f>
        <v>0.5</v>
      </c>
      <c r="S63" s="28" t="n">
        <f aca="false">IF($C63=0,"",G63/$C63)</f>
        <v>0.375</v>
      </c>
      <c r="T63" s="28" t="n">
        <f aca="false">IF($C63=0,"",H63/$C63)</f>
        <v>0.291666666666667</v>
      </c>
      <c r="U63" s="28" t="n">
        <f aca="false">IF($C63=0,"",I63/$C63)</f>
        <v>0.25</v>
      </c>
      <c r="V63" s="29" t="n">
        <f aca="false">IF($C63=0,"",K63/$C63)</f>
        <v>-0.25</v>
      </c>
      <c r="W63" s="29" t="n">
        <f aca="false">IF($C63=0,"",M63/$C63)</f>
        <v>-0.2645875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27</v>
      </c>
      <c r="D64" s="26" t="n">
        <v>8</v>
      </c>
      <c r="E64" s="26" t="n">
        <v>8</v>
      </c>
      <c r="F64" s="26" t="n">
        <v>17</v>
      </c>
      <c r="G64" s="26" t="n">
        <v>11</v>
      </c>
      <c r="H64" s="26" t="n">
        <v>10</v>
      </c>
      <c r="I64" s="26" t="n">
        <v>8</v>
      </c>
      <c r="J64" s="26" t="n">
        <v>0</v>
      </c>
      <c r="K64" s="27" t="n">
        <v>-3</v>
      </c>
      <c r="L64" s="27" t="n">
        <v>0.4886</v>
      </c>
      <c r="M64" s="19" t="n">
        <f aca="false">K64-L64</f>
        <v>-3.4886</v>
      </c>
      <c r="N64" s="26" t="n">
        <v>2</v>
      </c>
      <c r="O64" s="26" t="n">
        <v>7</v>
      </c>
      <c r="P64" s="28" t="n">
        <f aca="false">IF($C64=0,"",D64/$C64)</f>
        <v>0.296296296296296</v>
      </c>
      <c r="Q64" s="28" t="n">
        <f aca="false">IF($C64=0,"",E64/$C64)</f>
        <v>0.296296296296296</v>
      </c>
      <c r="R64" s="28" t="n">
        <f aca="false">IF($C64=0,"",F64/$C64)</f>
        <v>0.62962962962963</v>
      </c>
      <c r="S64" s="28" t="n">
        <f aca="false">IF($C64=0,"",G64/$C64)</f>
        <v>0.407407407407407</v>
      </c>
      <c r="T64" s="28" t="n">
        <f aca="false">IF($C64=0,"",H64/$C64)</f>
        <v>0.37037037037037</v>
      </c>
      <c r="U64" s="28" t="n">
        <f aca="false">IF($C64=0,"",I64/$C64)</f>
        <v>0.296296296296296</v>
      </c>
      <c r="V64" s="29" t="n">
        <f aca="false">IF($C64=0,"",K64/$C64)</f>
        <v>-0.111111111111111</v>
      </c>
      <c r="W64" s="29" t="n">
        <f aca="false">IF($C64=0,"",M64/$C64)</f>
        <v>-0.129207407407407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23</v>
      </c>
      <c r="D65" s="26" t="n">
        <v>11</v>
      </c>
      <c r="E65" s="26" t="n">
        <v>11</v>
      </c>
      <c r="F65" s="26" t="n">
        <v>17</v>
      </c>
      <c r="G65" s="26" t="n">
        <v>17</v>
      </c>
      <c r="H65" s="26" t="n">
        <v>14</v>
      </c>
      <c r="I65" s="26" t="n">
        <v>11</v>
      </c>
      <c r="J65" s="26" t="n">
        <v>0</v>
      </c>
      <c r="K65" s="27" t="n">
        <v>10</v>
      </c>
      <c r="L65" s="27" t="n">
        <v>0.5328</v>
      </c>
      <c r="M65" s="19" t="n">
        <f aca="false">K65-L65</f>
        <v>9.4672</v>
      </c>
      <c r="N65" s="26" t="n">
        <v>4</v>
      </c>
      <c r="O65" s="26" t="n">
        <v>3</v>
      </c>
      <c r="P65" s="28" t="n">
        <f aca="false">IF($C65=0,"",D65/$C65)</f>
        <v>0.478260869565217</v>
      </c>
      <c r="Q65" s="28" t="n">
        <f aca="false">IF($C65=0,"",E65/$C65)</f>
        <v>0.478260869565217</v>
      </c>
      <c r="R65" s="28" t="n">
        <f aca="false">IF($C65=0,"",F65/$C65)</f>
        <v>0.739130434782609</v>
      </c>
      <c r="S65" s="28" t="n">
        <f aca="false">IF($C65=0,"",G65/$C65)</f>
        <v>0.739130434782609</v>
      </c>
      <c r="T65" s="28" t="n">
        <f aca="false">IF($C65=0,"",H65/$C65)</f>
        <v>0.608695652173913</v>
      </c>
      <c r="U65" s="28" t="n">
        <f aca="false">IF($C65=0,"",I65/$C65)</f>
        <v>0.478260869565217</v>
      </c>
      <c r="V65" s="29" t="n">
        <f aca="false">IF($C65=0,"",K65/$C65)</f>
        <v>0.434782608695652</v>
      </c>
      <c r="W65" s="29" t="n">
        <f aca="false">IF($C65=0,"",M65/$C65)</f>
        <v>0.411617391304348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27</v>
      </c>
      <c r="D66" s="26" t="n">
        <v>11</v>
      </c>
      <c r="E66" s="26" t="n">
        <v>11</v>
      </c>
      <c r="F66" s="26" t="n">
        <v>14</v>
      </c>
      <c r="G66" s="26" t="n">
        <v>12</v>
      </c>
      <c r="H66" s="26" t="n">
        <v>12</v>
      </c>
      <c r="I66" s="26" t="n">
        <v>11</v>
      </c>
      <c r="J66" s="26" t="n">
        <v>0</v>
      </c>
      <c r="K66" s="27" t="n">
        <v>6</v>
      </c>
      <c r="L66" s="27" t="n">
        <v>0.531</v>
      </c>
      <c r="M66" s="19" t="n">
        <f aca="false">K66-L66</f>
        <v>5.469</v>
      </c>
      <c r="N66" s="26" t="n">
        <v>4</v>
      </c>
      <c r="O66" s="26" t="n">
        <v>4</v>
      </c>
      <c r="P66" s="28" t="n">
        <f aca="false">IF($C66=0,"",D66/$C66)</f>
        <v>0.407407407407407</v>
      </c>
      <c r="Q66" s="28" t="n">
        <f aca="false">IF($C66=0,"",E66/$C66)</f>
        <v>0.407407407407407</v>
      </c>
      <c r="R66" s="28" t="n">
        <f aca="false">IF($C66=0,"",F66/$C66)</f>
        <v>0.518518518518519</v>
      </c>
      <c r="S66" s="28" t="n">
        <f aca="false">IF($C66=0,"",G66/$C66)</f>
        <v>0.444444444444444</v>
      </c>
      <c r="T66" s="28" t="n">
        <f aca="false">IF($C66=0,"",H66/$C66)</f>
        <v>0.444444444444444</v>
      </c>
      <c r="U66" s="28" t="n">
        <f aca="false">IF($C66=0,"",I66/$C66)</f>
        <v>0.407407407407407</v>
      </c>
      <c r="V66" s="29" t="n">
        <f aca="false">IF($C66=0,"",K66/$C66)</f>
        <v>0.222222222222222</v>
      </c>
      <c r="W66" s="29" t="n">
        <f aca="false">IF($C66=0,"",M66/$C66)</f>
        <v>0.202555555555556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27</v>
      </c>
      <c r="D67" s="26" t="n">
        <v>12</v>
      </c>
      <c r="E67" s="26" t="n">
        <v>12</v>
      </c>
      <c r="F67" s="26" t="n">
        <v>16</v>
      </c>
      <c r="G67" s="26" t="n">
        <v>13</v>
      </c>
      <c r="H67" s="26" t="n">
        <v>13</v>
      </c>
      <c r="I67" s="26" t="n">
        <v>12</v>
      </c>
      <c r="J67" s="26" t="n">
        <v>0</v>
      </c>
      <c r="K67" s="27" t="n">
        <v>9</v>
      </c>
      <c r="L67" s="27" t="n">
        <v>0.2558</v>
      </c>
      <c r="M67" s="19" t="n">
        <f aca="false">K67-L67</f>
        <v>8.7442</v>
      </c>
      <c r="N67" s="26" t="n">
        <v>3</v>
      </c>
      <c r="O67" s="26" t="n">
        <v>3</v>
      </c>
      <c r="P67" s="28" t="n">
        <f aca="false">IF($C67=0,"",D67/$C67)</f>
        <v>0.444444444444444</v>
      </c>
      <c r="Q67" s="28" t="n">
        <f aca="false">IF($C67=0,"",E67/$C67)</f>
        <v>0.444444444444444</v>
      </c>
      <c r="R67" s="28" t="n">
        <f aca="false">IF($C67=0,"",F67/$C67)</f>
        <v>0.592592592592593</v>
      </c>
      <c r="S67" s="28" t="n">
        <f aca="false">IF($C67=0,"",G67/$C67)</f>
        <v>0.481481481481481</v>
      </c>
      <c r="T67" s="28" t="n">
        <f aca="false">IF($C67=0,"",H67/$C67)</f>
        <v>0.481481481481481</v>
      </c>
      <c r="U67" s="28" t="n">
        <f aca="false">IF($C67=0,"",I67/$C67)</f>
        <v>0.444444444444444</v>
      </c>
      <c r="V67" s="29" t="n">
        <f aca="false">IF($C67=0,"",K67/$C67)</f>
        <v>0.333333333333333</v>
      </c>
      <c r="W67" s="29" t="n">
        <f aca="false">IF($C67=0,"",M67/$C67)</f>
        <v>0.323859259259259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31</v>
      </c>
      <c r="D68" s="26" t="n">
        <v>10</v>
      </c>
      <c r="E68" s="26" t="n">
        <v>10</v>
      </c>
      <c r="F68" s="26" t="n">
        <v>18</v>
      </c>
      <c r="G68" s="26" t="n">
        <v>13</v>
      </c>
      <c r="H68" s="26" t="n">
        <v>10</v>
      </c>
      <c r="I68" s="26" t="n">
        <v>10</v>
      </c>
      <c r="J68" s="26" t="n">
        <v>0</v>
      </c>
      <c r="K68" s="27" t="n">
        <v>-1</v>
      </c>
      <c r="L68" s="27" t="n">
        <v>0.3913</v>
      </c>
      <c r="M68" s="19" t="n">
        <f aca="false">K68-L68</f>
        <v>-1.3913</v>
      </c>
      <c r="N68" s="26" t="n">
        <v>4</v>
      </c>
      <c r="O68" s="26" t="n">
        <v>11</v>
      </c>
      <c r="P68" s="28" t="n">
        <f aca="false">IF($C68=0,"",D68/$C68)</f>
        <v>0.32258064516129</v>
      </c>
      <c r="Q68" s="28" t="n">
        <f aca="false">IF($C68=0,"",E68/$C68)</f>
        <v>0.32258064516129</v>
      </c>
      <c r="R68" s="28" t="n">
        <f aca="false">IF($C68=0,"",F68/$C68)</f>
        <v>0.580645161290323</v>
      </c>
      <c r="S68" s="28" t="n">
        <f aca="false">IF($C68=0,"",G68/$C68)</f>
        <v>0.419354838709677</v>
      </c>
      <c r="T68" s="28" t="n">
        <f aca="false">IF($C68=0,"",H68/$C68)</f>
        <v>0.32258064516129</v>
      </c>
      <c r="U68" s="28" t="n">
        <f aca="false">IF($C68=0,"",I68/$C68)</f>
        <v>0.32258064516129</v>
      </c>
      <c r="V68" s="29" t="n">
        <f aca="false">IF($C68=0,"",K68/$C68)</f>
        <v>-0.032258064516129</v>
      </c>
      <c r="W68" s="29" t="n">
        <f aca="false">IF($C68=0,"",M68/$C68)</f>
        <v>-0.0448806451612903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34</v>
      </c>
      <c r="D69" s="26" t="n">
        <v>9</v>
      </c>
      <c r="E69" s="26" t="n">
        <v>9</v>
      </c>
      <c r="F69" s="26" t="n">
        <v>18</v>
      </c>
      <c r="G69" s="26" t="n">
        <v>14</v>
      </c>
      <c r="H69" s="26" t="n">
        <v>12</v>
      </c>
      <c r="I69" s="26" t="n">
        <v>9</v>
      </c>
      <c r="J69" s="26" t="n">
        <v>0</v>
      </c>
      <c r="K69" s="27" t="n">
        <v>-7</v>
      </c>
      <c r="L69" s="27" t="n">
        <v>0.3947</v>
      </c>
      <c r="M69" s="19" t="n">
        <f aca="false">K69-L69</f>
        <v>-7.3947</v>
      </c>
      <c r="N69" s="26" t="n">
        <v>2</v>
      </c>
      <c r="O69" s="26" t="n">
        <v>7</v>
      </c>
      <c r="P69" s="28" t="n">
        <f aca="false">IF($C69=0,"",D69/$C69)</f>
        <v>0.264705882352941</v>
      </c>
      <c r="Q69" s="28" t="n">
        <f aca="false">IF($C69=0,"",E69/$C69)</f>
        <v>0.264705882352941</v>
      </c>
      <c r="R69" s="28" t="n">
        <f aca="false">IF($C69=0,"",F69/$C69)</f>
        <v>0.529411764705882</v>
      </c>
      <c r="S69" s="28" t="n">
        <f aca="false">IF($C69=0,"",G69/$C69)</f>
        <v>0.411764705882353</v>
      </c>
      <c r="T69" s="28" t="n">
        <f aca="false">IF($C69=0,"",H69/$C69)</f>
        <v>0.352941176470588</v>
      </c>
      <c r="U69" s="28" t="n">
        <f aca="false">IF($C69=0,"",I69/$C69)</f>
        <v>0.264705882352941</v>
      </c>
      <c r="V69" s="29" t="n">
        <f aca="false">IF($C69=0,"",K69/$C69)</f>
        <v>-0.205882352941176</v>
      </c>
      <c r="W69" s="29" t="n">
        <f aca="false">IF($C69=0,"",M69/$C69)</f>
        <v>-0.217491176470588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329</v>
      </c>
      <c r="D70" s="30" t="n">
        <f aca="false">SUM(D58:D69)</f>
        <v>128</v>
      </c>
      <c r="E70" s="30" t="n">
        <f aca="false">SUM(E58:E69)</f>
        <v>128</v>
      </c>
      <c r="F70" s="30" t="n">
        <f aca="false">SUM(F58:F69)</f>
        <v>204</v>
      </c>
      <c r="G70" s="30" t="n">
        <f aca="false">SUM(G58:G69)</f>
        <v>167</v>
      </c>
      <c r="H70" s="30" t="n">
        <f aca="false">SUM(H58:H69)</f>
        <v>145</v>
      </c>
      <c r="I70" s="30" t="n">
        <f aca="false">SUM(I58:I69)</f>
        <v>128</v>
      </c>
      <c r="J70" s="30" t="n">
        <f aca="false">SUM(J58:J69)</f>
        <v>0</v>
      </c>
      <c r="K70" s="31" t="n">
        <f aca="false">SUM(K58:K69)</f>
        <v>55</v>
      </c>
      <c r="L70" s="31" t="n">
        <f aca="false">SUM(L58:L69)</f>
        <v>5.1971</v>
      </c>
      <c r="M70" s="31" t="n">
        <f aca="false">K70-L70</f>
        <v>49.8029</v>
      </c>
      <c r="N70" s="32" t="n">
        <v>5</v>
      </c>
      <c r="O70" s="32" t="n">
        <v>11</v>
      </c>
      <c r="P70" s="33" t="n">
        <f aca="false">IF($C70=0,"",D70/$C70)</f>
        <v>0.389057750759878</v>
      </c>
      <c r="Q70" s="33" t="n">
        <f aca="false">IF($C70=0,"",E70/$C70)</f>
        <v>0.389057750759878</v>
      </c>
      <c r="R70" s="33" t="n">
        <f aca="false">IF($C70=0,"",F70/$C70)</f>
        <v>0.620060790273556</v>
      </c>
      <c r="S70" s="33" t="n">
        <f aca="false">IF($C70=0,"",G70/$C70)</f>
        <v>0.507598784194529</v>
      </c>
      <c r="T70" s="33" t="n">
        <f aca="false">IF($C70=0,"",H70/$C70)</f>
        <v>0.440729483282675</v>
      </c>
      <c r="U70" s="33" t="n">
        <f aca="false">IF($C70=0,"",I70/$C70)</f>
        <v>0.389057750759878</v>
      </c>
      <c r="V70" s="34" t="n">
        <f aca="false">IF($C70=0,"",K70/$C70)</f>
        <v>0.167173252279635</v>
      </c>
      <c r="W70" s="34" t="n">
        <f aca="false">IF($C70=0,"",M70/$C70)</f>
        <v>0.151376595744681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27</v>
      </c>
      <c r="D71" s="26" t="n">
        <v>10</v>
      </c>
      <c r="E71" s="26" t="n">
        <v>10</v>
      </c>
      <c r="F71" s="26" t="n">
        <v>21</v>
      </c>
      <c r="G71" s="26" t="n">
        <v>18</v>
      </c>
      <c r="H71" s="26" t="n">
        <v>13</v>
      </c>
      <c r="I71" s="26" t="n">
        <v>10</v>
      </c>
      <c r="J71" s="26" t="n">
        <v>0</v>
      </c>
      <c r="K71" s="27" t="n">
        <v>3</v>
      </c>
      <c r="L71" s="27" t="n">
        <v>0.2354</v>
      </c>
      <c r="M71" s="19" t="n">
        <f aca="false">K71-L71</f>
        <v>2.7646</v>
      </c>
      <c r="N71" s="26" t="n">
        <v>2</v>
      </c>
      <c r="O71" s="26" t="n">
        <v>6</v>
      </c>
      <c r="P71" s="28" t="n">
        <f aca="false">IF($C71=0,"",D71/$C71)</f>
        <v>0.37037037037037</v>
      </c>
      <c r="Q71" s="28" t="n">
        <f aca="false">IF($C71=0,"",E71/$C71)</f>
        <v>0.37037037037037</v>
      </c>
      <c r="R71" s="28" t="n">
        <f aca="false">IF($C71=0,"",F71/$C71)</f>
        <v>0.777777777777778</v>
      </c>
      <c r="S71" s="28" t="n">
        <f aca="false">IF($C71=0,"",G71/$C71)</f>
        <v>0.666666666666667</v>
      </c>
      <c r="T71" s="28" t="n">
        <f aca="false">IF($C71=0,"",H71/$C71)</f>
        <v>0.481481481481481</v>
      </c>
      <c r="U71" s="28" t="n">
        <f aca="false">IF($C71=0,"",I71/$C71)</f>
        <v>0.37037037037037</v>
      </c>
      <c r="V71" s="29" t="n">
        <f aca="false">IF($C71=0,"",K71/$C71)</f>
        <v>0.111111111111111</v>
      </c>
      <c r="W71" s="29" t="n">
        <f aca="false">IF($C71=0,"",M71/$C71)</f>
        <v>0.102392592592593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26</v>
      </c>
      <c r="D72" s="26" t="n">
        <v>9</v>
      </c>
      <c r="E72" s="26" t="n">
        <v>9</v>
      </c>
      <c r="F72" s="26" t="n">
        <v>15</v>
      </c>
      <c r="G72" s="26" t="n">
        <v>13</v>
      </c>
      <c r="H72" s="26" t="n">
        <v>11</v>
      </c>
      <c r="I72" s="26" t="n">
        <v>9</v>
      </c>
      <c r="J72" s="26" t="n">
        <v>0</v>
      </c>
      <c r="K72" s="27" t="n">
        <v>1</v>
      </c>
      <c r="L72" s="27" t="n">
        <v>0.1718</v>
      </c>
      <c r="M72" s="19" t="n">
        <f aca="false">K72-L72</f>
        <v>0.8282</v>
      </c>
      <c r="N72" s="26" t="n">
        <v>2</v>
      </c>
      <c r="O72" s="26" t="n">
        <v>6</v>
      </c>
      <c r="P72" s="28" t="n">
        <f aca="false">IF($C72=0,"",D72/$C72)</f>
        <v>0.346153846153846</v>
      </c>
      <c r="Q72" s="28" t="n">
        <f aca="false">IF($C72=0,"",E72/$C72)</f>
        <v>0.346153846153846</v>
      </c>
      <c r="R72" s="28" t="n">
        <f aca="false">IF($C72=0,"",F72/$C72)</f>
        <v>0.576923076923077</v>
      </c>
      <c r="S72" s="28" t="n">
        <f aca="false">IF($C72=0,"",G72/$C72)</f>
        <v>0.5</v>
      </c>
      <c r="T72" s="28" t="n">
        <f aca="false">IF($C72=0,"",H72/$C72)</f>
        <v>0.423076923076923</v>
      </c>
      <c r="U72" s="28" t="n">
        <f aca="false">IF($C72=0,"",I72/$C72)</f>
        <v>0.346153846153846</v>
      </c>
      <c r="V72" s="29" t="n">
        <f aca="false">IF($C72=0,"",K72/$C72)</f>
        <v>0.0384615384615385</v>
      </c>
      <c r="W72" s="29" t="n">
        <f aca="false">IF($C72=0,"",M72/$C72)</f>
        <v>0.0318538461538462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29</v>
      </c>
      <c r="D73" s="26" t="n">
        <v>12</v>
      </c>
      <c r="E73" s="26" t="n">
        <v>12</v>
      </c>
      <c r="F73" s="26" t="n">
        <v>18</v>
      </c>
      <c r="G73" s="26" t="n">
        <v>16</v>
      </c>
      <c r="H73" s="26" t="n">
        <v>14</v>
      </c>
      <c r="I73" s="26" t="n">
        <v>12</v>
      </c>
      <c r="J73" s="26" t="n">
        <v>0</v>
      </c>
      <c r="K73" s="27" t="n">
        <v>7</v>
      </c>
      <c r="L73" s="27" t="n">
        <v>0.2067</v>
      </c>
      <c r="M73" s="19" t="n">
        <f aca="false">K73-L73</f>
        <v>6.7933</v>
      </c>
      <c r="N73" s="26" t="n">
        <v>4</v>
      </c>
      <c r="O73" s="26" t="n">
        <v>6</v>
      </c>
      <c r="P73" s="28" t="n">
        <f aca="false">IF($C73=0,"",D73/$C73)</f>
        <v>0.413793103448276</v>
      </c>
      <c r="Q73" s="28" t="n">
        <f aca="false">IF($C73=0,"",E73/$C73)</f>
        <v>0.413793103448276</v>
      </c>
      <c r="R73" s="28" t="n">
        <f aca="false">IF($C73=0,"",F73/$C73)</f>
        <v>0.620689655172414</v>
      </c>
      <c r="S73" s="28" t="n">
        <f aca="false">IF($C73=0,"",G73/$C73)</f>
        <v>0.551724137931035</v>
      </c>
      <c r="T73" s="28" t="n">
        <f aca="false">IF($C73=0,"",H73/$C73)</f>
        <v>0.482758620689655</v>
      </c>
      <c r="U73" s="28" t="n">
        <f aca="false">IF($C73=0,"",I73/$C73)</f>
        <v>0.413793103448276</v>
      </c>
      <c r="V73" s="29" t="n">
        <f aca="false">IF($C73=0,"",K73/$C73)</f>
        <v>0.241379310344828</v>
      </c>
      <c r="W73" s="29" t="n">
        <f aca="false">IF($C73=0,"",M73/$C73)</f>
        <v>0.234251724137931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28</v>
      </c>
      <c r="D74" s="26" t="n">
        <v>8</v>
      </c>
      <c r="E74" s="26" t="n">
        <v>8</v>
      </c>
      <c r="F74" s="26" t="n">
        <v>15</v>
      </c>
      <c r="G74" s="26" t="n">
        <v>12</v>
      </c>
      <c r="H74" s="26" t="n">
        <v>9</v>
      </c>
      <c r="I74" s="26" t="n">
        <v>8</v>
      </c>
      <c r="J74" s="26" t="n">
        <v>0</v>
      </c>
      <c r="K74" s="27" t="n">
        <v>-4</v>
      </c>
      <c r="L74" s="27" t="n">
        <v>0.2799</v>
      </c>
      <c r="M74" s="19" t="n">
        <f aca="false">K74-L74</f>
        <v>-4.2799</v>
      </c>
      <c r="N74" s="26" t="n">
        <v>2</v>
      </c>
      <c r="O74" s="26" t="n">
        <v>7</v>
      </c>
      <c r="P74" s="28" t="n">
        <f aca="false">IF($C74=0,"",D74/$C74)</f>
        <v>0.285714285714286</v>
      </c>
      <c r="Q74" s="28" t="n">
        <f aca="false">IF($C74=0,"",E74/$C74)</f>
        <v>0.285714285714286</v>
      </c>
      <c r="R74" s="28" t="n">
        <f aca="false">IF($C74=0,"",F74/$C74)</f>
        <v>0.535714285714286</v>
      </c>
      <c r="S74" s="28" t="n">
        <f aca="false">IF($C74=0,"",G74/$C74)</f>
        <v>0.428571428571429</v>
      </c>
      <c r="T74" s="28" t="n">
        <f aca="false">IF($C74=0,"",H74/$C74)</f>
        <v>0.321428571428571</v>
      </c>
      <c r="U74" s="28" t="n">
        <f aca="false">IF($C74=0,"",I74/$C74)</f>
        <v>0.285714285714286</v>
      </c>
      <c r="V74" s="29" t="n">
        <f aca="false">IF($C74=0,"",K74/$C74)</f>
        <v>-0.142857142857143</v>
      </c>
      <c r="W74" s="29" t="n">
        <f aca="false">IF($C74=0,"",M74/$C74)</f>
        <v>-0.152853571428571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27</v>
      </c>
      <c r="D75" s="26" t="n">
        <v>5</v>
      </c>
      <c r="E75" s="26" t="n">
        <v>5</v>
      </c>
      <c r="F75" s="26" t="n">
        <v>14</v>
      </c>
      <c r="G75" s="26" t="n">
        <v>12</v>
      </c>
      <c r="H75" s="26" t="n">
        <v>6</v>
      </c>
      <c r="I75" s="26" t="n">
        <v>5</v>
      </c>
      <c r="J75" s="26" t="n">
        <v>0</v>
      </c>
      <c r="K75" s="27" t="n">
        <v>-12</v>
      </c>
      <c r="L75" s="27" t="n">
        <v>0.3256</v>
      </c>
      <c r="M75" s="19" t="n">
        <f aca="false">K75-L75</f>
        <v>-12.3256</v>
      </c>
      <c r="N75" s="26" t="n">
        <v>2</v>
      </c>
      <c r="O75" s="26" t="n">
        <v>12</v>
      </c>
      <c r="P75" s="28" t="n">
        <f aca="false">IF($C75=0,"",D75/$C75)</f>
        <v>0.185185185185185</v>
      </c>
      <c r="Q75" s="28" t="n">
        <f aca="false">IF($C75=0,"",E75/$C75)</f>
        <v>0.185185185185185</v>
      </c>
      <c r="R75" s="28" t="n">
        <f aca="false">IF($C75=0,"",F75/$C75)</f>
        <v>0.518518518518519</v>
      </c>
      <c r="S75" s="28" t="n">
        <f aca="false">IF($C75=0,"",G75/$C75)</f>
        <v>0.444444444444444</v>
      </c>
      <c r="T75" s="28" t="n">
        <f aca="false">IF($C75=0,"",H75/$C75)</f>
        <v>0.222222222222222</v>
      </c>
      <c r="U75" s="28" t="n">
        <f aca="false">IF($C75=0,"",I75/$C75)</f>
        <v>0.185185185185185</v>
      </c>
      <c r="V75" s="29" t="n">
        <f aca="false">IF($C75=0,"",K75/$C75)</f>
        <v>-0.444444444444444</v>
      </c>
      <c r="W75" s="29" t="n">
        <f aca="false">IF($C75=0,"",M75/$C75)</f>
        <v>-0.456503703703704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25</v>
      </c>
      <c r="D76" s="26" t="n">
        <v>13</v>
      </c>
      <c r="E76" s="26" t="n">
        <v>13</v>
      </c>
      <c r="F76" s="26" t="n">
        <v>19</v>
      </c>
      <c r="G76" s="26" t="n">
        <v>16</v>
      </c>
      <c r="H76" s="26" t="n">
        <v>14</v>
      </c>
      <c r="I76" s="26" t="n">
        <v>13</v>
      </c>
      <c r="J76" s="26" t="n">
        <v>0</v>
      </c>
      <c r="K76" s="27" t="n">
        <v>14</v>
      </c>
      <c r="L76" s="27" t="n">
        <v>0.2631</v>
      </c>
      <c r="M76" s="19" t="n">
        <f aca="false">K76-L76</f>
        <v>13.7369</v>
      </c>
      <c r="N76" s="26" t="n">
        <v>4</v>
      </c>
      <c r="O76" s="26" t="n">
        <v>7</v>
      </c>
      <c r="P76" s="28" t="n">
        <f aca="false">IF($C76=0,"",D76/$C76)</f>
        <v>0.52</v>
      </c>
      <c r="Q76" s="28" t="n">
        <f aca="false">IF($C76=0,"",E76/$C76)</f>
        <v>0.52</v>
      </c>
      <c r="R76" s="28" t="n">
        <f aca="false">IF($C76=0,"",F76/$C76)</f>
        <v>0.76</v>
      </c>
      <c r="S76" s="28" t="n">
        <f aca="false">IF($C76=0,"",G76/$C76)</f>
        <v>0.64</v>
      </c>
      <c r="T76" s="28" t="n">
        <f aca="false">IF($C76=0,"",H76/$C76)</f>
        <v>0.56</v>
      </c>
      <c r="U76" s="28" t="n">
        <f aca="false">IF($C76=0,"",I76/$C76)</f>
        <v>0.52</v>
      </c>
      <c r="V76" s="29" t="n">
        <f aca="false">IF($C76=0,"",K76/$C76)</f>
        <v>0.56</v>
      </c>
      <c r="W76" s="29" t="n">
        <f aca="false">IF($C76=0,"",M76/$C76)</f>
        <v>0.549476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31</v>
      </c>
      <c r="D77" s="26" t="n">
        <v>12</v>
      </c>
      <c r="E77" s="26" t="n">
        <v>12</v>
      </c>
      <c r="F77" s="26" t="n">
        <v>19</v>
      </c>
      <c r="G77" s="26" t="n">
        <v>15</v>
      </c>
      <c r="H77" s="26" t="n">
        <v>13</v>
      </c>
      <c r="I77" s="26" t="n">
        <v>12</v>
      </c>
      <c r="J77" s="26" t="n">
        <v>0</v>
      </c>
      <c r="K77" s="27" t="n">
        <v>5</v>
      </c>
      <c r="L77" s="27" t="n">
        <v>0.4439</v>
      </c>
      <c r="M77" s="19" t="n">
        <f aca="false">K77-L77</f>
        <v>4.5561</v>
      </c>
      <c r="N77" s="26" t="n">
        <v>5</v>
      </c>
      <c r="O77" s="26" t="n">
        <v>8</v>
      </c>
      <c r="P77" s="28" t="n">
        <f aca="false">IF($C77=0,"",D77/$C77)</f>
        <v>0.387096774193548</v>
      </c>
      <c r="Q77" s="28" t="n">
        <f aca="false">IF($C77=0,"",E77/$C77)</f>
        <v>0.387096774193548</v>
      </c>
      <c r="R77" s="28" t="n">
        <f aca="false">IF($C77=0,"",F77/$C77)</f>
        <v>0.612903225806452</v>
      </c>
      <c r="S77" s="28" t="n">
        <f aca="false">IF($C77=0,"",G77/$C77)</f>
        <v>0.483870967741936</v>
      </c>
      <c r="T77" s="28" t="n">
        <f aca="false">IF($C77=0,"",H77/$C77)</f>
        <v>0.419354838709677</v>
      </c>
      <c r="U77" s="28" t="n">
        <f aca="false">IF($C77=0,"",I77/$C77)</f>
        <v>0.387096774193548</v>
      </c>
      <c r="V77" s="29" t="n">
        <f aca="false">IF($C77=0,"",K77/$C77)</f>
        <v>0.161290322580645</v>
      </c>
      <c r="W77" s="29" t="n">
        <f aca="false">IF($C77=0,"",M77/$C77)</f>
        <v>0.146970967741935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27</v>
      </c>
      <c r="D78" s="26" t="n">
        <v>11</v>
      </c>
      <c r="E78" s="26" t="n">
        <v>11</v>
      </c>
      <c r="F78" s="26" t="n">
        <v>14</v>
      </c>
      <c r="G78" s="26" t="n">
        <v>12</v>
      </c>
      <c r="H78" s="26" t="n">
        <v>11</v>
      </c>
      <c r="I78" s="26" t="n">
        <v>11</v>
      </c>
      <c r="J78" s="26" t="n">
        <v>0</v>
      </c>
      <c r="K78" s="27" t="n">
        <v>6</v>
      </c>
      <c r="L78" s="27" t="n">
        <v>0.3092</v>
      </c>
      <c r="M78" s="19" t="n">
        <f aca="false">K78-L78</f>
        <v>5.6908</v>
      </c>
      <c r="N78" s="26" t="n">
        <v>2</v>
      </c>
      <c r="O78" s="26" t="n">
        <v>8</v>
      </c>
      <c r="P78" s="28" t="n">
        <f aca="false">IF($C78=0,"",D78/$C78)</f>
        <v>0.407407407407407</v>
      </c>
      <c r="Q78" s="28" t="n">
        <f aca="false">IF($C78=0,"",E78/$C78)</f>
        <v>0.407407407407407</v>
      </c>
      <c r="R78" s="28" t="n">
        <f aca="false">IF($C78=0,"",F78/$C78)</f>
        <v>0.518518518518519</v>
      </c>
      <c r="S78" s="28" t="n">
        <f aca="false">IF($C78=0,"",G78/$C78)</f>
        <v>0.444444444444444</v>
      </c>
      <c r="T78" s="28" t="n">
        <f aca="false">IF($C78=0,"",H78/$C78)</f>
        <v>0.407407407407407</v>
      </c>
      <c r="U78" s="28" t="n">
        <f aca="false">IF($C78=0,"",I78/$C78)</f>
        <v>0.407407407407407</v>
      </c>
      <c r="V78" s="29" t="n">
        <f aca="false">IF($C78=0,"",K78/$C78)</f>
        <v>0.222222222222222</v>
      </c>
      <c r="W78" s="29" t="n">
        <f aca="false">IF($C78=0,"",M78/$C78)</f>
        <v>0.21077037037037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26</v>
      </c>
      <c r="D79" s="26" t="n">
        <v>9</v>
      </c>
      <c r="E79" s="26" t="n">
        <v>9</v>
      </c>
      <c r="F79" s="26" t="n">
        <v>19</v>
      </c>
      <c r="G79" s="26" t="n">
        <v>13</v>
      </c>
      <c r="H79" s="26" t="n">
        <v>10</v>
      </c>
      <c r="I79" s="26" t="n">
        <v>9</v>
      </c>
      <c r="J79" s="26" t="n">
        <v>0</v>
      </c>
      <c r="K79" s="27" t="n">
        <v>1</v>
      </c>
      <c r="L79" s="27" t="n">
        <v>0.3271</v>
      </c>
      <c r="M79" s="19" t="n">
        <f aca="false">K79-L79</f>
        <v>0.6729</v>
      </c>
      <c r="N79" s="26" t="n">
        <v>2</v>
      </c>
      <c r="O79" s="26" t="n">
        <v>7</v>
      </c>
      <c r="P79" s="28" t="n">
        <f aca="false">IF($C79=0,"",D79/$C79)</f>
        <v>0.346153846153846</v>
      </c>
      <c r="Q79" s="28" t="n">
        <f aca="false">IF($C79=0,"",E79/$C79)</f>
        <v>0.346153846153846</v>
      </c>
      <c r="R79" s="28" t="n">
        <f aca="false">IF($C79=0,"",F79/$C79)</f>
        <v>0.730769230769231</v>
      </c>
      <c r="S79" s="28" t="n">
        <f aca="false">IF($C79=0,"",G79/$C79)</f>
        <v>0.5</v>
      </c>
      <c r="T79" s="28" t="n">
        <f aca="false">IF($C79=0,"",H79/$C79)</f>
        <v>0.384615384615385</v>
      </c>
      <c r="U79" s="28" t="n">
        <f aca="false">IF($C79=0,"",I79/$C79)</f>
        <v>0.346153846153846</v>
      </c>
      <c r="V79" s="29" t="n">
        <f aca="false">IF($C79=0,"",K79/$C79)</f>
        <v>0.0384615384615385</v>
      </c>
      <c r="W79" s="29" t="n">
        <f aca="false">IF($C79=0,"",M79/$C79)</f>
        <v>0.0258807692307692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4</v>
      </c>
      <c r="D80" s="26" t="n">
        <v>1</v>
      </c>
      <c r="E80" s="26" t="n">
        <v>1</v>
      </c>
      <c r="F80" s="26" t="n">
        <v>1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-1</v>
      </c>
      <c r="L80" s="27" t="n">
        <v>0.0415</v>
      </c>
      <c r="M80" s="19" t="n">
        <f aca="false">K80-L80</f>
        <v>-1.0415</v>
      </c>
      <c r="N80" s="26" t="n">
        <v>1</v>
      </c>
      <c r="O80" s="26" t="n">
        <v>3</v>
      </c>
      <c r="P80" s="28" t="n">
        <f aca="false">IF($C80=0,"",D80/$C80)</f>
        <v>0.25</v>
      </c>
      <c r="Q80" s="28" t="n">
        <f aca="false">IF($C80=0,"",E80/$C80)</f>
        <v>0.25</v>
      </c>
      <c r="R80" s="28" t="n">
        <f aca="false">IF($C80=0,"",F80/$C80)</f>
        <v>0.25</v>
      </c>
      <c r="S80" s="28" t="n">
        <f aca="false">IF($C80=0,"",G80/$C80)</f>
        <v>0.25</v>
      </c>
      <c r="T80" s="28" t="n">
        <f aca="false">IF($C80=0,"",H80/$C80)</f>
        <v>0.25</v>
      </c>
      <c r="U80" s="28" t="n">
        <f aca="false">IF($C80=0,"",I80/$C80)</f>
        <v>0.25</v>
      </c>
      <c r="V80" s="29" t="n">
        <f aca="false">IF($C80=0,"",K80/$C80)</f>
        <v>-0.25</v>
      </c>
      <c r="W80" s="29" t="n">
        <f aca="false">IF($C80=0,"",M80/$C80)</f>
        <v>-0.260375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250</v>
      </c>
      <c r="D81" s="30" t="n">
        <f aca="false">SUM(D71:D80)</f>
        <v>90</v>
      </c>
      <c r="E81" s="30" t="n">
        <f aca="false">SUM(E71:E80)</f>
        <v>90</v>
      </c>
      <c r="F81" s="30" t="n">
        <f aca="false">SUM(F71:F80)</f>
        <v>155</v>
      </c>
      <c r="G81" s="30" t="n">
        <f aca="false">SUM(G71:G80)</f>
        <v>128</v>
      </c>
      <c r="H81" s="30" t="n">
        <f aca="false">SUM(H71:H80)</f>
        <v>102</v>
      </c>
      <c r="I81" s="30" t="n">
        <f aca="false">SUM(I71:I80)</f>
        <v>90</v>
      </c>
      <c r="J81" s="30" t="n">
        <f aca="false">SUM(J71:J80)</f>
        <v>0</v>
      </c>
      <c r="K81" s="31" t="n">
        <f aca="false">SUM(K71:K80)</f>
        <v>20</v>
      </c>
      <c r="L81" s="31" t="n">
        <f aca="false">SUM(L71:L80)</f>
        <v>2.6042</v>
      </c>
      <c r="M81" s="31" t="n">
        <f aca="false">K81-L81</f>
        <v>17.3958</v>
      </c>
      <c r="N81" s="32" t="n">
        <v>5</v>
      </c>
      <c r="O81" s="32" t="n">
        <v>12</v>
      </c>
      <c r="P81" s="33" t="n">
        <f aca="false">IF($C81=0,"",D81/$C81)</f>
        <v>0.36</v>
      </c>
      <c r="Q81" s="33" t="n">
        <f aca="false">IF($C81=0,"",E81/$C81)</f>
        <v>0.36</v>
      </c>
      <c r="R81" s="33" t="n">
        <f aca="false">IF($C81=0,"",F81/$C81)</f>
        <v>0.62</v>
      </c>
      <c r="S81" s="33" t="n">
        <f aca="false">IF($C81=0,"",G81/$C81)</f>
        <v>0.512</v>
      </c>
      <c r="T81" s="33" t="n">
        <f aca="false">IF($C81=0,"",H81/$C81)</f>
        <v>0.408</v>
      </c>
      <c r="U81" s="33" t="n">
        <f aca="false">IF($C81=0,"",I81/$C81)</f>
        <v>0.36</v>
      </c>
      <c r="V81" s="34" t="n">
        <f aca="false">IF($C81=0,"",K81/$C81)</f>
        <v>0.08</v>
      </c>
      <c r="W81" s="34" t="n">
        <f aca="false">IF($C81=0,"",M81/$C81)</f>
        <v>0.0695832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1802</v>
      </c>
      <c r="D82" s="5" t="n">
        <f aca="false">D18+D31+D44+D57+D70+D81</f>
        <v>657</v>
      </c>
      <c r="E82" s="5" t="n">
        <f aca="false">E18+E31+E44+E57+E70+E81</f>
        <v>657</v>
      </c>
      <c r="F82" s="5" t="n">
        <f aca="false">F18+F31+F44+F57+F70+F81</f>
        <v>1128</v>
      </c>
      <c r="G82" s="5" t="n">
        <f aca="false">G18+G31+G44+G57+G70+G81</f>
        <v>933</v>
      </c>
      <c r="H82" s="5" t="n">
        <f aca="false">H18+H31+H44+H57+H70+H81</f>
        <v>764</v>
      </c>
      <c r="I82" s="5" t="n">
        <f aca="false">I18+I31+I44+I57+I70+I81</f>
        <v>657</v>
      </c>
      <c r="J82" s="5" t="n">
        <f aca="false">J18+J31+J44+J57+J70+J81</f>
        <v>0</v>
      </c>
      <c r="K82" s="21" t="n">
        <f aca="false">K18+K31+K44+K57+K70+K81</f>
        <v>169</v>
      </c>
      <c r="L82" s="21" t="n">
        <f aca="false">L18+L31+L44+L57+L70+L81</f>
        <v>75.9972</v>
      </c>
      <c r="M82" s="21" t="n">
        <f aca="false">K82-L82</f>
        <v>93.0028</v>
      </c>
      <c r="N82" s="35" t="n">
        <v>7</v>
      </c>
      <c r="O82" s="35" t="n">
        <v>12</v>
      </c>
      <c r="P82" s="36" t="n">
        <f aca="false">IF($C82=0,"",D82/$C82)</f>
        <v>0.364594894561598</v>
      </c>
      <c r="Q82" s="36" t="n">
        <f aca="false">IF($C82=0,"",E82/$C82)</f>
        <v>0.364594894561598</v>
      </c>
      <c r="R82" s="36" t="n">
        <f aca="false">IF($C82=0,"",F82/$C82)</f>
        <v>0.625971143174251</v>
      </c>
      <c r="S82" s="36" t="n">
        <f aca="false">IF($C82=0,"",G82/$C82)</f>
        <v>0.517758046614872</v>
      </c>
      <c r="T82" s="36" t="n">
        <f aca="false">IF($C82=0,"",H82/$C82)</f>
        <v>0.423973362930078</v>
      </c>
      <c r="U82" s="36" t="n">
        <f aca="false">IF($C82=0,"",I82/$C82)</f>
        <v>0.364594894561598</v>
      </c>
      <c r="V82" s="37" t="n">
        <f aca="false">IF($C82=0,"",K82/$C82)</f>
        <v>0.0937846836847947</v>
      </c>
      <c r="W82" s="37" t="n">
        <f aca="false">IF($C82=0,"",M82/$C82)</f>
        <v>0.0516108768035516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191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92</v>
      </c>
      <c r="D6" s="26" t="n">
        <v>25</v>
      </c>
      <c r="E6" s="26" t="n">
        <v>25</v>
      </c>
      <c r="F6" s="26" t="n">
        <v>52</v>
      </c>
      <c r="G6" s="26" t="n">
        <v>41</v>
      </c>
      <c r="H6" s="26" t="n">
        <v>32</v>
      </c>
      <c r="I6" s="26" t="n">
        <v>25</v>
      </c>
      <c r="J6" s="26" t="n">
        <v>0</v>
      </c>
      <c r="K6" s="27" t="n">
        <v>-17</v>
      </c>
      <c r="L6" s="27" t="n">
        <v>10.4299</v>
      </c>
      <c r="M6" s="19" t="n">
        <f aca="false">K6-L6</f>
        <v>-27.4299</v>
      </c>
      <c r="N6" s="26" t="n">
        <v>3</v>
      </c>
      <c r="O6" s="26" t="n">
        <v>10</v>
      </c>
      <c r="P6" s="28" t="n">
        <f aca="false">IF($C6=0,"",D6/$C6)</f>
        <v>0.271739130434783</v>
      </c>
      <c r="Q6" s="28" t="n">
        <f aca="false">IF($C6=0,"",E6/$C6)</f>
        <v>0.271739130434783</v>
      </c>
      <c r="R6" s="28" t="n">
        <f aca="false">IF($C6=0,"",F6/$C6)</f>
        <v>0.565217391304348</v>
      </c>
      <c r="S6" s="28" t="n">
        <f aca="false">IF($C6=0,"",G6/$C6)</f>
        <v>0.445652173913043</v>
      </c>
      <c r="T6" s="28" t="n">
        <f aca="false">IF($C6=0,"",H6/$C6)</f>
        <v>0.347826086956522</v>
      </c>
      <c r="U6" s="28" t="n">
        <f aca="false">IF($C6=0,"",I6/$C6)</f>
        <v>0.271739130434783</v>
      </c>
      <c r="V6" s="29" t="n">
        <f aca="false">IF($C6=0,"",K6/$C6)</f>
        <v>-0.184782608695652</v>
      </c>
      <c r="W6" s="29" t="n">
        <f aca="false">IF($C6=0,"",M6/$C6)</f>
        <v>-0.298151086956522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96</v>
      </c>
      <c r="D7" s="26" t="n">
        <v>26</v>
      </c>
      <c r="E7" s="26" t="n">
        <v>26</v>
      </c>
      <c r="F7" s="26" t="n">
        <v>51</v>
      </c>
      <c r="G7" s="26" t="n">
        <v>45</v>
      </c>
      <c r="H7" s="26" t="n">
        <v>35</v>
      </c>
      <c r="I7" s="26" t="n">
        <v>26</v>
      </c>
      <c r="J7" s="26" t="n">
        <v>0</v>
      </c>
      <c r="K7" s="27" t="n">
        <v>-18</v>
      </c>
      <c r="L7" s="27" t="n">
        <v>11.3481</v>
      </c>
      <c r="M7" s="19" t="n">
        <f aca="false">K7-L7</f>
        <v>-29.3481</v>
      </c>
      <c r="N7" s="26" t="n">
        <v>3</v>
      </c>
      <c r="O7" s="26" t="n">
        <v>12</v>
      </c>
      <c r="P7" s="28" t="n">
        <f aca="false">IF($C7=0,"",D7/$C7)</f>
        <v>0.270833333333333</v>
      </c>
      <c r="Q7" s="28" t="n">
        <f aca="false">IF($C7=0,"",E7/$C7)</f>
        <v>0.270833333333333</v>
      </c>
      <c r="R7" s="28" t="n">
        <f aca="false">IF($C7=0,"",F7/$C7)</f>
        <v>0.53125</v>
      </c>
      <c r="S7" s="28" t="n">
        <f aca="false">IF($C7=0,"",G7/$C7)</f>
        <v>0.46875</v>
      </c>
      <c r="T7" s="28" t="n">
        <f aca="false">IF($C7=0,"",H7/$C7)</f>
        <v>0.364583333333333</v>
      </c>
      <c r="U7" s="28" t="n">
        <f aca="false">IF($C7=0,"",I7/$C7)</f>
        <v>0.270833333333333</v>
      </c>
      <c r="V7" s="29" t="n">
        <f aca="false">IF($C7=0,"",K7/$C7)</f>
        <v>-0.1875</v>
      </c>
      <c r="W7" s="29" t="n">
        <f aca="false">IF($C7=0,"",M7/$C7)</f>
        <v>-0.305709375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108</v>
      </c>
      <c r="D8" s="26" t="n">
        <v>28</v>
      </c>
      <c r="E8" s="26" t="n">
        <v>28</v>
      </c>
      <c r="F8" s="26" t="n">
        <v>60</v>
      </c>
      <c r="G8" s="26" t="n">
        <v>48</v>
      </c>
      <c r="H8" s="26" t="n">
        <v>30</v>
      </c>
      <c r="I8" s="26" t="n">
        <v>28</v>
      </c>
      <c r="J8" s="26" t="n">
        <v>0</v>
      </c>
      <c r="K8" s="27" t="n">
        <v>-24</v>
      </c>
      <c r="L8" s="27" t="n">
        <v>13.1573</v>
      </c>
      <c r="M8" s="19" t="n">
        <f aca="false">K8-L8</f>
        <v>-37.1573</v>
      </c>
      <c r="N8" s="26" t="n">
        <v>2</v>
      </c>
      <c r="O8" s="26" t="n">
        <v>11</v>
      </c>
      <c r="P8" s="28" t="n">
        <f aca="false">IF($C8=0,"",D8/$C8)</f>
        <v>0.259259259259259</v>
      </c>
      <c r="Q8" s="28" t="n">
        <f aca="false">IF($C8=0,"",E8/$C8)</f>
        <v>0.259259259259259</v>
      </c>
      <c r="R8" s="28" t="n">
        <f aca="false">IF($C8=0,"",F8/$C8)</f>
        <v>0.555555555555556</v>
      </c>
      <c r="S8" s="28" t="n">
        <f aca="false">IF($C8=0,"",G8/$C8)</f>
        <v>0.444444444444444</v>
      </c>
      <c r="T8" s="28" t="n">
        <f aca="false">IF($C8=0,"",H8/$C8)</f>
        <v>0.277777777777778</v>
      </c>
      <c r="U8" s="28" t="n">
        <f aca="false">IF($C8=0,"",I8/$C8)</f>
        <v>0.259259259259259</v>
      </c>
      <c r="V8" s="29" t="n">
        <f aca="false">IF($C8=0,"",K8/$C8)</f>
        <v>-0.222222222222222</v>
      </c>
      <c r="W8" s="29" t="n">
        <f aca="false">IF($C8=0,"",M8/$C8)</f>
        <v>-0.344049074074074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103</v>
      </c>
      <c r="D9" s="26" t="n">
        <v>33</v>
      </c>
      <c r="E9" s="26" t="n">
        <v>33</v>
      </c>
      <c r="F9" s="26" t="n">
        <v>63</v>
      </c>
      <c r="G9" s="26" t="n">
        <v>47</v>
      </c>
      <c r="H9" s="26" t="n">
        <v>37</v>
      </c>
      <c r="I9" s="26" t="n">
        <v>33</v>
      </c>
      <c r="J9" s="26" t="n">
        <v>0</v>
      </c>
      <c r="K9" s="27" t="n">
        <v>-4</v>
      </c>
      <c r="L9" s="27" t="n">
        <v>15.1657</v>
      </c>
      <c r="M9" s="19" t="n">
        <f aca="false">K9-L9</f>
        <v>-19.1657</v>
      </c>
      <c r="N9" s="26" t="n">
        <v>5</v>
      </c>
      <c r="O9" s="26" t="n">
        <v>12</v>
      </c>
      <c r="P9" s="28" t="n">
        <f aca="false">IF($C9=0,"",D9/$C9)</f>
        <v>0.320388349514563</v>
      </c>
      <c r="Q9" s="28" t="n">
        <f aca="false">IF($C9=0,"",E9/$C9)</f>
        <v>0.320388349514563</v>
      </c>
      <c r="R9" s="28" t="n">
        <f aca="false">IF($C9=0,"",F9/$C9)</f>
        <v>0.611650485436893</v>
      </c>
      <c r="S9" s="28" t="n">
        <f aca="false">IF($C9=0,"",G9/$C9)</f>
        <v>0.456310679611651</v>
      </c>
      <c r="T9" s="28" t="n">
        <f aca="false">IF($C9=0,"",H9/$C9)</f>
        <v>0.359223300970874</v>
      </c>
      <c r="U9" s="28" t="n">
        <f aca="false">IF($C9=0,"",I9/$C9)</f>
        <v>0.320388349514563</v>
      </c>
      <c r="V9" s="29" t="n">
        <f aca="false">IF($C9=0,"",K9/$C9)</f>
        <v>-0.0388349514563107</v>
      </c>
      <c r="W9" s="29" t="n">
        <f aca="false">IF($C9=0,"",M9/$C9)</f>
        <v>-0.186074757281553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100</v>
      </c>
      <c r="D10" s="26" t="n">
        <v>37</v>
      </c>
      <c r="E10" s="26" t="n">
        <v>37</v>
      </c>
      <c r="F10" s="26" t="n">
        <v>61</v>
      </c>
      <c r="G10" s="26" t="n">
        <v>53</v>
      </c>
      <c r="H10" s="26" t="n">
        <v>42</v>
      </c>
      <c r="I10" s="26" t="n">
        <v>37</v>
      </c>
      <c r="J10" s="26" t="n">
        <v>0</v>
      </c>
      <c r="K10" s="27" t="n">
        <v>11</v>
      </c>
      <c r="L10" s="27" t="n">
        <v>16.2203</v>
      </c>
      <c r="M10" s="19" t="n">
        <f aca="false">K10-L10</f>
        <v>-5.2203</v>
      </c>
      <c r="N10" s="26" t="n">
        <v>7</v>
      </c>
      <c r="O10" s="26" t="n">
        <v>8</v>
      </c>
      <c r="P10" s="28" t="n">
        <f aca="false">IF($C10=0,"",D10/$C10)</f>
        <v>0.37</v>
      </c>
      <c r="Q10" s="28" t="n">
        <f aca="false">IF($C10=0,"",E10/$C10)</f>
        <v>0.37</v>
      </c>
      <c r="R10" s="28" t="n">
        <f aca="false">IF($C10=0,"",F10/$C10)</f>
        <v>0.61</v>
      </c>
      <c r="S10" s="28" t="n">
        <f aca="false">IF($C10=0,"",G10/$C10)</f>
        <v>0.53</v>
      </c>
      <c r="T10" s="28" t="n">
        <f aca="false">IF($C10=0,"",H10/$C10)</f>
        <v>0.42</v>
      </c>
      <c r="U10" s="28" t="n">
        <f aca="false">IF($C10=0,"",I10/$C10)</f>
        <v>0.37</v>
      </c>
      <c r="V10" s="29" t="n">
        <f aca="false">IF($C10=0,"",K10/$C10)</f>
        <v>0.11</v>
      </c>
      <c r="W10" s="29" t="n">
        <f aca="false">IF($C10=0,"",M10/$C10)</f>
        <v>-0.052203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109</v>
      </c>
      <c r="D11" s="26" t="n">
        <v>36</v>
      </c>
      <c r="E11" s="26" t="n">
        <v>36</v>
      </c>
      <c r="F11" s="26" t="n">
        <v>62</v>
      </c>
      <c r="G11" s="26" t="n">
        <v>56</v>
      </c>
      <c r="H11" s="26" t="n">
        <v>41</v>
      </c>
      <c r="I11" s="26" t="n">
        <v>36</v>
      </c>
      <c r="J11" s="26" t="n">
        <v>0</v>
      </c>
      <c r="K11" s="27" t="n">
        <v>-1</v>
      </c>
      <c r="L11" s="27" t="n">
        <v>16.7782</v>
      </c>
      <c r="M11" s="19" t="n">
        <f aca="false">K11-L11</f>
        <v>-17.7782</v>
      </c>
      <c r="N11" s="26" t="n">
        <v>5</v>
      </c>
      <c r="O11" s="26" t="n">
        <v>13</v>
      </c>
      <c r="P11" s="28" t="n">
        <f aca="false">IF($C11=0,"",D11/$C11)</f>
        <v>0.330275229357798</v>
      </c>
      <c r="Q11" s="28" t="n">
        <f aca="false">IF($C11=0,"",E11/$C11)</f>
        <v>0.330275229357798</v>
      </c>
      <c r="R11" s="28" t="n">
        <f aca="false">IF($C11=0,"",F11/$C11)</f>
        <v>0.568807339449541</v>
      </c>
      <c r="S11" s="28" t="n">
        <f aca="false">IF($C11=0,"",G11/$C11)</f>
        <v>0.513761467889908</v>
      </c>
      <c r="T11" s="28" t="n">
        <f aca="false">IF($C11=0,"",H11/$C11)</f>
        <v>0.376146788990826</v>
      </c>
      <c r="U11" s="28" t="n">
        <f aca="false">IF($C11=0,"",I11/$C11)</f>
        <v>0.330275229357798</v>
      </c>
      <c r="V11" s="29" t="n">
        <f aca="false">IF($C11=0,"",K11/$C11)</f>
        <v>-0.00917431192660551</v>
      </c>
      <c r="W11" s="29" t="n">
        <f aca="false">IF($C11=0,"",M11/$C11)</f>
        <v>-0.163102752293578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107</v>
      </c>
      <c r="D12" s="26" t="n">
        <v>39</v>
      </c>
      <c r="E12" s="26" t="n">
        <v>39</v>
      </c>
      <c r="F12" s="26" t="n">
        <v>65</v>
      </c>
      <c r="G12" s="26" t="n">
        <v>55</v>
      </c>
      <c r="H12" s="26" t="n">
        <v>47</v>
      </c>
      <c r="I12" s="26" t="n">
        <v>39</v>
      </c>
      <c r="J12" s="26" t="n">
        <v>0</v>
      </c>
      <c r="K12" s="27" t="n">
        <v>10</v>
      </c>
      <c r="L12" s="27" t="n">
        <v>22.8831</v>
      </c>
      <c r="M12" s="19" t="n">
        <f aca="false">K12-L12</f>
        <v>-12.8831</v>
      </c>
      <c r="N12" s="26" t="n">
        <v>4</v>
      </c>
      <c r="O12" s="26" t="n">
        <v>7</v>
      </c>
      <c r="P12" s="28" t="n">
        <f aca="false">IF($C12=0,"",D12/$C12)</f>
        <v>0.364485981308411</v>
      </c>
      <c r="Q12" s="28" t="n">
        <f aca="false">IF($C12=0,"",E12/$C12)</f>
        <v>0.364485981308411</v>
      </c>
      <c r="R12" s="28" t="n">
        <f aca="false">IF($C12=0,"",F12/$C12)</f>
        <v>0.607476635514019</v>
      </c>
      <c r="S12" s="28" t="n">
        <f aca="false">IF($C12=0,"",G12/$C12)</f>
        <v>0.514018691588785</v>
      </c>
      <c r="T12" s="28" t="n">
        <f aca="false">IF($C12=0,"",H12/$C12)</f>
        <v>0.439252336448598</v>
      </c>
      <c r="U12" s="28" t="n">
        <f aca="false">IF($C12=0,"",I12/$C12)</f>
        <v>0.364485981308411</v>
      </c>
      <c r="V12" s="29" t="n">
        <f aca="false">IF($C12=0,"",K12/$C12)</f>
        <v>0.0934579439252336</v>
      </c>
      <c r="W12" s="29" t="n">
        <f aca="false">IF($C12=0,"",M12/$C12)</f>
        <v>-0.120402803738318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99</v>
      </c>
      <c r="D13" s="26" t="n">
        <v>35</v>
      </c>
      <c r="E13" s="26" t="n">
        <v>35</v>
      </c>
      <c r="F13" s="26" t="n">
        <v>69</v>
      </c>
      <c r="G13" s="26" t="n">
        <v>56</v>
      </c>
      <c r="H13" s="26" t="n">
        <v>42</v>
      </c>
      <c r="I13" s="26" t="n">
        <v>35</v>
      </c>
      <c r="J13" s="26" t="n">
        <v>0</v>
      </c>
      <c r="K13" s="27" t="n">
        <v>6</v>
      </c>
      <c r="L13" s="27" t="n">
        <v>21.5079</v>
      </c>
      <c r="M13" s="19" t="n">
        <f aca="false">K13-L13</f>
        <v>-15.5079</v>
      </c>
      <c r="N13" s="26" t="n">
        <v>4</v>
      </c>
      <c r="O13" s="26" t="n">
        <v>7</v>
      </c>
      <c r="P13" s="28" t="n">
        <f aca="false">IF($C13=0,"",D13/$C13)</f>
        <v>0.353535353535354</v>
      </c>
      <c r="Q13" s="28" t="n">
        <f aca="false">IF($C13=0,"",E13/$C13)</f>
        <v>0.353535353535354</v>
      </c>
      <c r="R13" s="28" t="n">
        <f aca="false">IF($C13=0,"",F13/$C13)</f>
        <v>0.696969696969697</v>
      </c>
      <c r="S13" s="28" t="n">
        <f aca="false">IF($C13=0,"",G13/$C13)</f>
        <v>0.565656565656566</v>
      </c>
      <c r="T13" s="28" t="n">
        <f aca="false">IF($C13=0,"",H13/$C13)</f>
        <v>0.424242424242424</v>
      </c>
      <c r="U13" s="28" t="n">
        <f aca="false">IF($C13=0,"",I13/$C13)</f>
        <v>0.353535353535354</v>
      </c>
      <c r="V13" s="29" t="n">
        <f aca="false">IF($C13=0,"",K13/$C13)</f>
        <v>0.0606060606060606</v>
      </c>
      <c r="W13" s="29" t="n">
        <f aca="false">IF($C13=0,"",M13/$C13)</f>
        <v>-0.156645454545455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104</v>
      </c>
      <c r="D14" s="26" t="n">
        <v>34</v>
      </c>
      <c r="E14" s="26" t="n">
        <v>34</v>
      </c>
      <c r="F14" s="26" t="n">
        <v>55</v>
      </c>
      <c r="G14" s="26" t="n">
        <v>45</v>
      </c>
      <c r="H14" s="26" t="n">
        <v>38</v>
      </c>
      <c r="I14" s="26" t="n">
        <v>34</v>
      </c>
      <c r="J14" s="26" t="n">
        <v>0</v>
      </c>
      <c r="K14" s="27" t="n">
        <v>-2</v>
      </c>
      <c r="L14" s="27" t="n">
        <v>19.6105</v>
      </c>
      <c r="M14" s="19" t="n">
        <f aca="false">K14-L14</f>
        <v>-21.6105</v>
      </c>
      <c r="N14" s="26" t="n">
        <v>5</v>
      </c>
      <c r="O14" s="26" t="n">
        <v>10</v>
      </c>
      <c r="P14" s="28" t="n">
        <f aca="false">IF($C14=0,"",D14/$C14)</f>
        <v>0.326923076923077</v>
      </c>
      <c r="Q14" s="28" t="n">
        <f aca="false">IF($C14=0,"",E14/$C14)</f>
        <v>0.326923076923077</v>
      </c>
      <c r="R14" s="28" t="n">
        <f aca="false">IF($C14=0,"",F14/$C14)</f>
        <v>0.528846153846154</v>
      </c>
      <c r="S14" s="28" t="n">
        <f aca="false">IF($C14=0,"",G14/$C14)</f>
        <v>0.432692307692308</v>
      </c>
      <c r="T14" s="28" t="n">
        <f aca="false">IF($C14=0,"",H14/$C14)</f>
        <v>0.365384615384615</v>
      </c>
      <c r="U14" s="28" t="n">
        <f aca="false">IF($C14=0,"",I14/$C14)</f>
        <v>0.326923076923077</v>
      </c>
      <c r="V14" s="29" t="n">
        <f aca="false">IF($C14=0,"",K14/$C14)</f>
        <v>-0.0192307692307692</v>
      </c>
      <c r="W14" s="29" t="n">
        <f aca="false">IF($C14=0,"",M14/$C14)</f>
        <v>-0.207793269230769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103</v>
      </c>
      <c r="D15" s="26" t="n">
        <v>37</v>
      </c>
      <c r="E15" s="26" t="n">
        <v>37</v>
      </c>
      <c r="F15" s="26" t="n">
        <v>65</v>
      </c>
      <c r="G15" s="26" t="n">
        <v>51</v>
      </c>
      <c r="H15" s="26" t="n">
        <v>39</v>
      </c>
      <c r="I15" s="26" t="n">
        <v>37</v>
      </c>
      <c r="J15" s="26" t="n">
        <v>0</v>
      </c>
      <c r="K15" s="27" t="n">
        <v>8</v>
      </c>
      <c r="L15" s="27" t="n">
        <v>19.8914</v>
      </c>
      <c r="M15" s="19" t="n">
        <f aca="false">K15-L15</f>
        <v>-11.8914</v>
      </c>
      <c r="N15" s="26" t="n">
        <v>3</v>
      </c>
      <c r="O15" s="26" t="n">
        <v>12</v>
      </c>
      <c r="P15" s="28" t="n">
        <f aca="false">IF($C15=0,"",D15/$C15)</f>
        <v>0.359223300970874</v>
      </c>
      <c r="Q15" s="28" t="n">
        <f aca="false">IF($C15=0,"",E15/$C15)</f>
        <v>0.359223300970874</v>
      </c>
      <c r="R15" s="28" t="n">
        <f aca="false">IF($C15=0,"",F15/$C15)</f>
        <v>0.631067961165049</v>
      </c>
      <c r="S15" s="28" t="n">
        <f aca="false">IF($C15=0,"",G15/$C15)</f>
        <v>0.495145631067961</v>
      </c>
      <c r="T15" s="28" t="n">
        <f aca="false">IF($C15=0,"",H15/$C15)</f>
        <v>0.378640776699029</v>
      </c>
      <c r="U15" s="28" t="n">
        <f aca="false">IF($C15=0,"",I15/$C15)</f>
        <v>0.359223300970874</v>
      </c>
      <c r="V15" s="29" t="n">
        <f aca="false">IF($C15=0,"",K15/$C15)</f>
        <v>0.0776699029126214</v>
      </c>
      <c r="W15" s="29" t="n">
        <f aca="false">IF($C15=0,"",M15/$C15)</f>
        <v>-0.115450485436893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105</v>
      </c>
      <c r="D16" s="26" t="n">
        <v>27</v>
      </c>
      <c r="E16" s="26" t="n">
        <v>27</v>
      </c>
      <c r="F16" s="26" t="n">
        <v>62</v>
      </c>
      <c r="G16" s="26" t="n">
        <v>48</v>
      </c>
      <c r="H16" s="26" t="n">
        <v>36</v>
      </c>
      <c r="I16" s="26" t="n">
        <v>27</v>
      </c>
      <c r="J16" s="26" t="n">
        <v>0</v>
      </c>
      <c r="K16" s="27" t="n">
        <v>-24</v>
      </c>
      <c r="L16" s="27" t="n">
        <v>15.2099</v>
      </c>
      <c r="M16" s="19" t="n">
        <f aca="false">K16-L16</f>
        <v>-39.2099</v>
      </c>
      <c r="N16" s="26" t="n">
        <v>3</v>
      </c>
      <c r="O16" s="26" t="n">
        <v>11</v>
      </c>
      <c r="P16" s="28" t="n">
        <f aca="false">IF($C16=0,"",D16/$C16)</f>
        <v>0.257142857142857</v>
      </c>
      <c r="Q16" s="28" t="n">
        <f aca="false">IF($C16=0,"",E16/$C16)</f>
        <v>0.257142857142857</v>
      </c>
      <c r="R16" s="28" t="n">
        <f aca="false">IF($C16=0,"",F16/$C16)</f>
        <v>0.590476190476191</v>
      </c>
      <c r="S16" s="28" t="n">
        <f aca="false">IF($C16=0,"",G16/$C16)</f>
        <v>0.457142857142857</v>
      </c>
      <c r="T16" s="28" t="n">
        <f aca="false">IF($C16=0,"",H16/$C16)</f>
        <v>0.342857142857143</v>
      </c>
      <c r="U16" s="28" t="n">
        <f aca="false">IF($C16=0,"",I16/$C16)</f>
        <v>0.257142857142857</v>
      </c>
      <c r="V16" s="29" t="n">
        <f aca="false">IF($C16=0,"",K16/$C16)</f>
        <v>-0.228571428571429</v>
      </c>
      <c r="W16" s="29" t="n">
        <f aca="false">IF($C16=0,"",M16/$C16)</f>
        <v>-0.373427619047619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102</v>
      </c>
      <c r="D17" s="26" t="n">
        <v>34</v>
      </c>
      <c r="E17" s="26" t="n">
        <v>34</v>
      </c>
      <c r="F17" s="26" t="n">
        <v>63</v>
      </c>
      <c r="G17" s="26" t="n">
        <v>55</v>
      </c>
      <c r="H17" s="26" t="n">
        <v>41</v>
      </c>
      <c r="I17" s="26" t="n">
        <v>34</v>
      </c>
      <c r="J17" s="26" t="n">
        <v>0</v>
      </c>
      <c r="K17" s="27" t="n">
        <v>0</v>
      </c>
      <c r="L17" s="27" t="n">
        <v>23.1089</v>
      </c>
      <c r="M17" s="19" t="n">
        <f aca="false">K17-L17</f>
        <v>-23.1089</v>
      </c>
      <c r="N17" s="26" t="n">
        <v>3</v>
      </c>
      <c r="O17" s="26" t="n">
        <v>12</v>
      </c>
      <c r="P17" s="28" t="n">
        <f aca="false">IF($C17=0,"",D17/$C17)</f>
        <v>0.333333333333333</v>
      </c>
      <c r="Q17" s="28" t="n">
        <f aca="false">IF($C17=0,"",E17/$C17)</f>
        <v>0.333333333333333</v>
      </c>
      <c r="R17" s="28" t="n">
        <f aca="false">IF($C17=0,"",F17/$C17)</f>
        <v>0.617647058823529</v>
      </c>
      <c r="S17" s="28" t="n">
        <f aca="false">IF($C17=0,"",G17/$C17)</f>
        <v>0.53921568627451</v>
      </c>
      <c r="T17" s="28" t="n">
        <f aca="false">IF($C17=0,"",H17/$C17)</f>
        <v>0.401960784313726</v>
      </c>
      <c r="U17" s="28" t="n">
        <f aca="false">IF($C17=0,"",I17/$C17)</f>
        <v>0.333333333333333</v>
      </c>
      <c r="V17" s="29" t="n">
        <f aca="false">IF($C17=0,"",K17/$C17)</f>
        <v>0</v>
      </c>
      <c r="W17" s="29" t="n">
        <f aca="false">IF($C17=0,"",M17/$C17)</f>
        <v>-0.226557843137255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1228</v>
      </c>
      <c r="D18" s="30" t="n">
        <f aca="false">SUM(D6:D17)</f>
        <v>391</v>
      </c>
      <c r="E18" s="30" t="n">
        <f aca="false">SUM(E6:E17)</f>
        <v>391</v>
      </c>
      <c r="F18" s="30" t="n">
        <f aca="false">SUM(F6:F17)</f>
        <v>728</v>
      </c>
      <c r="G18" s="30" t="n">
        <f aca="false">SUM(G6:G17)</f>
        <v>600</v>
      </c>
      <c r="H18" s="30" t="n">
        <f aca="false">SUM(H6:H17)</f>
        <v>460</v>
      </c>
      <c r="I18" s="30" t="n">
        <f aca="false">SUM(I6:I17)</f>
        <v>391</v>
      </c>
      <c r="J18" s="30" t="n">
        <f aca="false">SUM(J6:J17)</f>
        <v>0</v>
      </c>
      <c r="K18" s="31" t="n">
        <f aca="false">SUM(K6:K17)</f>
        <v>-55</v>
      </c>
      <c r="L18" s="31" t="n">
        <f aca="false">SUM(L6:L17)</f>
        <v>205.3112</v>
      </c>
      <c r="M18" s="31" t="n">
        <f aca="false">K18-L18</f>
        <v>-260.3112</v>
      </c>
      <c r="N18" s="32" t="n">
        <v>7</v>
      </c>
      <c r="O18" s="32" t="n">
        <v>13</v>
      </c>
      <c r="P18" s="33" t="n">
        <f aca="false">IF($C18=0,"",D18/$C18)</f>
        <v>0.318403908794788</v>
      </c>
      <c r="Q18" s="33" t="n">
        <f aca="false">IF($C18=0,"",E18/$C18)</f>
        <v>0.318403908794788</v>
      </c>
      <c r="R18" s="33" t="n">
        <f aca="false">IF($C18=0,"",F18/$C18)</f>
        <v>0.592833876221498</v>
      </c>
      <c r="S18" s="33" t="n">
        <f aca="false">IF($C18=0,"",G18/$C18)</f>
        <v>0.488599348534202</v>
      </c>
      <c r="T18" s="33" t="n">
        <f aca="false">IF($C18=0,"",H18/$C18)</f>
        <v>0.374592833876222</v>
      </c>
      <c r="U18" s="33" t="n">
        <f aca="false">IF($C18=0,"",I18/$C18)</f>
        <v>0.318403908794788</v>
      </c>
      <c r="V18" s="34" t="n">
        <f aca="false">IF($C18=0,"",K18/$C18)</f>
        <v>-0.0447882736156352</v>
      </c>
      <c r="W18" s="34" t="n">
        <f aca="false">IF($C18=0,"",M18/$C18)</f>
        <v>-0.211979804560261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88</v>
      </c>
      <c r="D19" s="26" t="n">
        <v>26</v>
      </c>
      <c r="E19" s="26" t="n">
        <v>26</v>
      </c>
      <c r="F19" s="26" t="n">
        <v>55</v>
      </c>
      <c r="G19" s="26" t="n">
        <v>41</v>
      </c>
      <c r="H19" s="26" t="n">
        <v>30</v>
      </c>
      <c r="I19" s="26" t="n">
        <v>26</v>
      </c>
      <c r="J19" s="26" t="n">
        <v>0</v>
      </c>
      <c r="K19" s="27" t="n">
        <v>-10</v>
      </c>
      <c r="L19" s="27" t="n">
        <v>16.2422</v>
      </c>
      <c r="M19" s="19" t="n">
        <f aca="false">K19-L19</f>
        <v>-26.2422</v>
      </c>
      <c r="N19" s="26" t="n">
        <v>3</v>
      </c>
      <c r="O19" s="26" t="n">
        <v>12</v>
      </c>
      <c r="P19" s="28" t="n">
        <f aca="false">IF($C19=0,"",D19/$C19)</f>
        <v>0.295454545454545</v>
      </c>
      <c r="Q19" s="28" t="n">
        <f aca="false">IF($C19=0,"",E19/$C19)</f>
        <v>0.295454545454545</v>
      </c>
      <c r="R19" s="28" t="n">
        <f aca="false">IF($C19=0,"",F19/$C19)</f>
        <v>0.625</v>
      </c>
      <c r="S19" s="28" t="n">
        <f aca="false">IF($C19=0,"",G19/$C19)</f>
        <v>0.465909090909091</v>
      </c>
      <c r="T19" s="28" t="n">
        <f aca="false">IF($C19=0,"",H19/$C19)</f>
        <v>0.340909090909091</v>
      </c>
      <c r="U19" s="28" t="n">
        <f aca="false">IF($C19=0,"",I19/$C19)</f>
        <v>0.295454545454545</v>
      </c>
      <c r="V19" s="29" t="n">
        <f aca="false">IF($C19=0,"",K19/$C19)</f>
        <v>-0.113636363636364</v>
      </c>
      <c r="W19" s="29" t="n">
        <f aca="false">IF($C19=0,"",M19/$C19)</f>
        <v>-0.298206818181818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93</v>
      </c>
      <c r="D20" s="26" t="n">
        <v>33</v>
      </c>
      <c r="E20" s="26" t="n">
        <v>33</v>
      </c>
      <c r="F20" s="26" t="n">
        <v>60</v>
      </c>
      <c r="G20" s="26" t="n">
        <v>48</v>
      </c>
      <c r="H20" s="26" t="n">
        <v>39</v>
      </c>
      <c r="I20" s="26" t="n">
        <v>33</v>
      </c>
      <c r="J20" s="26" t="n">
        <v>0</v>
      </c>
      <c r="K20" s="27" t="n">
        <v>6</v>
      </c>
      <c r="L20" s="27" t="n">
        <v>14.6701</v>
      </c>
      <c r="M20" s="19" t="n">
        <f aca="false">K20-L20</f>
        <v>-8.6701</v>
      </c>
      <c r="N20" s="26" t="n">
        <v>4</v>
      </c>
      <c r="O20" s="26" t="n">
        <v>11</v>
      </c>
      <c r="P20" s="28" t="n">
        <f aca="false">IF($C20=0,"",D20/$C20)</f>
        <v>0.354838709677419</v>
      </c>
      <c r="Q20" s="28" t="n">
        <f aca="false">IF($C20=0,"",E20/$C20)</f>
        <v>0.354838709677419</v>
      </c>
      <c r="R20" s="28" t="n">
        <f aca="false">IF($C20=0,"",F20/$C20)</f>
        <v>0.645161290322581</v>
      </c>
      <c r="S20" s="28" t="n">
        <f aca="false">IF($C20=0,"",G20/$C20)</f>
        <v>0.516129032258065</v>
      </c>
      <c r="T20" s="28" t="n">
        <f aca="false">IF($C20=0,"",H20/$C20)</f>
        <v>0.419354838709677</v>
      </c>
      <c r="U20" s="28" t="n">
        <f aca="false">IF($C20=0,"",I20/$C20)</f>
        <v>0.354838709677419</v>
      </c>
      <c r="V20" s="29" t="n">
        <f aca="false">IF($C20=0,"",K20/$C20)</f>
        <v>0.0645161290322581</v>
      </c>
      <c r="W20" s="29" t="n">
        <f aca="false">IF($C20=0,"",M20/$C20)</f>
        <v>-0.0932268817204301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110</v>
      </c>
      <c r="D21" s="26" t="n">
        <v>40</v>
      </c>
      <c r="E21" s="26" t="n">
        <v>40</v>
      </c>
      <c r="F21" s="26" t="n">
        <v>70</v>
      </c>
      <c r="G21" s="26" t="n">
        <v>55</v>
      </c>
      <c r="H21" s="26" t="n">
        <v>49</v>
      </c>
      <c r="I21" s="26" t="n">
        <v>40</v>
      </c>
      <c r="J21" s="26" t="n">
        <v>0</v>
      </c>
      <c r="K21" s="27" t="n">
        <v>10</v>
      </c>
      <c r="L21" s="27" t="n">
        <v>12.4715</v>
      </c>
      <c r="M21" s="19" t="n">
        <f aca="false">K21-L21</f>
        <v>-2.4715</v>
      </c>
      <c r="N21" s="26" t="n">
        <v>4</v>
      </c>
      <c r="O21" s="26" t="n">
        <v>11</v>
      </c>
      <c r="P21" s="28" t="n">
        <f aca="false">IF($C21=0,"",D21/$C21)</f>
        <v>0.363636363636364</v>
      </c>
      <c r="Q21" s="28" t="n">
        <f aca="false">IF($C21=0,"",E21/$C21)</f>
        <v>0.363636363636364</v>
      </c>
      <c r="R21" s="28" t="n">
        <f aca="false">IF($C21=0,"",F21/$C21)</f>
        <v>0.636363636363636</v>
      </c>
      <c r="S21" s="28" t="n">
        <f aca="false">IF($C21=0,"",G21/$C21)</f>
        <v>0.5</v>
      </c>
      <c r="T21" s="28" t="n">
        <f aca="false">IF($C21=0,"",H21/$C21)</f>
        <v>0.445454545454545</v>
      </c>
      <c r="U21" s="28" t="n">
        <f aca="false">IF($C21=0,"",I21/$C21)</f>
        <v>0.363636363636364</v>
      </c>
      <c r="V21" s="29" t="n">
        <f aca="false">IF($C21=0,"",K21/$C21)</f>
        <v>0.0909090909090909</v>
      </c>
      <c r="W21" s="29" t="n">
        <f aca="false">IF($C21=0,"",M21/$C21)</f>
        <v>-0.0224681818181818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94</v>
      </c>
      <c r="D22" s="26" t="n">
        <v>31</v>
      </c>
      <c r="E22" s="26" t="n">
        <v>31</v>
      </c>
      <c r="F22" s="26" t="n">
        <v>57</v>
      </c>
      <c r="G22" s="26" t="n">
        <v>48</v>
      </c>
      <c r="H22" s="26" t="n">
        <v>42</v>
      </c>
      <c r="I22" s="26" t="n">
        <v>31</v>
      </c>
      <c r="J22" s="26" t="n">
        <v>0</v>
      </c>
      <c r="K22" s="27" t="n">
        <v>-1</v>
      </c>
      <c r="L22" s="27" t="n">
        <v>13.0179</v>
      </c>
      <c r="M22" s="19" t="n">
        <f aca="false">K22-L22</f>
        <v>-14.0179</v>
      </c>
      <c r="N22" s="26" t="n">
        <v>3</v>
      </c>
      <c r="O22" s="26" t="n">
        <v>8</v>
      </c>
      <c r="P22" s="28" t="n">
        <f aca="false">IF($C22=0,"",D22/$C22)</f>
        <v>0.329787234042553</v>
      </c>
      <c r="Q22" s="28" t="n">
        <f aca="false">IF($C22=0,"",E22/$C22)</f>
        <v>0.329787234042553</v>
      </c>
      <c r="R22" s="28" t="n">
        <f aca="false">IF($C22=0,"",F22/$C22)</f>
        <v>0.606382978723404</v>
      </c>
      <c r="S22" s="28" t="n">
        <f aca="false">IF($C22=0,"",G22/$C22)</f>
        <v>0.51063829787234</v>
      </c>
      <c r="T22" s="28" t="n">
        <f aca="false">IF($C22=0,"",H22/$C22)</f>
        <v>0.446808510638298</v>
      </c>
      <c r="U22" s="28" t="n">
        <f aca="false">IF($C22=0,"",I22/$C22)</f>
        <v>0.329787234042553</v>
      </c>
      <c r="V22" s="29" t="n">
        <f aca="false">IF($C22=0,"",K22/$C22)</f>
        <v>-0.0106382978723404</v>
      </c>
      <c r="W22" s="29" t="n">
        <f aca="false">IF($C22=0,"",M22/$C22)</f>
        <v>-0.149126595744681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93</v>
      </c>
      <c r="D23" s="26" t="n">
        <v>29</v>
      </c>
      <c r="E23" s="26" t="n">
        <v>29</v>
      </c>
      <c r="F23" s="26" t="n">
        <v>55</v>
      </c>
      <c r="G23" s="26" t="n">
        <v>47</v>
      </c>
      <c r="H23" s="26" t="n">
        <v>38</v>
      </c>
      <c r="I23" s="26" t="n">
        <v>29</v>
      </c>
      <c r="J23" s="26" t="n">
        <v>0</v>
      </c>
      <c r="K23" s="27" t="n">
        <v>-6</v>
      </c>
      <c r="L23" s="27" t="n">
        <v>10.4572</v>
      </c>
      <c r="M23" s="19" t="n">
        <f aca="false">K23-L23</f>
        <v>-16.4572</v>
      </c>
      <c r="N23" s="26" t="n">
        <v>4</v>
      </c>
      <c r="O23" s="26" t="n">
        <v>13</v>
      </c>
      <c r="P23" s="28" t="n">
        <f aca="false">IF($C23=0,"",D23/$C23)</f>
        <v>0.311827956989247</v>
      </c>
      <c r="Q23" s="28" t="n">
        <f aca="false">IF($C23=0,"",E23/$C23)</f>
        <v>0.311827956989247</v>
      </c>
      <c r="R23" s="28" t="n">
        <f aca="false">IF($C23=0,"",F23/$C23)</f>
        <v>0.591397849462366</v>
      </c>
      <c r="S23" s="28" t="n">
        <f aca="false">IF($C23=0,"",G23/$C23)</f>
        <v>0.505376344086022</v>
      </c>
      <c r="T23" s="28" t="n">
        <f aca="false">IF($C23=0,"",H23/$C23)</f>
        <v>0.408602150537634</v>
      </c>
      <c r="U23" s="28" t="n">
        <f aca="false">IF($C23=0,"",I23/$C23)</f>
        <v>0.311827956989247</v>
      </c>
      <c r="V23" s="29" t="n">
        <f aca="false">IF($C23=0,"",K23/$C23)</f>
        <v>-0.0645161290322581</v>
      </c>
      <c r="W23" s="29" t="n">
        <f aca="false">IF($C23=0,"",M23/$C23)</f>
        <v>-0.176959139784946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97</v>
      </c>
      <c r="D24" s="26" t="n">
        <v>27</v>
      </c>
      <c r="E24" s="26" t="n">
        <v>27</v>
      </c>
      <c r="F24" s="26" t="n">
        <v>58</v>
      </c>
      <c r="G24" s="26" t="n">
        <v>48</v>
      </c>
      <c r="H24" s="26" t="n">
        <v>34</v>
      </c>
      <c r="I24" s="26" t="n">
        <v>27</v>
      </c>
      <c r="J24" s="26" t="n">
        <v>0</v>
      </c>
      <c r="K24" s="27" t="n">
        <v>-16</v>
      </c>
      <c r="L24" s="27" t="n">
        <v>16.5697</v>
      </c>
      <c r="M24" s="19" t="n">
        <f aca="false">K24-L24</f>
        <v>-32.5697</v>
      </c>
      <c r="N24" s="26" t="n">
        <v>3</v>
      </c>
      <c r="O24" s="26" t="n">
        <v>18</v>
      </c>
      <c r="P24" s="28" t="n">
        <f aca="false">IF($C24=0,"",D24/$C24)</f>
        <v>0.278350515463918</v>
      </c>
      <c r="Q24" s="28" t="n">
        <f aca="false">IF($C24=0,"",E24/$C24)</f>
        <v>0.278350515463918</v>
      </c>
      <c r="R24" s="28" t="n">
        <f aca="false">IF($C24=0,"",F24/$C24)</f>
        <v>0.597938144329897</v>
      </c>
      <c r="S24" s="28" t="n">
        <f aca="false">IF($C24=0,"",G24/$C24)</f>
        <v>0.494845360824742</v>
      </c>
      <c r="T24" s="28" t="n">
        <f aca="false">IF($C24=0,"",H24/$C24)</f>
        <v>0.350515463917526</v>
      </c>
      <c r="U24" s="28" t="n">
        <f aca="false">IF($C24=0,"",I24/$C24)</f>
        <v>0.278350515463918</v>
      </c>
      <c r="V24" s="29" t="n">
        <f aca="false">IF($C24=0,"",K24/$C24)</f>
        <v>-0.164948453608247</v>
      </c>
      <c r="W24" s="29" t="n">
        <f aca="false">IF($C24=0,"",M24/$C24)</f>
        <v>-0.335770103092784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97</v>
      </c>
      <c r="D25" s="26" t="n">
        <v>32</v>
      </c>
      <c r="E25" s="26" t="n">
        <v>32</v>
      </c>
      <c r="F25" s="26" t="n">
        <v>54</v>
      </c>
      <c r="G25" s="26" t="n">
        <v>48</v>
      </c>
      <c r="H25" s="26" t="n">
        <v>40</v>
      </c>
      <c r="I25" s="26" t="n">
        <v>32</v>
      </c>
      <c r="J25" s="26" t="n">
        <v>0</v>
      </c>
      <c r="K25" s="27" t="n">
        <v>-1</v>
      </c>
      <c r="L25" s="27" t="n">
        <v>16.5173</v>
      </c>
      <c r="M25" s="19" t="n">
        <f aca="false">K25-L25</f>
        <v>-17.5173</v>
      </c>
      <c r="N25" s="26" t="n">
        <v>5</v>
      </c>
      <c r="O25" s="26" t="n">
        <v>16</v>
      </c>
      <c r="P25" s="28" t="n">
        <f aca="false">IF($C25=0,"",D25/$C25)</f>
        <v>0.329896907216495</v>
      </c>
      <c r="Q25" s="28" t="n">
        <f aca="false">IF($C25=0,"",E25/$C25)</f>
        <v>0.329896907216495</v>
      </c>
      <c r="R25" s="28" t="n">
        <f aca="false">IF($C25=0,"",F25/$C25)</f>
        <v>0.556701030927835</v>
      </c>
      <c r="S25" s="28" t="n">
        <f aca="false">IF($C25=0,"",G25/$C25)</f>
        <v>0.494845360824742</v>
      </c>
      <c r="T25" s="28" t="n">
        <f aca="false">IF($C25=0,"",H25/$C25)</f>
        <v>0.412371134020619</v>
      </c>
      <c r="U25" s="28" t="n">
        <f aca="false">IF($C25=0,"",I25/$C25)</f>
        <v>0.329896907216495</v>
      </c>
      <c r="V25" s="29" t="n">
        <f aca="false">IF($C25=0,"",K25/$C25)</f>
        <v>-0.0103092783505155</v>
      </c>
      <c r="W25" s="29" t="n">
        <f aca="false">IF($C25=0,"",M25/$C25)</f>
        <v>-0.180590721649485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103</v>
      </c>
      <c r="D26" s="26" t="n">
        <v>37</v>
      </c>
      <c r="E26" s="26" t="n">
        <v>37</v>
      </c>
      <c r="F26" s="26" t="n">
        <v>69</v>
      </c>
      <c r="G26" s="26" t="n">
        <v>57</v>
      </c>
      <c r="H26" s="26" t="n">
        <v>45</v>
      </c>
      <c r="I26" s="26" t="n">
        <v>37</v>
      </c>
      <c r="J26" s="26" t="n">
        <v>0</v>
      </c>
      <c r="K26" s="27" t="n">
        <v>8</v>
      </c>
      <c r="L26" s="27" t="n">
        <v>18.6883</v>
      </c>
      <c r="M26" s="19" t="n">
        <f aca="false">K26-L26</f>
        <v>-10.6883</v>
      </c>
      <c r="N26" s="26" t="n">
        <v>4</v>
      </c>
      <c r="O26" s="26" t="n">
        <v>8</v>
      </c>
      <c r="P26" s="28" t="n">
        <f aca="false">IF($C26=0,"",D26/$C26)</f>
        <v>0.359223300970874</v>
      </c>
      <c r="Q26" s="28" t="n">
        <f aca="false">IF($C26=0,"",E26/$C26)</f>
        <v>0.359223300970874</v>
      </c>
      <c r="R26" s="28" t="n">
        <f aca="false">IF($C26=0,"",F26/$C26)</f>
        <v>0.669902912621359</v>
      </c>
      <c r="S26" s="28" t="n">
        <f aca="false">IF($C26=0,"",G26/$C26)</f>
        <v>0.553398058252427</v>
      </c>
      <c r="T26" s="28" t="n">
        <f aca="false">IF($C26=0,"",H26/$C26)</f>
        <v>0.436893203883495</v>
      </c>
      <c r="U26" s="28" t="n">
        <f aca="false">IF($C26=0,"",I26/$C26)</f>
        <v>0.359223300970874</v>
      </c>
      <c r="V26" s="29" t="n">
        <f aca="false">IF($C26=0,"",K26/$C26)</f>
        <v>0.0776699029126214</v>
      </c>
      <c r="W26" s="29" t="n">
        <f aca="false">IF($C26=0,"",M26/$C26)</f>
        <v>-0.103769902912621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108</v>
      </c>
      <c r="D27" s="26" t="n">
        <v>35</v>
      </c>
      <c r="E27" s="26" t="n">
        <v>35</v>
      </c>
      <c r="F27" s="26" t="n">
        <v>69</v>
      </c>
      <c r="G27" s="26" t="n">
        <v>54</v>
      </c>
      <c r="H27" s="26" t="n">
        <v>41</v>
      </c>
      <c r="I27" s="26" t="n">
        <v>35</v>
      </c>
      <c r="J27" s="26" t="n">
        <v>0</v>
      </c>
      <c r="K27" s="27" t="n">
        <v>-3</v>
      </c>
      <c r="L27" s="27" t="n">
        <v>17.9554</v>
      </c>
      <c r="M27" s="19" t="n">
        <f aca="false">K27-L27</f>
        <v>-20.9554</v>
      </c>
      <c r="N27" s="26" t="n">
        <v>4</v>
      </c>
      <c r="O27" s="26" t="n">
        <v>13</v>
      </c>
      <c r="P27" s="28" t="n">
        <f aca="false">IF($C27=0,"",D27/$C27)</f>
        <v>0.324074074074074</v>
      </c>
      <c r="Q27" s="28" t="n">
        <f aca="false">IF($C27=0,"",E27/$C27)</f>
        <v>0.324074074074074</v>
      </c>
      <c r="R27" s="28" t="n">
        <f aca="false">IF($C27=0,"",F27/$C27)</f>
        <v>0.638888888888889</v>
      </c>
      <c r="S27" s="28" t="n">
        <f aca="false">IF($C27=0,"",G27/$C27)</f>
        <v>0.5</v>
      </c>
      <c r="T27" s="28" t="n">
        <f aca="false">IF($C27=0,"",H27/$C27)</f>
        <v>0.37962962962963</v>
      </c>
      <c r="U27" s="28" t="n">
        <f aca="false">IF($C27=0,"",I27/$C27)</f>
        <v>0.324074074074074</v>
      </c>
      <c r="V27" s="29" t="n">
        <f aca="false">IF($C27=0,"",K27/$C27)</f>
        <v>-0.0277777777777778</v>
      </c>
      <c r="W27" s="29" t="n">
        <f aca="false">IF($C27=0,"",M27/$C27)</f>
        <v>-0.194031481481482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96</v>
      </c>
      <c r="D28" s="26" t="n">
        <v>35</v>
      </c>
      <c r="E28" s="26" t="n">
        <v>35</v>
      </c>
      <c r="F28" s="26" t="n">
        <v>64</v>
      </c>
      <c r="G28" s="26" t="n">
        <v>54</v>
      </c>
      <c r="H28" s="26" t="n">
        <v>42</v>
      </c>
      <c r="I28" s="26" t="n">
        <v>35</v>
      </c>
      <c r="J28" s="26" t="n">
        <v>0</v>
      </c>
      <c r="K28" s="27" t="n">
        <v>9</v>
      </c>
      <c r="L28" s="27" t="n">
        <v>14.7745</v>
      </c>
      <c r="M28" s="19" t="n">
        <f aca="false">K28-L28</f>
        <v>-5.7745</v>
      </c>
      <c r="N28" s="26" t="n">
        <v>4</v>
      </c>
      <c r="O28" s="26" t="n">
        <v>6</v>
      </c>
      <c r="P28" s="28" t="n">
        <f aca="false">IF($C28=0,"",D28/$C28)</f>
        <v>0.364583333333333</v>
      </c>
      <c r="Q28" s="28" t="n">
        <f aca="false">IF($C28=0,"",E28/$C28)</f>
        <v>0.364583333333333</v>
      </c>
      <c r="R28" s="28" t="n">
        <f aca="false">IF($C28=0,"",F28/$C28)</f>
        <v>0.666666666666667</v>
      </c>
      <c r="S28" s="28" t="n">
        <f aca="false">IF($C28=0,"",G28/$C28)</f>
        <v>0.5625</v>
      </c>
      <c r="T28" s="28" t="n">
        <f aca="false">IF($C28=0,"",H28/$C28)</f>
        <v>0.4375</v>
      </c>
      <c r="U28" s="28" t="n">
        <f aca="false">IF($C28=0,"",I28/$C28)</f>
        <v>0.364583333333333</v>
      </c>
      <c r="V28" s="29" t="n">
        <f aca="false">IF($C28=0,"",K28/$C28)</f>
        <v>0.09375</v>
      </c>
      <c r="W28" s="29" t="n">
        <f aca="false">IF($C28=0,"",M28/$C28)</f>
        <v>-0.0601510416666667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104</v>
      </c>
      <c r="D29" s="26" t="n">
        <v>35</v>
      </c>
      <c r="E29" s="26" t="n">
        <v>35</v>
      </c>
      <c r="F29" s="26" t="n">
        <v>68</v>
      </c>
      <c r="G29" s="26" t="n">
        <v>54</v>
      </c>
      <c r="H29" s="26" t="n">
        <v>46</v>
      </c>
      <c r="I29" s="26" t="n">
        <v>35</v>
      </c>
      <c r="J29" s="26" t="n">
        <v>0</v>
      </c>
      <c r="K29" s="27" t="n">
        <v>1</v>
      </c>
      <c r="L29" s="27" t="n">
        <v>14.851</v>
      </c>
      <c r="M29" s="19" t="n">
        <f aca="false">K29-L29</f>
        <v>-13.851</v>
      </c>
      <c r="N29" s="26" t="n">
        <v>3</v>
      </c>
      <c r="O29" s="26" t="n">
        <v>8</v>
      </c>
      <c r="P29" s="28" t="n">
        <f aca="false">IF($C29=0,"",D29/$C29)</f>
        <v>0.336538461538462</v>
      </c>
      <c r="Q29" s="28" t="n">
        <f aca="false">IF($C29=0,"",E29/$C29)</f>
        <v>0.336538461538462</v>
      </c>
      <c r="R29" s="28" t="n">
        <f aca="false">IF($C29=0,"",F29/$C29)</f>
        <v>0.653846153846154</v>
      </c>
      <c r="S29" s="28" t="n">
        <f aca="false">IF($C29=0,"",G29/$C29)</f>
        <v>0.519230769230769</v>
      </c>
      <c r="T29" s="28" t="n">
        <f aca="false">IF($C29=0,"",H29/$C29)</f>
        <v>0.442307692307692</v>
      </c>
      <c r="U29" s="28" t="n">
        <f aca="false">IF($C29=0,"",I29/$C29)</f>
        <v>0.336538461538462</v>
      </c>
      <c r="V29" s="29" t="n">
        <f aca="false">IF($C29=0,"",K29/$C29)</f>
        <v>0.00961538461538462</v>
      </c>
      <c r="W29" s="29" t="n">
        <f aca="false">IF($C29=0,"",M29/$C29)</f>
        <v>-0.133182692307692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98</v>
      </c>
      <c r="D30" s="26" t="n">
        <v>35</v>
      </c>
      <c r="E30" s="26" t="n">
        <v>35</v>
      </c>
      <c r="F30" s="26" t="n">
        <v>60</v>
      </c>
      <c r="G30" s="26" t="n">
        <v>50</v>
      </c>
      <c r="H30" s="26" t="n">
        <v>39</v>
      </c>
      <c r="I30" s="26" t="n">
        <v>35</v>
      </c>
      <c r="J30" s="26" t="n">
        <v>0</v>
      </c>
      <c r="K30" s="27" t="n">
        <v>7</v>
      </c>
      <c r="L30" s="27" t="n">
        <v>15.9008</v>
      </c>
      <c r="M30" s="19" t="n">
        <f aca="false">K30-L30</f>
        <v>-8.9008</v>
      </c>
      <c r="N30" s="26" t="n">
        <v>4</v>
      </c>
      <c r="O30" s="26" t="n">
        <v>7</v>
      </c>
      <c r="P30" s="28" t="n">
        <f aca="false">IF($C30=0,"",D30/$C30)</f>
        <v>0.357142857142857</v>
      </c>
      <c r="Q30" s="28" t="n">
        <f aca="false">IF($C30=0,"",E30/$C30)</f>
        <v>0.357142857142857</v>
      </c>
      <c r="R30" s="28" t="n">
        <f aca="false">IF($C30=0,"",F30/$C30)</f>
        <v>0.612244897959184</v>
      </c>
      <c r="S30" s="28" t="n">
        <f aca="false">IF($C30=0,"",G30/$C30)</f>
        <v>0.510204081632653</v>
      </c>
      <c r="T30" s="28" t="n">
        <f aca="false">IF($C30=0,"",H30/$C30)</f>
        <v>0.397959183673469</v>
      </c>
      <c r="U30" s="28" t="n">
        <f aca="false">IF($C30=0,"",I30/$C30)</f>
        <v>0.357142857142857</v>
      </c>
      <c r="V30" s="29" t="n">
        <f aca="false">IF($C30=0,"",K30/$C30)</f>
        <v>0.0714285714285714</v>
      </c>
      <c r="W30" s="29" t="n">
        <f aca="false">IF($C30=0,"",M30/$C30)</f>
        <v>-0.0908244897959184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1181</v>
      </c>
      <c r="D31" s="30" t="n">
        <f aca="false">SUM(D19:D30)</f>
        <v>395</v>
      </c>
      <c r="E31" s="30" t="n">
        <f aca="false">SUM(E19:E30)</f>
        <v>395</v>
      </c>
      <c r="F31" s="30" t="n">
        <f aca="false">SUM(F19:F30)</f>
        <v>739</v>
      </c>
      <c r="G31" s="30" t="n">
        <f aca="false">SUM(G19:G30)</f>
        <v>604</v>
      </c>
      <c r="H31" s="30" t="n">
        <f aca="false">SUM(H19:H30)</f>
        <v>485</v>
      </c>
      <c r="I31" s="30" t="n">
        <f aca="false">SUM(I19:I30)</f>
        <v>395</v>
      </c>
      <c r="J31" s="30" t="n">
        <f aca="false">SUM(J19:J30)</f>
        <v>0</v>
      </c>
      <c r="K31" s="31" t="n">
        <f aca="false">SUM(K19:K30)</f>
        <v>4</v>
      </c>
      <c r="L31" s="31" t="n">
        <f aca="false">SUM(L19:L30)</f>
        <v>182.1159</v>
      </c>
      <c r="M31" s="31" t="n">
        <f aca="false">K31-L31</f>
        <v>-178.1159</v>
      </c>
      <c r="N31" s="32" t="n">
        <v>5</v>
      </c>
      <c r="O31" s="32" t="n">
        <v>18</v>
      </c>
      <c r="P31" s="33" t="n">
        <f aca="false">IF($C31=0,"",D31/$C31)</f>
        <v>0.334462320067739</v>
      </c>
      <c r="Q31" s="33" t="n">
        <f aca="false">IF($C31=0,"",E31/$C31)</f>
        <v>0.334462320067739</v>
      </c>
      <c r="R31" s="33" t="n">
        <f aca="false">IF($C31=0,"",F31/$C31)</f>
        <v>0.625740897544454</v>
      </c>
      <c r="S31" s="33" t="n">
        <f aca="false">IF($C31=0,"",G31/$C31)</f>
        <v>0.511430990685859</v>
      </c>
      <c r="T31" s="33" t="n">
        <f aca="false">IF($C31=0,"",H31/$C31)</f>
        <v>0.410668924640136</v>
      </c>
      <c r="U31" s="33" t="n">
        <f aca="false">IF($C31=0,"",I31/$C31)</f>
        <v>0.334462320067739</v>
      </c>
      <c r="V31" s="34" t="n">
        <f aca="false">IF($C31=0,"",K31/$C31)</f>
        <v>0.00338696020321761</v>
      </c>
      <c r="W31" s="34" t="n">
        <f aca="false">IF($C31=0,"",M31/$C31)</f>
        <v>-0.150817866215072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99</v>
      </c>
      <c r="D32" s="26" t="n">
        <v>36</v>
      </c>
      <c r="E32" s="26" t="n">
        <v>36</v>
      </c>
      <c r="F32" s="26" t="n">
        <v>62</v>
      </c>
      <c r="G32" s="26" t="n">
        <v>49</v>
      </c>
      <c r="H32" s="26" t="n">
        <v>42</v>
      </c>
      <c r="I32" s="26" t="n">
        <v>36</v>
      </c>
      <c r="J32" s="26" t="n">
        <v>0</v>
      </c>
      <c r="K32" s="27" t="n">
        <v>9</v>
      </c>
      <c r="L32" s="27" t="n">
        <v>16.5308</v>
      </c>
      <c r="M32" s="19" t="n">
        <f aca="false">K32-L32</f>
        <v>-7.5308</v>
      </c>
      <c r="N32" s="26" t="n">
        <v>3</v>
      </c>
      <c r="O32" s="26" t="n">
        <v>7</v>
      </c>
      <c r="P32" s="28" t="n">
        <f aca="false">IF($C32=0,"",D32/$C32)</f>
        <v>0.363636363636364</v>
      </c>
      <c r="Q32" s="28" t="n">
        <f aca="false">IF($C32=0,"",E32/$C32)</f>
        <v>0.363636363636364</v>
      </c>
      <c r="R32" s="28" t="n">
        <f aca="false">IF($C32=0,"",F32/$C32)</f>
        <v>0.626262626262626</v>
      </c>
      <c r="S32" s="28" t="n">
        <f aca="false">IF($C32=0,"",G32/$C32)</f>
        <v>0.494949494949495</v>
      </c>
      <c r="T32" s="28" t="n">
        <f aca="false">IF($C32=0,"",H32/$C32)</f>
        <v>0.424242424242424</v>
      </c>
      <c r="U32" s="28" t="n">
        <f aca="false">IF($C32=0,"",I32/$C32)</f>
        <v>0.363636363636364</v>
      </c>
      <c r="V32" s="29" t="n">
        <f aca="false">IF($C32=0,"",K32/$C32)</f>
        <v>0.0909090909090909</v>
      </c>
      <c r="W32" s="29" t="n">
        <f aca="false">IF($C32=0,"",M32/$C32)</f>
        <v>-0.0760686868686869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97</v>
      </c>
      <c r="D33" s="26" t="n">
        <v>28</v>
      </c>
      <c r="E33" s="26" t="n">
        <v>28</v>
      </c>
      <c r="F33" s="26" t="n">
        <v>58</v>
      </c>
      <c r="G33" s="26" t="n">
        <v>45</v>
      </c>
      <c r="H33" s="26" t="n">
        <v>32</v>
      </c>
      <c r="I33" s="26" t="n">
        <v>28</v>
      </c>
      <c r="J33" s="26" t="n">
        <v>0</v>
      </c>
      <c r="K33" s="27" t="n">
        <v>-13</v>
      </c>
      <c r="L33" s="27" t="n">
        <v>14.5498</v>
      </c>
      <c r="M33" s="19" t="n">
        <f aca="false">K33-L33</f>
        <v>-27.5498</v>
      </c>
      <c r="N33" s="26" t="n">
        <v>2</v>
      </c>
      <c r="O33" s="26" t="n">
        <v>8</v>
      </c>
      <c r="P33" s="28" t="n">
        <f aca="false">IF($C33=0,"",D33/$C33)</f>
        <v>0.288659793814433</v>
      </c>
      <c r="Q33" s="28" t="n">
        <f aca="false">IF($C33=0,"",E33/$C33)</f>
        <v>0.288659793814433</v>
      </c>
      <c r="R33" s="28" t="n">
        <f aca="false">IF($C33=0,"",F33/$C33)</f>
        <v>0.597938144329897</v>
      </c>
      <c r="S33" s="28" t="n">
        <f aca="false">IF($C33=0,"",G33/$C33)</f>
        <v>0.463917525773196</v>
      </c>
      <c r="T33" s="28" t="n">
        <f aca="false">IF($C33=0,"",H33/$C33)</f>
        <v>0.329896907216495</v>
      </c>
      <c r="U33" s="28" t="n">
        <f aca="false">IF($C33=0,"",I33/$C33)</f>
        <v>0.288659793814433</v>
      </c>
      <c r="V33" s="29" t="n">
        <f aca="false">IF($C33=0,"",K33/$C33)</f>
        <v>-0.134020618556701</v>
      </c>
      <c r="W33" s="29" t="n">
        <f aca="false">IF($C33=0,"",M33/$C33)</f>
        <v>-0.284018556701031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105</v>
      </c>
      <c r="D34" s="26" t="n">
        <v>42</v>
      </c>
      <c r="E34" s="26" t="n">
        <v>42</v>
      </c>
      <c r="F34" s="26" t="n">
        <v>64</v>
      </c>
      <c r="G34" s="26" t="n">
        <v>53</v>
      </c>
      <c r="H34" s="26" t="n">
        <v>46</v>
      </c>
      <c r="I34" s="26" t="n">
        <v>42</v>
      </c>
      <c r="J34" s="26" t="n">
        <v>0</v>
      </c>
      <c r="K34" s="27" t="n">
        <v>21</v>
      </c>
      <c r="L34" s="27" t="n">
        <v>13.6293</v>
      </c>
      <c r="M34" s="19" t="n">
        <f aca="false">K34-L34</f>
        <v>7.3707</v>
      </c>
      <c r="N34" s="26" t="n">
        <v>4</v>
      </c>
      <c r="O34" s="26" t="n">
        <v>7</v>
      </c>
      <c r="P34" s="28" t="n">
        <f aca="false">IF($C34=0,"",D34/$C34)</f>
        <v>0.4</v>
      </c>
      <c r="Q34" s="28" t="n">
        <f aca="false">IF($C34=0,"",E34/$C34)</f>
        <v>0.4</v>
      </c>
      <c r="R34" s="28" t="n">
        <f aca="false">IF($C34=0,"",F34/$C34)</f>
        <v>0.60952380952381</v>
      </c>
      <c r="S34" s="28" t="n">
        <f aca="false">IF($C34=0,"",G34/$C34)</f>
        <v>0.504761904761905</v>
      </c>
      <c r="T34" s="28" t="n">
        <f aca="false">IF($C34=0,"",H34/$C34)</f>
        <v>0.438095238095238</v>
      </c>
      <c r="U34" s="28" t="n">
        <f aca="false">IF($C34=0,"",I34/$C34)</f>
        <v>0.4</v>
      </c>
      <c r="V34" s="29" t="n">
        <f aca="false">IF($C34=0,"",K34/$C34)</f>
        <v>0.2</v>
      </c>
      <c r="W34" s="29" t="n">
        <f aca="false">IF($C34=0,"",M34/$C34)</f>
        <v>0.0701971428571429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85</v>
      </c>
      <c r="D35" s="26" t="n">
        <v>30</v>
      </c>
      <c r="E35" s="26" t="n">
        <v>30</v>
      </c>
      <c r="F35" s="26" t="n">
        <v>55</v>
      </c>
      <c r="G35" s="26" t="n">
        <v>43</v>
      </c>
      <c r="H35" s="26" t="n">
        <v>35</v>
      </c>
      <c r="I35" s="26" t="n">
        <v>30</v>
      </c>
      <c r="J35" s="26" t="n">
        <v>0</v>
      </c>
      <c r="K35" s="27" t="n">
        <v>5</v>
      </c>
      <c r="L35" s="27" t="n">
        <v>13.0432</v>
      </c>
      <c r="M35" s="19" t="n">
        <f aca="false">K35-L35</f>
        <v>-8.0432</v>
      </c>
      <c r="N35" s="26" t="n">
        <v>3</v>
      </c>
      <c r="O35" s="26" t="n">
        <v>10</v>
      </c>
      <c r="P35" s="28" t="n">
        <f aca="false">IF($C35=0,"",D35/$C35)</f>
        <v>0.352941176470588</v>
      </c>
      <c r="Q35" s="28" t="n">
        <f aca="false">IF($C35=0,"",E35/$C35)</f>
        <v>0.352941176470588</v>
      </c>
      <c r="R35" s="28" t="n">
        <f aca="false">IF($C35=0,"",F35/$C35)</f>
        <v>0.647058823529412</v>
      </c>
      <c r="S35" s="28" t="n">
        <f aca="false">IF($C35=0,"",G35/$C35)</f>
        <v>0.505882352941176</v>
      </c>
      <c r="T35" s="28" t="n">
        <f aca="false">IF($C35=0,"",H35/$C35)</f>
        <v>0.411764705882353</v>
      </c>
      <c r="U35" s="28" t="n">
        <f aca="false">IF($C35=0,"",I35/$C35)</f>
        <v>0.352941176470588</v>
      </c>
      <c r="V35" s="29" t="n">
        <f aca="false">IF($C35=0,"",K35/$C35)</f>
        <v>0.0588235294117647</v>
      </c>
      <c r="W35" s="29" t="n">
        <f aca="false">IF($C35=0,"",M35/$C35)</f>
        <v>-0.0946258823529412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98</v>
      </c>
      <c r="D36" s="26" t="n">
        <v>42</v>
      </c>
      <c r="E36" s="26" t="n">
        <v>42</v>
      </c>
      <c r="F36" s="26" t="n">
        <v>63</v>
      </c>
      <c r="G36" s="26" t="n">
        <v>54</v>
      </c>
      <c r="H36" s="26" t="n">
        <v>47</v>
      </c>
      <c r="I36" s="26" t="n">
        <v>42</v>
      </c>
      <c r="J36" s="26" t="n">
        <v>0</v>
      </c>
      <c r="K36" s="27" t="n">
        <v>28</v>
      </c>
      <c r="L36" s="27" t="n">
        <v>15.457</v>
      </c>
      <c r="M36" s="19" t="n">
        <f aca="false">K36-L36</f>
        <v>12.543</v>
      </c>
      <c r="N36" s="26" t="n">
        <v>5</v>
      </c>
      <c r="O36" s="26" t="n">
        <v>10</v>
      </c>
      <c r="P36" s="28" t="n">
        <f aca="false">IF($C36=0,"",D36/$C36)</f>
        <v>0.428571428571429</v>
      </c>
      <c r="Q36" s="28" t="n">
        <f aca="false">IF($C36=0,"",E36/$C36)</f>
        <v>0.428571428571429</v>
      </c>
      <c r="R36" s="28" t="n">
        <f aca="false">IF($C36=0,"",F36/$C36)</f>
        <v>0.642857142857143</v>
      </c>
      <c r="S36" s="28" t="n">
        <f aca="false">IF($C36=0,"",G36/$C36)</f>
        <v>0.551020408163265</v>
      </c>
      <c r="T36" s="28" t="n">
        <f aca="false">IF($C36=0,"",H36/$C36)</f>
        <v>0.479591836734694</v>
      </c>
      <c r="U36" s="28" t="n">
        <f aca="false">IF($C36=0,"",I36/$C36)</f>
        <v>0.428571428571429</v>
      </c>
      <c r="V36" s="29" t="n">
        <f aca="false">IF($C36=0,"",K36/$C36)</f>
        <v>0.285714285714286</v>
      </c>
      <c r="W36" s="29" t="n">
        <f aca="false">IF($C36=0,"",M36/$C36)</f>
        <v>0.127989795918367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100</v>
      </c>
      <c r="D37" s="26" t="n">
        <v>25</v>
      </c>
      <c r="E37" s="26" t="n">
        <v>25</v>
      </c>
      <c r="F37" s="26" t="n">
        <v>57</v>
      </c>
      <c r="G37" s="26" t="n">
        <v>47</v>
      </c>
      <c r="H37" s="26" t="n">
        <v>35</v>
      </c>
      <c r="I37" s="26" t="n">
        <v>25</v>
      </c>
      <c r="J37" s="26" t="n">
        <v>0</v>
      </c>
      <c r="K37" s="27" t="n">
        <v>-25</v>
      </c>
      <c r="L37" s="27" t="n">
        <v>17.9265</v>
      </c>
      <c r="M37" s="19" t="n">
        <f aca="false">K37-L37</f>
        <v>-42.9265</v>
      </c>
      <c r="N37" s="26" t="n">
        <v>4</v>
      </c>
      <c r="O37" s="26" t="n">
        <v>12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0.57</v>
      </c>
      <c r="S37" s="28" t="n">
        <f aca="false">IF($C37=0,"",G37/$C37)</f>
        <v>0.47</v>
      </c>
      <c r="T37" s="28" t="n">
        <f aca="false">IF($C37=0,"",H37/$C37)</f>
        <v>0.35</v>
      </c>
      <c r="U37" s="28" t="n">
        <f aca="false">IF($C37=0,"",I37/$C37)</f>
        <v>0.25</v>
      </c>
      <c r="V37" s="29" t="n">
        <f aca="false">IF($C37=0,"",K37/$C37)</f>
        <v>-0.25</v>
      </c>
      <c r="W37" s="29" t="n">
        <f aca="false">IF($C37=0,"",M37/$C37)</f>
        <v>-0.429265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100</v>
      </c>
      <c r="D38" s="26" t="n">
        <v>20</v>
      </c>
      <c r="E38" s="26" t="n">
        <v>20</v>
      </c>
      <c r="F38" s="26" t="n">
        <v>43</v>
      </c>
      <c r="G38" s="26" t="n">
        <v>38</v>
      </c>
      <c r="H38" s="26" t="n">
        <v>28</v>
      </c>
      <c r="I38" s="26" t="n">
        <v>20</v>
      </c>
      <c r="J38" s="26" t="n">
        <v>0</v>
      </c>
      <c r="K38" s="27" t="n">
        <v>-40</v>
      </c>
      <c r="L38" s="27" t="n">
        <v>26.9758</v>
      </c>
      <c r="M38" s="19" t="n">
        <f aca="false">K38-L38</f>
        <v>-66.9758</v>
      </c>
      <c r="N38" s="26" t="n">
        <v>2</v>
      </c>
      <c r="O38" s="26" t="n">
        <v>14</v>
      </c>
      <c r="P38" s="28" t="n">
        <f aca="false">IF($C38=0,"",D38/$C38)</f>
        <v>0.2</v>
      </c>
      <c r="Q38" s="28" t="n">
        <f aca="false">IF($C38=0,"",E38/$C38)</f>
        <v>0.2</v>
      </c>
      <c r="R38" s="28" t="n">
        <f aca="false">IF($C38=0,"",F38/$C38)</f>
        <v>0.43</v>
      </c>
      <c r="S38" s="28" t="n">
        <f aca="false">IF($C38=0,"",G38/$C38)</f>
        <v>0.38</v>
      </c>
      <c r="T38" s="28" t="n">
        <f aca="false">IF($C38=0,"",H38/$C38)</f>
        <v>0.28</v>
      </c>
      <c r="U38" s="28" t="n">
        <f aca="false">IF($C38=0,"",I38/$C38)</f>
        <v>0.2</v>
      </c>
      <c r="V38" s="29" t="n">
        <f aca="false">IF($C38=0,"",K38/$C38)</f>
        <v>-0.4</v>
      </c>
      <c r="W38" s="29" t="n">
        <f aca="false">IF($C38=0,"",M38/$C38)</f>
        <v>-0.669758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111</v>
      </c>
      <c r="D39" s="26" t="n">
        <v>31</v>
      </c>
      <c r="E39" s="26" t="n">
        <v>31</v>
      </c>
      <c r="F39" s="26" t="n">
        <v>58</v>
      </c>
      <c r="G39" s="26" t="n">
        <v>48</v>
      </c>
      <c r="H39" s="26" t="n">
        <v>36</v>
      </c>
      <c r="I39" s="26" t="n">
        <v>31</v>
      </c>
      <c r="J39" s="26" t="n">
        <v>0</v>
      </c>
      <c r="K39" s="27" t="n">
        <v>-18</v>
      </c>
      <c r="L39" s="27" t="n">
        <v>31.8302</v>
      </c>
      <c r="M39" s="19" t="n">
        <f aca="false">K39-L39</f>
        <v>-49.8302</v>
      </c>
      <c r="N39" s="26" t="n">
        <v>4</v>
      </c>
      <c r="O39" s="26" t="n">
        <v>16</v>
      </c>
      <c r="P39" s="28" t="n">
        <f aca="false">IF($C39=0,"",D39/$C39)</f>
        <v>0.279279279279279</v>
      </c>
      <c r="Q39" s="28" t="n">
        <f aca="false">IF($C39=0,"",E39/$C39)</f>
        <v>0.279279279279279</v>
      </c>
      <c r="R39" s="28" t="n">
        <f aca="false">IF($C39=0,"",F39/$C39)</f>
        <v>0.522522522522523</v>
      </c>
      <c r="S39" s="28" t="n">
        <f aca="false">IF($C39=0,"",G39/$C39)</f>
        <v>0.432432432432432</v>
      </c>
      <c r="T39" s="28" t="n">
        <f aca="false">IF($C39=0,"",H39/$C39)</f>
        <v>0.324324324324324</v>
      </c>
      <c r="U39" s="28" t="n">
        <f aca="false">IF($C39=0,"",I39/$C39)</f>
        <v>0.279279279279279</v>
      </c>
      <c r="V39" s="29" t="n">
        <f aca="false">IF($C39=0,"",K39/$C39)</f>
        <v>-0.162162162162162</v>
      </c>
      <c r="W39" s="29" t="n">
        <f aca="false">IF($C39=0,"",M39/$C39)</f>
        <v>-0.448920720720721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94</v>
      </c>
      <c r="D40" s="26" t="n">
        <v>35</v>
      </c>
      <c r="E40" s="26" t="n">
        <v>35</v>
      </c>
      <c r="F40" s="26" t="n">
        <v>54</v>
      </c>
      <c r="G40" s="26" t="n">
        <v>48</v>
      </c>
      <c r="H40" s="26" t="n">
        <v>42</v>
      </c>
      <c r="I40" s="26" t="n">
        <v>35</v>
      </c>
      <c r="J40" s="26" t="n">
        <v>0</v>
      </c>
      <c r="K40" s="27" t="n">
        <v>11</v>
      </c>
      <c r="L40" s="27" t="n">
        <v>28.3896</v>
      </c>
      <c r="M40" s="19" t="n">
        <f aca="false">K40-L40</f>
        <v>-17.3896</v>
      </c>
      <c r="N40" s="26" t="n">
        <v>5</v>
      </c>
      <c r="O40" s="26" t="n">
        <v>9</v>
      </c>
      <c r="P40" s="28" t="n">
        <f aca="false">IF($C40=0,"",D40/$C40)</f>
        <v>0.372340425531915</v>
      </c>
      <c r="Q40" s="28" t="n">
        <f aca="false">IF($C40=0,"",E40/$C40)</f>
        <v>0.372340425531915</v>
      </c>
      <c r="R40" s="28" t="n">
        <f aca="false">IF($C40=0,"",F40/$C40)</f>
        <v>0.574468085106383</v>
      </c>
      <c r="S40" s="28" t="n">
        <f aca="false">IF($C40=0,"",G40/$C40)</f>
        <v>0.51063829787234</v>
      </c>
      <c r="T40" s="28" t="n">
        <f aca="false">IF($C40=0,"",H40/$C40)</f>
        <v>0.446808510638298</v>
      </c>
      <c r="U40" s="28" t="n">
        <f aca="false">IF($C40=0,"",I40/$C40)</f>
        <v>0.372340425531915</v>
      </c>
      <c r="V40" s="29" t="n">
        <f aca="false">IF($C40=0,"",K40/$C40)</f>
        <v>0.117021276595745</v>
      </c>
      <c r="W40" s="29" t="n">
        <f aca="false">IF($C40=0,"",M40/$C40)</f>
        <v>-0.184995744680851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105</v>
      </c>
      <c r="D41" s="26" t="n">
        <v>32</v>
      </c>
      <c r="E41" s="26" t="n">
        <v>32</v>
      </c>
      <c r="F41" s="26" t="n">
        <v>61</v>
      </c>
      <c r="G41" s="26" t="n">
        <v>53</v>
      </c>
      <c r="H41" s="26" t="n">
        <v>44</v>
      </c>
      <c r="I41" s="26" t="n">
        <v>32</v>
      </c>
      <c r="J41" s="26" t="n">
        <v>0</v>
      </c>
      <c r="K41" s="27" t="n">
        <v>-9</v>
      </c>
      <c r="L41" s="27" t="n">
        <v>12.5861</v>
      </c>
      <c r="M41" s="19" t="n">
        <f aca="false">K41-L41</f>
        <v>-21.5861</v>
      </c>
      <c r="N41" s="26" t="n">
        <v>5</v>
      </c>
      <c r="O41" s="26" t="n">
        <v>19</v>
      </c>
      <c r="P41" s="28" t="n">
        <f aca="false">IF($C41=0,"",D41/$C41)</f>
        <v>0.304761904761905</v>
      </c>
      <c r="Q41" s="28" t="n">
        <f aca="false">IF($C41=0,"",E41/$C41)</f>
        <v>0.304761904761905</v>
      </c>
      <c r="R41" s="28" t="n">
        <f aca="false">IF($C41=0,"",F41/$C41)</f>
        <v>0.580952380952381</v>
      </c>
      <c r="S41" s="28" t="n">
        <f aca="false">IF($C41=0,"",G41/$C41)</f>
        <v>0.504761904761905</v>
      </c>
      <c r="T41" s="28" t="n">
        <f aca="false">IF($C41=0,"",H41/$C41)</f>
        <v>0.419047619047619</v>
      </c>
      <c r="U41" s="28" t="n">
        <f aca="false">IF($C41=0,"",I41/$C41)</f>
        <v>0.304761904761905</v>
      </c>
      <c r="V41" s="29" t="n">
        <f aca="false">IF($C41=0,"",K41/$C41)</f>
        <v>-0.0857142857142857</v>
      </c>
      <c r="W41" s="29" t="n">
        <f aca="false">IF($C41=0,"",M41/$C41)</f>
        <v>-0.205581904761905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106</v>
      </c>
      <c r="D42" s="26" t="n">
        <v>37</v>
      </c>
      <c r="E42" s="26" t="n">
        <v>37</v>
      </c>
      <c r="F42" s="26" t="n">
        <v>68</v>
      </c>
      <c r="G42" s="26" t="n">
        <v>51</v>
      </c>
      <c r="H42" s="26" t="n">
        <v>42</v>
      </c>
      <c r="I42" s="26" t="n">
        <v>37</v>
      </c>
      <c r="J42" s="26" t="n">
        <v>0</v>
      </c>
      <c r="K42" s="27" t="n">
        <v>5</v>
      </c>
      <c r="L42" s="27" t="n">
        <v>11.8886</v>
      </c>
      <c r="M42" s="19" t="n">
        <f aca="false">K42-L42</f>
        <v>-6.8886</v>
      </c>
      <c r="N42" s="26" t="n">
        <v>4</v>
      </c>
      <c r="O42" s="26" t="n">
        <v>8</v>
      </c>
      <c r="P42" s="28" t="n">
        <f aca="false">IF($C42=0,"",D42/$C42)</f>
        <v>0.349056603773585</v>
      </c>
      <c r="Q42" s="28" t="n">
        <f aca="false">IF($C42=0,"",E42/$C42)</f>
        <v>0.349056603773585</v>
      </c>
      <c r="R42" s="28" t="n">
        <f aca="false">IF($C42=0,"",F42/$C42)</f>
        <v>0.641509433962264</v>
      </c>
      <c r="S42" s="28" t="n">
        <f aca="false">IF($C42=0,"",G42/$C42)</f>
        <v>0.481132075471698</v>
      </c>
      <c r="T42" s="28" t="n">
        <f aca="false">IF($C42=0,"",H42/$C42)</f>
        <v>0.39622641509434</v>
      </c>
      <c r="U42" s="28" t="n">
        <f aca="false">IF($C42=0,"",I42/$C42)</f>
        <v>0.349056603773585</v>
      </c>
      <c r="V42" s="29" t="n">
        <f aca="false">IF($C42=0,"",K42/$C42)</f>
        <v>0.0471698113207547</v>
      </c>
      <c r="W42" s="29" t="n">
        <f aca="false">IF($C42=0,"",M42/$C42)</f>
        <v>-0.0649867924528302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99</v>
      </c>
      <c r="D43" s="26" t="n">
        <v>29</v>
      </c>
      <c r="E43" s="26" t="n">
        <v>29</v>
      </c>
      <c r="F43" s="26" t="n">
        <v>53</v>
      </c>
      <c r="G43" s="26" t="n">
        <v>41</v>
      </c>
      <c r="H43" s="26" t="n">
        <v>35</v>
      </c>
      <c r="I43" s="26" t="n">
        <v>29</v>
      </c>
      <c r="J43" s="26" t="n">
        <v>0</v>
      </c>
      <c r="K43" s="27" t="n">
        <v>-12</v>
      </c>
      <c r="L43" s="27" t="n">
        <v>8.6031</v>
      </c>
      <c r="M43" s="19" t="n">
        <f aca="false">K43-L43</f>
        <v>-20.6031</v>
      </c>
      <c r="N43" s="26" t="n">
        <v>4</v>
      </c>
      <c r="O43" s="26" t="n">
        <v>12</v>
      </c>
      <c r="P43" s="28" t="n">
        <f aca="false">IF($C43=0,"",D43/$C43)</f>
        <v>0.292929292929293</v>
      </c>
      <c r="Q43" s="28" t="n">
        <f aca="false">IF($C43=0,"",E43/$C43)</f>
        <v>0.292929292929293</v>
      </c>
      <c r="R43" s="28" t="n">
        <f aca="false">IF($C43=0,"",F43/$C43)</f>
        <v>0.535353535353535</v>
      </c>
      <c r="S43" s="28" t="n">
        <f aca="false">IF($C43=0,"",G43/$C43)</f>
        <v>0.414141414141414</v>
      </c>
      <c r="T43" s="28" t="n">
        <f aca="false">IF($C43=0,"",H43/$C43)</f>
        <v>0.353535353535354</v>
      </c>
      <c r="U43" s="28" t="n">
        <f aca="false">IF($C43=0,"",I43/$C43)</f>
        <v>0.292929292929293</v>
      </c>
      <c r="V43" s="29" t="n">
        <f aca="false">IF($C43=0,"",K43/$C43)</f>
        <v>-0.121212121212121</v>
      </c>
      <c r="W43" s="29" t="n">
        <f aca="false">IF($C43=0,"",M43/$C43)</f>
        <v>-0.208112121212121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1199</v>
      </c>
      <c r="D44" s="30" t="n">
        <f aca="false">SUM(D32:D43)</f>
        <v>387</v>
      </c>
      <c r="E44" s="30" t="n">
        <f aca="false">SUM(E32:E43)</f>
        <v>387</v>
      </c>
      <c r="F44" s="30" t="n">
        <f aca="false">SUM(F32:F43)</f>
        <v>696</v>
      </c>
      <c r="G44" s="30" t="n">
        <f aca="false">SUM(G32:G43)</f>
        <v>570</v>
      </c>
      <c r="H44" s="30" t="n">
        <f aca="false">SUM(H32:H43)</f>
        <v>464</v>
      </c>
      <c r="I44" s="30" t="n">
        <f aca="false">SUM(I32:I43)</f>
        <v>387</v>
      </c>
      <c r="J44" s="30" t="n">
        <f aca="false">SUM(J32:J43)</f>
        <v>0</v>
      </c>
      <c r="K44" s="31" t="n">
        <f aca="false">SUM(K32:K43)</f>
        <v>-38</v>
      </c>
      <c r="L44" s="31" t="n">
        <f aca="false">SUM(L32:L43)</f>
        <v>211.41</v>
      </c>
      <c r="M44" s="31" t="n">
        <f aca="false">K44-L44</f>
        <v>-249.41</v>
      </c>
      <c r="N44" s="32" t="n">
        <v>5</v>
      </c>
      <c r="O44" s="32" t="n">
        <v>19</v>
      </c>
      <c r="P44" s="33" t="n">
        <f aca="false">IF($C44=0,"",D44/$C44)</f>
        <v>0.322768974145121</v>
      </c>
      <c r="Q44" s="33" t="n">
        <f aca="false">IF($C44=0,"",E44/$C44)</f>
        <v>0.322768974145121</v>
      </c>
      <c r="R44" s="33" t="n">
        <f aca="false">IF($C44=0,"",F44/$C44)</f>
        <v>0.580483736447039</v>
      </c>
      <c r="S44" s="33" t="n">
        <f aca="false">IF($C44=0,"",G44/$C44)</f>
        <v>0.475396163469558</v>
      </c>
      <c r="T44" s="33" t="n">
        <f aca="false">IF($C44=0,"",H44/$C44)</f>
        <v>0.38698915763136</v>
      </c>
      <c r="U44" s="33" t="n">
        <f aca="false">IF($C44=0,"",I44/$C44)</f>
        <v>0.322768974145121</v>
      </c>
      <c r="V44" s="34" t="n">
        <f aca="false">IF($C44=0,"",K44/$C44)</f>
        <v>-0.0316930775646372</v>
      </c>
      <c r="W44" s="34" t="n">
        <f aca="false">IF($C44=0,"",M44/$C44)</f>
        <v>-0.208015012510425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98</v>
      </c>
      <c r="D45" s="26" t="n">
        <v>35</v>
      </c>
      <c r="E45" s="26" t="n">
        <v>35</v>
      </c>
      <c r="F45" s="26" t="n">
        <v>63</v>
      </c>
      <c r="G45" s="26" t="n">
        <v>50</v>
      </c>
      <c r="H45" s="26" t="n">
        <v>41</v>
      </c>
      <c r="I45" s="26" t="n">
        <v>35</v>
      </c>
      <c r="J45" s="26" t="n">
        <v>0</v>
      </c>
      <c r="K45" s="27" t="n">
        <v>7</v>
      </c>
      <c r="L45" s="27" t="n">
        <v>7.1609</v>
      </c>
      <c r="M45" s="19" t="n">
        <f aca="false">K45-L45</f>
        <v>-0.1609</v>
      </c>
      <c r="N45" s="26" t="n">
        <v>3</v>
      </c>
      <c r="O45" s="26" t="n">
        <v>7</v>
      </c>
      <c r="P45" s="28" t="n">
        <f aca="false">IF($C45=0,"",D45/$C45)</f>
        <v>0.357142857142857</v>
      </c>
      <c r="Q45" s="28" t="n">
        <f aca="false">IF($C45=0,"",E45/$C45)</f>
        <v>0.357142857142857</v>
      </c>
      <c r="R45" s="28" t="n">
        <f aca="false">IF($C45=0,"",F45/$C45)</f>
        <v>0.642857142857143</v>
      </c>
      <c r="S45" s="28" t="n">
        <f aca="false">IF($C45=0,"",G45/$C45)</f>
        <v>0.510204081632653</v>
      </c>
      <c r="T45" s="28" t="n">
        <f aca="false">IF($C45=0,"",H45/$C45)</f>
        <v>0.418367346938776</v>
      </c>
      <c r="U45" s="28" t="n">
        <f aca="false">IF($C45=0,"",I45/$C45)</f>
        <v>0.357142857142857</v>
      </c>
      <c r="V45" s="29" t="n">
        <f aca="false">IF($C45=0,"",K45/$C45)</f>
        <v>0.0714285714285714</v>
      </c>
      <c r="W45" s="29" t="n">
        <f aca="false">IF($C45=0,"",M45/$C45)</f>
        <v>-0.00164183673469388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96</v>
      </c>
      <c r="D46" s="26" t="n">
        <v>35</v>
      </c>
      <c r="E46" s="26" t="n">
        <v>35</v>
      </c>
      <c r="F46" s="26" t="n">
        <v>59</v>
      </c>
      <c r="G46" s="26" t="n">
        <v>48</v>
      </c>
      <c r="H46" s="26" t="n">
        <v>40</v>
      </c>
      <c r="I46" s="26" t="n">
        <v>35</v>
      </c>
      <c r="J46" s="26" t="n">
        <v>0</v>
      </c>
      <c r="K46" s="27" t="n">
        <v>9</v>
      </c>
      <c r="L46" s="27" t="n">
        <v>10.0295</v>
      </c>
      <c r="M46" s="19" t="n">
        <f aca="false">K46-L46</f>
        <v>-1.0295</v>
      </c>
      <c r="N46" s="26" t="n">
        <v>3</v>
      </c>
      <c r="O46" s="26" t="n">
        <v>7</v>
      </c>
      <c r="P46" s="28" t="n">
        <f aca="false">IF($C46=0,"",D46/$C46)</f>
        <v>0.364583333333333</v>
      </c>
      <c r="Q46" s="28" t="n">
        <f aca="false">IF($C46=0,"",E46/$C46)</f>
        <v>0.364583333333333</v>
      </c>
      <c r="R46" s="28" t="n">
        <f aca="false">IF($C46=0,"",F46/$C46)</f>
        <v>0.614583333333333</v>
      </c>
      <c r="S46" s="28" t="n">
        <f aca="false">IF($C46=0,"",G46/$C46)</f>
        <v>0.5</v>
      </c>
      <c r="T46" s="28" t="n">
        <f aca="false">IF($C46=0,"",H46/$C46)</f>
        <v>0.416666666666667</v>
      </c>
      <c r="U46" s="28" t="n">
        <f aca="false">IF($C46=0,"",I46/$C46)</f>
        <v>0.364583333333333</v>
      </c>
      <c r="V46" s="29" t="n">
        <f aca="false">IF($C46=0,"",K46/$C46)</f>
        <v>0.09375</v>
      </c>
      <c r="W46" s="29" t="n">
        <f aca="false">IF($C46=0,"",M46/$C46)</f>
        <v>-0.0107239583333333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90</v>
      </c>
      <c r="D47" s="26" t="n">
        <v>27</v>
      </c>
      <c r="E47" s="26" t="n">
        <v>27</v>
      </c>
      <c r="F47" s="26" t="n">
        <v>51</v>
      </c>
      <c r="G47" s="26" t="n">
        <v>42</v>
      </c>
      <c r="H47" s="26" t="n">
        <v>33</v>
      </c>
      <c r="I47" s="26" t="n">
        <v>27</v>
      </c>
      <c r="J47" s="26" t="n">
        <v>0</v>
      </c>
      <c r="K47" s="27" t="n">
        <v>-9</v>
      </c>
      <c r="L47" s="27" t="n">
        <v>7.1207</v>
      </c>
      <c r="M47" s="19" t="n">
        <f aca="false">K47-L47</f>
        <v>-16.1207</v>
      </c>
      <c r="N47" s="26" t="n">
        <v>3</v>
      </c>
      <c r="O47" s="26" t="n">
        <v>13</v>
      </c>
      <c r="P47" s="28" t="n">
        <f aca="false">IF($C47=0,"",D47/$C47)</f>
        <v>0.3</v>
      </c>
      <c r="Q47" s="28" t="n">
        <f aca="false">IF($C47=0,"",E47/$C47)</f>
        <v>0.3</v>
      </c>
      <c r="R47" s="28" t="n">
        <f aca="false">IF($C47=0,"",F47/$C47)</f>
        <v>0.566666666666667</v>
      </c>
      <c r="S47" s="28" t="n">
        <f aca="false">IF($C47=0,"",G47/$C47)</f>
        <v>0.466666666666667</v>
      </c>
      <c r="T47" s="28" t="n">
        <f aca="false">IF($C47=0,"",H47/$C47)</f>
        <v>0.366666666666667</v>
      </c>
      <c r="U47" s="28" t="n">
        <f aca="false">IF($C47=0,"",I47/$C47)</f>
        <v>0.3</v>
      </c>
      <c r="V47" s="29" t="n">
        <f aca="false">IF($C47=0,"",K47/$C47)</f>
        <v>-0.1</v>
      </c>
      <c r="W47" s="29" t="n">
        <f aca="false">IF($C47=0,"",M47/$C47)</f>
        <v>-0.179118888888889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106</v>
      </c>
      <c r="D48" s="26" t="n">
        <v>35</v>
      </c>
      <c r="E48" s="26" t="n">
        <v>35</v>
      </c>
      <c r="F48" s="26" t="n">
        <v>66</v>
      </c>
      <c r="G48" s="26" t="n">
        <v>53</v>
      </c>
      <c r="H48" s="26" t="n">
        <v>42</v>
      </c>
      <c r="I48" s="26" t="n">
        <v>35</v>
      </c>
      <c r="J48" s="26" t="n">
        <v>0</v>
      </c>
      <c r="K48" s="27" t="n">
        <v>-1</v>
      </c>
      <c r="L48" s="27" t="n">
        <v>5.7744</v>
      </c>
      <c r="M48" s="19" t="n">
        <f aca="false">K48-L48</f>
        <v>-6.7744</v>
      </c>
      <c r="N48" s="26" t="n">
        <v>5</v>
      </c>
      <c r="O48" s="26" t="n">
        <v>11</v>
      </c>
      <c r="P48" s="28" t="n">
        <f aca="false">IF($C48=0,"",D48/$C48)</f>
        <v>0.330188679245283</v>
      </c>
      <c r="Q48" s="28" t="n">
        <f aca="false">IF($C48=0,"",E48/$C48)</f>
        <v>0.330188679245283</v>
      </c>
      <c r="R48" s="28" t="n">
        <f aca="false">IF($C48=0,"",F48/$C48)</f>
        <v>0.622641509433962</v>
      </c>
      <c r="S48" s="28" t="n">
        <f aca="false">IF($C48=0,"",G48/$C48)</f>
        <v>0.5</v>
      </c>
      <c r="T48" s="28" t="n">
        <f aca="false">IF($C48=0,"",H48/$C48)</f>
        <v>0.39622641509434</v>
      </c>
      <c r="U48" s="28" t="n">
        <f aca="false">IF($C48=0,"",I48/$C48)</f>
        <v>0.330188679245283</v>
      </c>
      <c r="V48" s="29" t="n">
        <f aca="false">IF($C48=0,"",K48/$C48)</f>
        <v>-0.00943396226415094</v>
      </c>
      <c r="W48" s="29" t="n">
        <f aca="false">IF($C48=0,"",M48/$C48)</f>
        <v>-0.0639094339622641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109</v>
      </c>
      <c r="D49" s="26" t="n">
        <v>37</v>
      </c>
      <c r="E49" s="26" t="n">
        <v>37</v>
      </c>
      <c r="F49" s="26" t="n">
        <v>62</v>
      </c>
      <c r="G49" s="26" t="n">
        <v>55</v>
      </c>
      <c r="H49" s="26" t="n">
        <v>46</v>
      </c>
      <c r="I49" s="26" t="n">
        <v>37</v>
      </c>
      <c r="J49" s="26" t="n">
        <v>0</v>
      </c>
      <c r="K49" s="27" t="n">
        <v>2</v>
      </c>
      <c r="L49" s="27" t="n">
        <v>6.4621</v>
      </c>
      <c r="M49" s="19" t="n">
        <f aca="false">K49-L49</f>
        <v>-4.4621</v>
      </c>
      <c r="N49" s="26" t="n">
        <v>4</v>
      </c>
      <c r="O49" s="26" t="n">
        <v>11</v>
      </c>
      <c r="P49" s="28" t="n">
        <f aca="false">IF($C49=0,"",D49/$C49)</f>
        <v>0.339449541284404</v>
      </c>
      <c r="Q49" s="28" t="n">
        <f aca="false">IF($C49=0,"",E49/$C49)</f>
        <v>0.339449541284404</v>
      </c>
      <c r="R49" s="28" t="n">
        <f aca="false">IF($C49=0,"",F49/$C49)</f>
        <v>0.568807339449541</v>
      </c>
      <c r="S49" s="28" t="n">
        <f aca="false">IF($C49=0,"",G49/$C49)</f>
        <v>0.504587155963303</v>
      </c>
      <c r="T49" s="28" t="n">
        <f aca="false">IF($C49=0,"",H49/$C49)</f>
        <v>0.422018348623853</v>
      </c>
      <c r="U49" s="28" t="n">
        <f aca="false">IF($C49=0,"",I49/$C49)</f>
        <v>0.339449541284404</v>
      </c>
      <c r="V49" s="29" t="n">
        <f aca="false">IF($C49=0,"",K49/$C49)</f>
        <v>0.018348623853211</v>
      </c>
      <c r="W49" s="29" t="n">
        <f aca="false">IF($C49=0,"",M49/$C49)</f>
        <v>-0.0409366972477064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95</v>
      </c>
      <c r="D50" s="26" t="n">
        <v>22</v>
      </c>
      <c r="E50" s="26" t="n">
        <v>22</v>
      </c>
      <c r="F50" s="26" t="n">
        <v>52</v>
      </c>
      <c r="G50" s="26" t="n">
        <v>38</v>
      </c>
      <c r="H50" s="26" t="n">
        <v>31</v>
      </c>
      <c r="I50" s="26" t="n">
        <v>22</v>
      </c>
      <c r="J50" s="26" t="n">
        <v>0</v>
      </c>
      <c r="K50" s="27" t="n">
        <v>-29</v>
      </c>
      <c r="L50" s="27" t="n">
        <v>6.3999</v>
      </c>
      <c r="M50" s="19" t="n">
        <f aca="false">K50-L50</f>
        <v>-35.3999</v>
      </c>
      <c r="N50" s="26" t="n">
        <v>3</v>
      </c>
      <c r="O50" s="26" t="n">
        <v>10</v>
      </c>
      <c r="P50" s="28" t="n">
        <f aca="false">IF($C50=0,"",D50/$C50)</f>
        <v>0.231578947368421</v>
      </c>
      <c r="Q50" s="28" t="n">
        <f aca="false">IF($C50=0,"",E50/$C50)</f>
        <v>0.231578947368421</v>
      </c>
      <c r="R50" s="28" t="n">
        <f aca="false">IF($C50=0,"",F50/$C50)</f>
        <v>0.547368421052632</v>
      </c>
      <c r="S50" s="28" t="n">
        <f aca="false">IF($C50=0,"",G50/$C50)</f>
        <v>0.4</v>
      </c>
      <c r="T50" s="28" t="n">
        <f aca="false">IF($C50=0,"",H50/$C50)</f>
        <v>0.326315789473684</v>
      </c>
      <c r="U50" s="28" t="n">
        <f aca="false">IF($C50=0,"",I50/$C50)</f>
        <v>0.231578947368421</v>
      </c>
      <c r="V50" s="29" t="n">
        <f aca="false">IF($C50=0,"",K50/$C50)</f>
        <v>-0.305263157894737</v>
      </c>
      <c r="W50" s="29" t="n">
        <f aca="false">IF($C50=0,"",M50/$C50)</f>
        <v>-0.37263052631579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110</v>
      </c>
      <c r="D51" s="26" t="n">
        <v>38</v>
      </c>
      <c r="E51" s="26" t="n">
        <v>38</v>
      </c>
      <c r="F51" s="26" t="n">
        <v>71</v>
      </c>
      <c r="G51" s="26" t="n">
        <v>55</v>
      </c>
      <c r="H51" s="26" t="n">
        <v>44</v>
      </c>
      <c r="I51" s="26" t="n">
        <v>38</v>
      </c>
      <c r="J51" s="26" t="n">
        <v>0</v>
      </c>
      <c r="K51" s="27" t="n">
        <v>4</v>
      </c>
      <c r="L51" s="27" t="n">
        <v>8.5986</v>
      </c>
      <c r="M51" s="19" t="n">
        <f aca="false">K51-L51</f>
        <v>-4.5986</v>
      </c>
      <c r="N51" s="26" t="n">
        <v>3</v>
      </c>
      <c r="O51" s="26" t="n">
        <v>10</v>
      </c>
      <c r="P51" s="28" t="n">
        <f aca="false">IF($C51=0,"",D51/$C51)</f>
        <v>0.345454545454545</v>
      </c>
      <c r="Q51" s="28" t="n">
        <f aca="false">IF($C51=0,"",E51/$C51)</f>
        <v>0.345454545454545</v>
      </c>
      <c r="R51" s="28" t="n">
        <f aca="false">IF($C51=0,"",F51/$C51)</f>
        <v>0.645454545454546</v>
      </c>
      <c r="S51" s="28" t="n">
        <f aca="false">IF($C51=0,"",G51/$C51)</f>
        <v>0.5</v>
      </c>
      <c r="T51" s="28" t="n">
        <f aca="false">IF($C51=0,"",H51/$C51)</f>
        <v>0.4</v>
      </c>
      <c r="U51" s="28" t="n">
        <f aca="false">IF($C51=0,"",I51/$C51)</f>
        <v>0.345454545454545</v>
      </c>
      <c r="V51" s="29" t="n">
        <f aca="false">IF($C51=0,"",K51/$C51)</f>
        <v>0.0363636363636364</v>
      </c>
      <c r="W51" s="29" t="n">
        <f aca="false">IF($C51=0,"",M51/$C51)</f>
        <v>-0.0418054545454545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104</v>
      </c>
      <c r="D52" s="26" t="n">
        <v>40</v>
      </c>
      <c r="E52" s="26" t="n">
        <v>40</v>
      </c>
      <c r="F52" s="26" t="n">
        <v>66</v>
      </c>
      <c r="G52" s="26" t="n">
        <v>54</v>
      </c>
      <c r="H52" s="26" t="n">
        <v>46</v>
      </c>
      <c r="I52" s="26" t="n">
        <v>40</v>
      </c>
      <c r="J52" s="26" t="n">
        <v>0</v>
      </c>
      <c r="K52" s="27" t="n">
        <v>16</v>
      </c>
      <c r="L52" s="27" t="n">
        <v>6.5427</v>
      </c>
      <c r="M52" s="19" t="n">
        <f aca="false">K52-L52</f>
        <v>9.4573</v>
      </c>
      <c r="N52" s="26" t="n">
        <v>4</v>
      </c>
      <c r="O52" s="26" t="n">
        <v>9</v>
      </c>
      <c r="P52" s="28" t="n">
        <f aca="false">IF($C52=0,"",D52/$C52)</f>
        <v>0.384615384615385</v>
      </c>
      <c r="Q52" s="28" t="n">
        <f aca="false">IF($C52=0,"",E52/$C52)</f>
        <v>0.384615384615385</v>
      </c>
      <c r="R52" s="28" t="n">
        <f aca="false">IF($C52=0,"",F52/$C52)</f>
        <v>0.634615384615385</v>
      </c>
      <c r="S52" s="28" t="n">
        <f aca="false">IF($C52=0,"",G52/$C52)</f>
        <v>0.519230769230769</v>
      </c>
      <c r="T52" s="28" t="n">
        <f aca="false">IF($C52=0,"",H52/$C52)</f>
        <v>0.442307692307692</v>
      </c>
      <c r="U52" s="28" t="n">
        <f aca="false">IF($C52=0,"",I52/$C52)</f>
        <v>0.384615384615385</v>
      </c>
      <c r="V52" s="29" t="n">
        <f aca="false">IF($C52=0,"",K52/$C52)</f>
        <v>0.153846153846154</v>
      </c>
      <c r="W52" s="29" t="n">
        <f aca="false">IF($C52=0,"",M52/$C52)</f>
        <v>0.0909355769230769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93</v>
      </c>
      <c r="D53" s="26" t="n">
        <v>28</v>
      </c>
      <c r="E53" s="26" t="n">
        <v>28</v>
      </c>
      <c r="F53" s="26" t="n">
        <v>57</v>
      </c>
      <c r="G53" s="26" t="n">
        <v>42</v>
      </c>
      <c r="H53" s="26" t="n">
        <v>35</v>
      </c>
      <c r="I53" s="26" t="n">
        <v>28</v>
      </c>
      <c r="J53" s="26" t="n">
        <v>0</v>
      </c>
      <c r="K53" s="27" t="n">
        <v>-9</v>
      </c>
      <c r="L53" s="27" t="n">
        <v>7.2287</v>
      </c>
      <c r="M53" s="19" t="n">
        <f aca="false">K53-L53</f>
        <v>-16.2287</v>
      </c>
      <c r="N53" s="26" t="n">
        <v>5</v>
      </c>
      <c r="O53" s="26" t="n">
        <v>9</v>
      </c>
      <c r="P53" s="28" t="n">
        <f aca="false">IF($C53=0,"",D53/$C53)</f>
        <v>0.301075268817204</v>
      </c>
      <c r="Q53" s="28" t="n">
        <f aca="false">IF($C53=0,"",E53/$C53)</f>
        <v>0.301075268817204</v>
      </c>
      <c r="R53" s="28" t="n">
        <f aca="false">IF($C53=0,"",F53/$C53)</f>
        <v>0.612903225806452</v>
      </c>
      <c r="S53" s="28" t="n">
        <f aca="false">IF($C53=0,"",G53/$C53)</f>
        <v>0.451612903225806</v>
      </c>
      <c r="T53" s="28" t="n">
        <f aca="false">IF($C53=0,"",H53/$C53)</f>
        <v>0.376344086021505</v>
      </c>
      <c r="U53" s="28" t="n">
        <f aca="false">IF($C53=0,"",I53/$C53)</f>
        <v>0.301075268817204</v>
      </c>
      <c r="V53" s="29" t="n">
        <f aca="false">IF($C53=0,"",K53/$C53)</f>
        <v>-0.0967741935483871</v>
      </c>
      <c r="W53" s="29" t="n">
        <f aca="false">IF($C53=0,"",M53/$C53)</f>
        <v>-0.174502150537634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110</v>
      </c>
      <c r="D54" s="26" t="n">
        <v>37</v>
      </c>
      <c r="E54" s="26" t="n">
        <v>37</v>
      </c>
      <c r="F54" s="26" t="n">
        <v>72</v>
      </c>
      <c r="G54" s="26" t="n">
        <v>59</v>
      </c>
      <c r="H54" s="26" t="n">
        <v>46</v>
      </c>
      <c r="I54" s="26" t="n">
        <v>37</v>
      </c>
      <c r="J54" s="26" t="n">
        <v>0</v>
      </c>
      <c r="K54" s="27" t="n">
        <v>1</v>
      </c>
      <c r="L54" s="27" t="n">
        <v>8.8119</v>
      </c>
      <c r="M54" s="19" t="n">
        <f aca="false">K54-L54</f>
        <v>-7.8119</v>
      </c>
      <c r="N54" s="26" t="n">
        <v>4</v>
      </c>
      <c r="O54" s="26" t="n">
        <v>10</v>
      </c>
      <c r="P54" s="28" t="n">
        <f aca="false">IF($C54=0,"",D54/$C54)</f>
        <v>0.336363636363636</v>
      </c>
      <c r="Q54" s="28" t="n">
        <f aca="false">IF($C54=0,"",E54/$C54)</f>
        <v>0.336363636363636</v>
      </c>
      <c r="R54" s="28" t="n">
        <f aca="false">IF($C54=0,"",F54/$C54)</f>
        <v>0.654545454545455</v>
      </c>
      <c r="S54" s="28" t="n">
        <f aca="false">IF($C54=0,"",G54/$C54)</f>
        <v>0.536363636363636</v>
      </c>
      <c r="T54" s="28" t="n">
        <f aca="false">IF($C54=0,"",H54/$C54)</f>
        <v>0.418181818181818</v>
      </c>
      <c r="U54" s="28" t="n">
        <f aca="false">IF($C54=0,"",I54/$C54)</f>
        <v>0.336363636363636</v>
      </c>
      <c r="V54" s="29" t="n">
        <f aca="false">IF($C54=0,"",K54/$C54)</f>
        <v>0.00909090909090909</v>
      </c>
      <c r="W54" s="29" t="n">
        <f aca="false">IF($C54=0,"",M54/$C54)</f>
        <v>-0.0710172727272727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101</v>
      </c>
      <c r="D55" s="26" t="n">
        <v>40</v>
      </c>
      <c r="E55" s="26" t="n">
        <v>40</v>
      </c>
      <c r="F55" s="26" t="n">
        <v>67</v>
      </c>
      <c r="G55" s="26" t="n">
        <v>54</v>
      </c>
      <c r="H55" s="26" t="n">
        <v>46</v>
      </c>
      <c r="I55" s="26" t="n">
        <v>40</v>
      </c>
      <c r="J55" s="26" t="n">
        <v>0</v>
      </c>
      <c r="K55" s="27" t="n">
        <v>19</v>
      </c>
      <c r="L55" s="27" t="n">
        <v>4.8021</v>
      </c>
      <c r="M55" s="19" t="n">
        <f aca="false">K55-L55</f>
        <v>14.1979</v>
      </c>
      <c r="N55" s="26" t="n">
        <v>4</v>
      </c>
      <c r="O55" s="26" t="n">
        <v>4</v>
      </c>
      <c r="P55" s="28" t="n">
        <f aca="false">IF($C55=0,"",D55/$C55)</f>
        <v>0.396039603960396</v>
      </c>
      <c r="Q55" s="28" t="n">
        <f aca="false">IF($C55=0,"",E55/$C55)</f>
        <v>0.396039603960396</v>
      </c>
      <c r="R55" s="28" t="n">
        <f aca="false">IF($C55=0,"",F55/$C55)</f>
        <v>0.663366336633663</v>
      </c>
      <c r="S55" s="28" t="n">
        <f aca="false">IF($C55=0,"",G55/$C55)</f>
        <v>0.534653465346535</v>
      </c>
      <c r="T55" s="28" t="n">
        <f aca="false">IF($C55=0,"",H55/$C55)</f>
        <v>0.455445544554455</v>
      </c>
      <c r="U55" s="28" t="n">
        <f aca="false">IF($C55=0,"",I55/$C55)</f>
        <v>0.396039603960396</v>
      </c>
      <c r="V55" s="29" t="n">
        <f aca="false">IF($C55=0,"",K55/$C55)</f>
        <v>0.188118811881188</v>
      </c>
      <c r="W55" s="29" t="n">
        <f aca="false">IF($C55=0,"",M55/$C55)</f>
        <v>0.140573267326733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100</v>
      </c>
      <c r="D56" s="26" t="n">
        <v>35</v>
      </c>
      <c r="E56" s="26" t="n">
        <v>35</v>
      </c>
      <c r="F56" s="26" t="n">
        <v>68</v>
      </c>
      <c r="G56" s="26" t="n">
        <v>54</v>
      </c>
      <c r="H56" s="26" t="n">
        <v>44</v>
      </c>
      <c r="I56" s="26" t="n">
        <v>35</v>
      </c>
      <c r="J56" s="26" t="n">
        <v>0</v>
      </c>
      <c r="K56" s="27" t="n">
        <v>5</v>
      </c>
      <c r="L56" s="27" t="n">
        <v>5.0752</v>
      </c>
      <c r="M56" s="19" t="n">
        <f aca="false">K56-L56</f>
        <v>-0.0751999999999997</v>
      </c>
      <c r="N56" s="26" t="n">
        <v>3</v>
      </c>
      <c r="O56" s="26" t="n">
        <v>8</v>
      </c>
      <c r="P56" s="28" t="n">
        <f aca="false">IF($C56=0,"",D56/$C56)</f>
        <v>0.35</v>
      </c>
      <c r="Q56" s="28" t="n">
        <f aca="false">IF($C56=0,"",E56/$C56)</f>
        <v>0.35</v>
      </c>
      <c r="R56" s="28" t="n">
        <f aca="false">IF($C56=0,"",F56/$C56)</f>
        <v>0.68</v>
      </c>
      <c r="S56" s="28" t="n">
        <f aca="false">IF($C56=0,"",G56/$C56)</f>
        <v>0.54</v>
      </c>
      <c r="T56" s="28" t="n">
        <f aca="false">IF($C56=0,"",H56/$C56)</f>
        <v>0.44</v>
      </c>
      <c r="U56" s="28" t="n">
        <f aca="false">IF($C56=0,"",I56/$C56)</f>
        <v>0.35</v>
      </c>
      <c r="V56" s="29" t="n">
        <f aca="false">IF($C56=0,"",K56/$C56)</f>
        <v>0.05</v>
      </c>
      <c r="W56" s="29" t="n">
        <f aca="false">IF($C56=0,"",M56/$C56)</f>
        <v>-0.000751999999999997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1212</v>
      </c>
      <c r="D57" s="30" t="n">
        <f aca="false">SUM(D45:D56)</f>
        <v>409</v>
      </c>
      <c r="E57" s="30" t="n">
        <f aca="false">SUM(E45:E56)</f>
        <v>409</v>
      </c>
      <c r="F57" s="30" t="n">
        <f aca="false">SUM(F45:F56)</f>
        <v>754</v>
      </c>
      <c r="G57" s="30" t="n">
        <f aca="false">SUM(G45:G56)</f>
        <v>604</v>
      </c>
      <c r="H57" s="30" t="n">
        <f aca="false">SUM(H45:H56)</f>
        <v>494</v>
      </c>
      <c r="I57" s="30" t="n">
        <f aca="false">SUM(I45:I56)</f>
        <v>409</v>
      </c>
      <c r="J57" s="30" t="n">
        <f aca="false">SUM(J45:J56)</f>
        <v>0</v>
      </c>
      <c r="K57" s="31" t="n">
        <f aca="false">SUM(K45:K56)</f>
        <v>15</v>
      </c>
      <c r="L57" s="31" t="n">
        <f aca="false">SUM(L45:L56)</f>
        <v>84.0067</v>
      </c>
      <c r="M57" s="31" t="n">
        <f aca="false">K57-L57</f>
        <v>-69.0067</v>
      </c>
      <c r="N57" s="32" t="n">
        <v>5</v>
      </c>
      <c r="O57" s="32" t="n">
        <v>13</v>
      </c>
      <c r="P57" s="33" t="n">
        <f aca="false">IF($C57=0,"",D57/$C57)</f>
        <v>0.337458745874587</v>
      </c>
      <c r="Q57" s="33" t="n">
        <f aca="false">IF($C57=0,"",E57/$C57)</f>
        <v>0.337458745874587</v>
      </c>
      <c r="R57" s="33" t="n">
        <f aca="false">IF($C57=0,"",F57/$C57)</f>
        <v>0.622112211221122</v>
      </c>
      <c r="S57" s="33" t="n">
        <f aca="false">IF($C57=0,"",G57/$C57)</f>
        <v>0.498349834983498</v>
      </c>
      <c r="T57" s="33" t="n">
        <f aca="false">IF($C57=0,"",H57/$C57)</f>
        <v>0.407590759075908</v>
      </c>
      <c r="U57" s="33" t="n">
        <f aca="false">IF($C57=0,"",I57/$C57)</f>
        <v>0.337458745874587</v>
      </c>
      <c r="V57" s="34" t="n">
        <f aca="false">IF($C57=0,"",K57/$C57)</f>
        <v>0.0123762376237624</v>
      </c>
      <c r="W57" s="34" t="n">
        <f aca="false">IF($C57=0,"",M57/$C57)</f>
        <v>-0.0569362211221122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105</v>
      </c>
      <c r="D58" s="26" t="n">
        <v>36</v>
      </c>
      <c r="E58" s="26" t="n">
        <v>36</v>
      </c>
      <c r="F58" s="26" t="n">
        <v>62</v>
      </c>
      <c r="G58" s="26" t="n">
        <v>51</v>
      </c>
      <c r="H58" s="26" t="n">
        <v>42</v>
      </c>
      <c r="I58" s="26" t="n">
        <v>36</v>
      </c>
      <c r="J58" s="26" t="n">
        <v>0</v>
      </c>
      <c r="K58" s="27" t="n">
        <v>3</v>
      </c>
      <c r="L58" s="27" t="n">
        <v>5.9683</v>
      </c>
      <c r="M58" s="19" t="n">
        <f aca="false">K58-L58</f>
        <v>-2.9683</v>
      </c>
      <c r="N58" s="26" t="n">
        <v>4</v>
      </c>
      <c r="O58" s="26" t="n">
        <v>8</v>
      </c>
      <c r="P58" s="28" t="n">
        <f aca="false">IF($C58=0,"",D58/$C58)</f>
        <v>0.342857142857143</v>
      </c>
      <c r="Q58" s="28" t="n">
        <f aca="false">IF($C58=0,"",E58/$C58)</f>
        <v>0.342857142857143</v>
      </c>
      <c r="R58" s="28" t="n">
        <f aca="false">IF($C58=0,"",F58/$C58)</f>
        <v>0.590476190476191</v>
      </c>
      <c r="S58" s="28" t="n">
        <f aca="false">IF($C58=0,"",G58/$C58)</f>
        <v>0.485714285714286</v>
      </c>
      <c r="T58" s="28" t="n">
        <f aca="false">IF($C58=0,"",H58/$C58)</f>
        <v>0.4</v>
      </c>
      <c r="U58" s="28" t="n">
        <f aca="false">IF($C58=0,"",I58/$C58)</f>
        <v>0.342857142857143</v>
      </c>
      <c r="V58" s="29" t="n">
        <f aca="false">IF($C58=0,"",K58/$C58)</f>
        <v>0.0285714285714286</v>
      </c>
      <c r="W58" s="29" t="n">
        <f aca="false">IF($C58=0,"",M58/$C58)</f>
        <v>-0.0282695238095238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88</v>
      </c>
      <c r="D59" s="26" t="n">
        <v>37</v>
      </c>
      <c r="E59" s="26" t="n">
        <v>37</v>
      </c>
      <c r="F59" s="26" t="n">
        <v>60</v>
      </c>
      <c r="G59" s="26" t="n">
        <v>53</v>
      </c>
      <c r="H59" s="26" t="n">
        <v>43</v>
      </c>
      <c r="I59" s="26" t="n">
        <v>37</v>
      </c>
      <c r="J59" s="26" t="n">
        <v>0</v>
      </c>
      <c r="K59" s="27" t="n">
        <v>23</v>
      </c>
      <c r="L59" s="27" t="n">
        <v>4.0639</v>
      </c>
      <c r="M59" s="19" t="n">
        <f aca="false">K59-L59</f>
        <v>18.9361</v>
      </c>
      <c r="N59" s="26" t="n">
        <v>4</v>
      </c>
      <c r="O59" s="26" t="n">
        <v>8</v>
      </c>
      <c r="P59" s="28" t="n">
        <f aca="false">IF($C59=0,"",D59/$C59)</f>
        <v>0.420454545454545</v>
      </c>
      <c r="Q59" s="28" t="n">
        <f aca="false">IF($C59=0,"",E59/$C59)</f>
        <v>0.420454545454545</v>
      </c>
      <c r="R59" s="28" t="n">
        <f aca="false">IF($C59=0,"",F59/$C59)</f>
        <v>0.681818181818182</v>
      </c>
      <c r="S59" s="28" t="n">
        <f aca="false">IF($C59=0,"",G59/$C59)</f>
        <v>0.602272727272727</v>
      </c>
      <c r="T59" s="28" t="n">
        <f aca="false">IF($C59=0,"",H59/$C59)</f>
        <v>0.488636363636364</v>
      </c>
      <c r="U59" s="28" t="n">
        <f aca="false">IF($C59=0,"",I59/$C59)</f>
        <v>0.420454545454545</v>
      </c>
      <c r="V59" s="29" t="n">
        <f aca="false">IF($C59=0,"",K59/$C59)</f>
        <v>0.261363636363636</v>
      </c>
      <c r="W59" s="29" t="n">
        <f aca="false">IF($C59=0,"",M59/$C59)</f>
        <v>0.215182954545455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98</v>
      </c>
      <c r="D60" s="26" t="n">
        <v>33</v>
      </c>
      <c r="E60" s="26" t="n">
        <v>33</v>
      </c>
      <c r="F60" s="26" t="n">
        <v>65</v>
      </c>
      <c r="G60" s="26" t="n">
        <v>51</v>
      </c>
      <c r="H60" s="26" t="n">
        <v>43</v>
      </c>
      <c r="I60" s="26" t="n">
        <v>33</v>
      </c>
      <c r="J60" s="26" t="n">
        <v>0</v>
      </c>
      <c r="K60" s="27" t="n">
        <v>1</v>
      </c>
      <c r="L60" s="27" t="n">
        <v>4.7845</v>
      </c>
      <c r="M60" s="19" t="n">
        <f aca="false">K60-L60</f>
        <v>-3.7845</v>
      </c>
      <c r="N60" s="26" t="n">
        <v>4</v>
      </c>
      <c r="O60" s="26" t="n">
        <v>8</v>
      </c>
      <c r="P60" s="28" t="n">
        <f aca="false">IF($C60=0,"",D60/$C60)</f>
        <v>0.336734693877551</v>
      </c>
      <c r="Q60" s="28" t="n">
        <f aca="false">IF($C60=0,"",E60/$C60)</f>
        <v>0.336734693877551</v>
      </c>
      <c r="R60" s="28" t="n">
        <f aca="false">IF($C60=0,"",F60/$C60)</f>
        <v>0.663265306122449</v>
      </c>
      <c r="S60" s="28" t="n">
        <f aca="false">IF($C60=0,"",G60/$C60)</f>
        <v>0.520408163265306</v>
      </c>
      <c r="T60" s="28" t="n">
        <f aca="false">IF($C60=0,"",H60/$C60)</f>
        <v>0.438775510204082</v>
      </c>
      <c r="U60" s="28" t="n">
        <f aca="false">IF($C60=0,"",I60/$C60)</f>
        <v>0.336734693877551</v>
      </c>
      <c r="V60" s="29" t="n">
        <f aca="false">IF($C60=0,"",K60/$C60)</f>
        <v>0.0102040816326531</v>
      </c>
      <c r="W60" s="29" t="n">
        <f aca="false">IF($C60=0,"",M60/$C60)</f>
        <v>-0.0386173469387755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102</v>
      </c>
      <c r="D61" s="26" t="n">
        <v>31</v>
      </c>
      <c r="E61" s="26" t="n">
        <v>31</v>
      </c>
      <c r="F61" s="26" t="n">
        <v>65</v>
      </c>
      <c r="G61" s="26" t="n">
        <v>51</v>
      </c>
      <c r="H61" s="26" t="n">
        <v>38</v>
      </c>
      <c r="I61" s="26" t="n">
        <v>31</v>
      </c>
      <c r="J61" s="26" t="n">
        <v>0</v>
      </c>
      <c r="K61" s="27" t="n">
        <v>-9</v>
      </c>
      <c r="L61" s="27" t="n">
        <v>2.3172</v>
      </c>
      <c r="M61" s="19" t="n">
        <f aca="false">K61-L61</f>
        <v>-11.3172</v>
      </c>
      <c r="N61" s="26" t="n">
        <v>4</v>
      </c>
      <c r="O61" s="26" t="n">
        <v>14</v>
      </c>
      <c r="P61" s="28" t="n">
        <f aca="false">IF($C61=0,"",D61/$C61)</f>
        <v>0.303921568627451</v>
      </c>
      <c r="Q61" s="28" t="n">
        <f aca="false">IF($C61=0,"",E61/$C61)</f>
        <v>0.303921568627451</v>
      </c>
      <c r="R61" s="28" t="n">
        <f aca="false">IF($C61=0,"",F61/$C61)</f>
        <v>0.637254901960784</v>
      </c>
      <c r="S61" s="28" t="n">
        <f aca="false">IF($C61=0,"",G61/$C61)</f>
        <v>0.5</v>
      </c>
      <c r="T61" s="28" t="n">
        <f aca="false">IF($C61=0,"",H61/$C61)</f>
        <v>0.372549019607843</v>
      </c>
      <c r="U61" s="28" t="n">
        <f aca="false">IF($C61=0,"",I61/$C61)</f>
        <v>0.303921568627451</v>
      </c>
      <c r="V61" s="29" t="n">
        <f aca="false">IF($C61=0,"",K61/$C61)</f>
        <v>-0.0882352941176471</v>
      </c>
      <c r="W61" s="29" t="n">
        <f aca="false">IF($C61=0,"",M61/$C61)</f>
        <v>-0.110952941176471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106</v>
      </c>
      <c r="D62" s="26" t="n">
        <v>34</v>
      </c>
      <c r="E62" s="26" t="n">
        <v>34</v>
      </c>
      <c r="F62" s="26" t="n">
        <v>59</v>
      </c>
      <c r="G62" s="26" t="n">
        <v>47</v>
      </c>
      <c r="H62" s="26" t="n">
        <v>40</v>
      </c>
      <c r="I62" s="26" t="n">
        <v>34</v>
      </c>
      <c r="J62" s="26" t="n">
        <v>0</v>
      </c>
      <c r="K62" s="27" t="n">
        <v>-4</v>
      </c>
      <c r="L62" s="27" t="n">
        <v>3.0332</v>
      </c>
      <c r="M62" s="19" t="n">
        <f aca="false">K62-L62</f>
        <v>-7.0332</v>
      </c>
      <c r="N62" s="26" t="n">
        <v>5</v>
      </c>
      <c r="O62" s="26" t="n">
        <v>9</v>
      </c>
      <c r="P62" s="28" t="n">
        <f aca="false">IF($C62=0,"",D62/$C62)</f>
        <v>0.320754716981132</v>
      </c>
      <c r="Q62" s="28" t="n">
        <f aca="false">IF($C62=0,"",E62/$C62)</f>
        <v>0.320754716981132</v>
      </c>
      <c r="R62" s="28" t="n">
        <f aca="false">IF($C62=0,"",F62/$C62)</f>
        <v>0.556603773584906</v>
      </c>
      <c r="S62" s="28" t="n">
        <f aca="false">IF($C62=0,"",G62/$C62)</f>
        <v>0.443396226415094</v>
      </c>
      <c r="T62" s="28" t="n">
        <f aca="false">IF($C62=0,"",H62/$C62)</f>
        <v>0.377358490566038</v>
      </c>
      <c r="U62" s="28" t="n">
        <f aca="false">IF($C62=0,"",I62/$C62)</f>
        <v>0.320754716981132</v>
      </c>
      <c r="V62" s="29" t="n">
        <f aca="false">IF($C62=0,"",K62/$C62)</f>
        <v>-0.0377358490566038</v>
      </c>
      <c r="W62" s="29" t="n">
        <f aca="false">IF($C62=0,"",M62/$C62)</f>
        <v>-0.0663509433962264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103</v>
      </c>
      <c r="D63" s="26" t="n">
        <v>39</v>
      </c>
      <c r="E63" s="26" t="n">
        <v>39</v>
      </c>
      <c r="F63" s="26" t="n">
        <v>67</v>
      </c>
      <c r="G63" s="26" t="n">
        <v>55</v>
      </c>
      <c r="H63" s="26" t="n">
        <v>44</v>
      </c>
      <c r="I63" s="26" t="n">
        <v>39</v>
      </c>
      <c r="J63" s="26" t="n">
        <v>0</v>
      </c>
      <c r="K63" s="27" t="n">
        <v>14</v>
      </c>
      <c r="L63" s="27" t="n">
        <v>3.7317</v>
      </c>
      <c r="M63" s="19" t="n">
        <f aca="false">K63-L63</f>
        <v>10.2683</v>
      </c>
      <c r="N63" s="26" t="n">
        <v>4</v>
      </c>
      <c r="O63" s="26" t="n">
        <v>9</v>
      </c>
      <c r="P63" s="28" t="n">
        <f aca="false">IF($C63=0,"",D63/$C63)</f>
        <v>0.378640776699029</v>
      </c>
      <c r="Q63" s="28" t="n">
        <f aca="false">IF($C63=0,"",E63/$C63)</f>
        <v>0.378640776699029</v>
      </c>
      <c r="R63" s="28" t="n">
        <f aca="false">IF($C63=0,"",F63/$C63)</f>
        <v>0.650485436893204</v>
      </c>
      <c r="S63" s="28" t="n">
        <f aca="false">IF($C63=0,"",G63/$C63)</f>
        <v>0.533980582524272</v>
      </c>
      <c r="T63" s="28" t="n">
        <f aca="false">IF($C63=0,"",H63/$C63)</f>
        <v>0.427184466019417</v>
      </c>
      <c r="U63" s="28" t="n">
        <f aca="false">IF($C63=0,"",I63/$C63)</f>
        <v>0.378640776699029</v>
      </c>
      <c r="V63" s="29" t="n">
        <f aca="false">IF($C63=0,"",K63/$C63)</f>
        <v>0.135922330097087</v>
      </c>
      <c r="W63" s="29" t="n">
        <f aca="false">IF($C63=0,"",M63/$C63)</f>
        <v>0.0996922330097087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108</v>
      </c>
      <c r="D64" s="26" t="n">
        <v>41</v>
      </c>
      <c r="E64" s="26" t="n">
        <v>41</v>
      </c>
      <c r="F64" s="26" t="n">
        <v>68</v>
      </c>
      <c r="G64" s="26" t="n">
        <v>57</v>
      </c>
      <c r="H64" s="26" t="n">
        <v>44</v>
      </c>
      <c r="I64" s="26" t="n">
        <v>41</v>
      </c>
      <c r="J64" s="26" t="n">
        <v>0</v>
      </c>
      <c r="K64" s="27" t="n">
        <v>15</v>
      </c>
      <c r="L64" s="27" t="n">
        <v>4.7603</v>
      </c>
      <c r="M64" s="19" t="n">
        <f aca="false">K64-L64</f>
        <v>10.2397</v>
      </c>
      <c r="N64" s="26" t="n">
        <v>5</v>
      </c>
      <c r="O64" s="26" t="n">
        <v>8</v>
      </c>
      <c r="P64" s="28" t="n">
        <f aca="false">IF($C64=0,"",D64/$C64)</f>
        <v>0.37962962962963</v>
      </c>
      <c r="Q64" s="28" t="n">
        <f aca="false">IF($C64=0,"",E64/$C64)</f>
        <v>0.37962962962963</v>
      </c>
      <c r="R64" s="28" t="n">
        <f aca="false">IF($C64=0,"",F64/$C64)</f>
        <v>0.62962962962963</v>
      </c>
      <c r="S64" s="28" t="n">
        <f aca="false">IF($C64=0,"",G64/$C64)</f>
        <v>0.527777777777778</v>
      </c>
      <c r="T64" s="28" t="n">
        <f aca="false">IF($C64=0,"",H64/$C64)</f>
        <v>0.407407407407407</v>
      </c>
      <c r="U64" s="28" t="n">
        <f aca="false">IF($C64=0,"",I64/$C64)</f>
        <v>0.37962962962963</v>
      </c>
      <c r="V64" s="29" t="n">
        <f aca="false">IF($C64=0,"",K64/$C64)</f>
        <v>0.138888888888889</v>
      </c>
      <c r="W64" s="29" t="n">
        <f aca="false">IF($C64=0,"",M64/$C64)</f>
        <v>0.094812037037037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101</v>
      </c>
      <c r="D65" s="26" t="n">
        <v>29</v>
      </c>
      <c r="E65" s="26" t="n">
        <v>29</v>
      </c>
      <c r="F65" s="26" t="n">
        <v>57</v>
      </c>
      <c r="G65" s="26" t="n">
        <v>43</v>
      </c>
      <c r="H65" s="26" t="n">
        <v>35</v>
      </c>
      <c r="I65" s="26" t="n">
        <v>29</v>
      </c>
      <c r="J65" s="26" t="n">
        <v>0</v>
      </c>
      <c r="K65" s="27" t="n">
        <v>-14</v>
      </c>
      <c r="L65" s="27" t="n">
        <v>5.3015</v>
      </c>
      <c r="M65" s="19" t="n">
        <f aca="false">K65-L65</f>
        <v>-19.3015</v>
      </c>
      <c r="N65" s="26" t="n">
        <v>2</v>
      </c>
      <c r="O65" s="26" t="n">
        <v>6</v>
      </c>
      <c r="P65" s="28" t="n">
        <f aca="false">IF($C65=0,"",D65/$C65)</f>
        <v>0.287128712871287</v>
      </c>
      <c r="Q65" s="28" t="n">
        <f aca="false">IF($C65=0,"",E65/$C65)</f>
        <v>0.287128712871287</v>
      </c>
      <c r="R65" s="28" t="n">
        <f aca="false">IF($C65=0,"",F65/$C65)</f>
        <v>0.564356435643564</v>
      </c>
      <c r="S65" s="28" t="n">
        <f aca="false">IF($C65=0,"",G65/$C65)</f>
        <v>0.425742574257426</v>
      </c>
      <c r="T65" s="28" t="n">
        <f aca="false">IF($C65=0,"",H65/$C65)</f>
        <v>0.346534653465347</v>
      </c>
      <c r="U65" s="28" t="n">
        <f aca="false">IF($C65=0,"",I65/$C65)</f>
        <v>0.287128712871287</v>
      </c>
      <c r="V65" s="29" t="n">
        <f aca="false">IF($C65=0,"",K65/$C65)</f>
        <v>-0.138613861386139</v>
      </c>
      <c r="W65" s="29" t="n">
        <f aca="false">IF($C65=0,"",M65/$C65)</f>
        <v>-0.19110396039604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104</v>
      </c>
      <c r="D66" s="26" t="n">
        <v>38</v>
      </c>
      <c r="E66" s="26" t="n">
        <v>38</v>
      </c>
      <c r="F66" s="26" t="n">
        <v>64</v>
      </c>
      <c r="G66" s="26" t="n">
        <v>55</v>
      </c>
      <c r="H66" s="26" t="n">
        <v>43</v>
      </c>
      <c r="I66" s="26" t="n">
        <v>38</v>
      </c>
      <c r="J66" s="26" t="n">
        <v>0</v>
      </c>
      <c r="K66" s="27" t="n">
        <v>10</v>
      </c>
      <c r="L66" s="27" t="n">
        <v>4.1812</v>
      </c>
      <c r="M66" s="19" t="n">
        <f aca="false">K66-L66</f>
        <v>5.8188</v>
      </c>
      <c r="N66" s="26" t="n">
        <v>3</v>
      </c>
      <c r="O66" s="26" t="n">
        <v>8</v>
      </c>
      <c r="P66" s="28" t="n">
        <f aca="false">IF($C66=0,"",D66/$C66)</f>
        <v>0.365384615384615</v>
      </c>
      <c r="Q66" s="28" t="n">
        <f aca="false">IF($C66=0,"",E66/$C66)</f>
        <v>0.365384615384615</v>
      </c>
      <c r="R66" s="28" t="n">
        <f aca="false">IF($C66=0,"",F66/$C66)</f>
        <v>0.615384615384615</v>
      </c>
      <c r="S66" s="28" t="n">
        <f aca="false">IF($C66=0,"",G66/$C66)</f>
        <v>0.528846153846154</v>
      </c>
      <c r="T66" s="28" t="n">
        <f aca="false">IF($C66=0,"",H66/$C66)</f>
        <v>0.413461538461538</v>
      </c>
      <c r="U66" s="28" t="n">
        <f aca="false">IF($C66=0,"",I66/$C66)</f>
        <v>0.365384615384615</v>
      </c>
      <c r="V66" s="29" t="n">
        <f aca="false">IF($C66=0,"",K66/$C66)</f>
        <v>0.0961538461538462</v>
      </c>
      <c r="W66" s="29" t="n">
        <f aca="false">IF($C66=0,"",M66/$C66)</f>
        <v>0.05595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113</v>
      </c>
      <c r="D67" s="26" t="n">
        <v>44</v>
      </c>
      <c r="E67" s="26" t="n">
        <v>44</v>
      </c>
      <c r="F67" s="26" t="n">
        <v>71</v>
      </c>
      <c r="G67" s="26" t="n">
        <v>60</v>
      </c>
      <c r="H67" s="26" t="n">
        <v>54</v>
      </c>
      <c r="I67" s="26" t="n">
        <v>44</v>
      </c>
      <c r="J67" s="26" t="n">
        <v>0</v>
      </c>
      <c r="K67" s="27" t="n">
        <v>19</v>
      </c>
      <c r="L67" s="27" t="n">
        <v>2.2459</v>
      </c>
      <c r="M67" s="19" t="n">
        <f aca="false">K67-L67</f>
        <v>16.7541</v>
      </c>
      <c r="N67" s="26" t="n">
        <v>4</v>
      </c>
      <c r="O67" s="26" t="n">
        <v>7</v>
      </c>
      <c r="P67" s="28" t="n">
        <f aca="false">IF($C67=0,"",D67/$C67)</f>
        <v>0.389380530973451</v>
      </c>
      <c r="Q67" s="28" t="n">
        <f aca="false">IF($C67=0,"",E67/$C67)</f>
        <v>0.389380530973451</v>
      </c>
      <c r="R67" s="28" t="n">
        <f aca="false">IF($C67=0,"",F67/$C67)</f>
        <v>0.628318584070796</v>
      </c>
      <c r="S67" s="28" t="n">
        <f aca="false">IF($C67=0,"",G67/$C67)</f>
        <v>0.530973451327434</v>
      </c>
      <c r="T67" s="28" t="n">
        <f aca="false">IF($C67=0,"",H67/$C67)</f>
        <v>0.47787610619469</v>
      </c>
      <c r="U67" s="28" t="n">
        <f aca="false">IF($C67=0,"",I67/$C67)</f>
        <v>0.389380530973451</v>
      </c>
      <c r="V67" s="29" t="n">
        <f aca="false">IF($C67=0,"",K67/$C67)</f>
        <v>0.168141592920354</v>
      </c>
      <c r="W67" s="29" t="n">
        <f aca="false">IF($C67=0,"",M67/$C67)</f>
        <v>0.148266371681416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94</v>
      </c>
      <c r="D68" s="26" t="n">
        <v>25</v>
      </c>
      <c r="E68" s="26" t="n">
        <v>25</v>
      </c>
      <c r="F68" s="26" t="n">
        <v>55</v>
      </c>
      <c r="G68" s="26" t="n">
        <v>45</v>
      </c>
      <c r="H68" s="26" t="n">
        <v>32</v>
      </c>
      <c r="I68" s="26" t="n">
        <v>25</v>
      </c>
      <c r="J68" s="26" t="n">
        <v>0</v>
      </c>
      <c r="K68" s="27" t="n">
        <v>-19</v>
      </c>
      <c r="L68" s="27" t="n">
        <v>2.53</v>
      </c>
      <c r="M68" s="19" t="n">
        <f aca="false">K68-L68</f>
        <v>-21.53</v>
      </c>
      <c r="N68" s="26" t="n">
        <v>3</v>
      </c>
      <c r="O68" s="26" t="n">
        <v>9</v>
      </c>
      <c r="P68" s="28" t="n">
        <f aca="false">IF($C68=0,"",D68/$C68)</f>
        <v>0.265957446808511</v>
      </c>
      <c r="Q68" s="28" t="n">
        <f aca="false">IF($C68=0,"",E68/$C68)</f>
        <v>0.265957446808511</v>
      </c>
      <c r="R68" s="28" t="n">
        <f aca="false">IF($C68=0,"",F68/$C68)</f>
        <v>0.585106382978723</v>
      </c>
      <c r="S68" s="28" t="n">
        <f aca="false">IF($C68=0,"",G68/$C68)</f>
        <v>0.478723404255319</v>
      </c>
      <c r="T68" s="28" t="n">
        <f aca="false">IF($C68=0,"",H68/$C68)</f>
        <v>0.340425531914894</v>
      </c>
      <c r="U68" s="28" t="n">
        <f aca="false">IF($C68=0,"",I68/$C68)</f>
        <v>0.265957446808511</v>
      </c>
      <c r="V68" s="29" t="n">
        <f aca="false">IF($C68=0,"",K68/$C68)</f>
        <v>-0.202127659574468</v>
      </c>
      <c r="W68" s="29" t="n">
        <f aca="false">IF($C68=0,"",M68/$C68)</f>
        <v>-0.229042553191489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99</v>
      </c>
      <c r="D69" s="26" t="n">
        <v>36</v>
      </c>
      <c r="E69" s="26" t="n">
        <v>36</v>
      </c>
      <c r="F69" s="26" t="n">
        <v>65</v>
      </c>
      <c r="G69" s="26" t="n">
        <v>56</v>
      </c>
      <c r="H69" s="26" t="n">
        <v>45</v>
      </c>
      <c r="I69" s="26" t="n">
        <v>36</v>
      </c>
      <c r="J69" s="26" t="n">
        <v>0</v>
      </c>
      <c r="K69" s="27" t="n">
        <v>9</v>
      </c>
      <c r="L69" s="27" t="n">
        <v>2.5536</v>
      </c>
      <c r="M69" s="19" t="n">
        <f aca="false">K69-L69</f>
        <v>6.4464</v>
      </c>
      <c r="N69" s="26" t="n">
        <v>3</v>
      </c>
      <c r="O69" s="26" t="n">
        <v>7</v>
      </c>
      <c r="P69" s="28" t="n">
        <f aca="false">IF($C69=0,"",D69/$C69)</f>
        <v>0.363636363636364</v>
      </c>
      <c r="Q69" s="28" t="n">
        <f aca="false">IF($C69=0,"",E69/$C69)</f>
        <v>0.363636363636364</v>
      </c>
      <c r="R69" s="28" t="n">
        <f aca="false">IF($C69=0,"",F69/$C69)</f>
        <v>0.656565656565657</v>
      </c>
      <c r="S69" s="28" t="n">
        <f aca="false">IF($C69=0,"",G69/$C69)</f>
        <v>0.565656565656566</v>
      </c>
      <c r="T69" s="28" t="n">
        <f aca="false">IF($C69=0,"",H69/$C69)</f>
        <v>0.454545454545455</v>
      </c>
      <c r="U69" s="28" t="n">
        <f aca="false">IF($C69=0,"",I69/$C69)</f>
        <v>0.363636363636364</v>
      </c>
      <c r="V69" s="29" t="n">
        <f aca="false">IF($C69=0,"",K69/$C69)</f>
        <v>0.0909090909090909</v>
      </c>
      <c r="W69" s="29" t="n">
        <f aca="false">IF($C69=0,"",M69/$C69)</f>
        <v>0.0651151515151515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1221</v>
      </c>
      <c r="D70" s="30" t="n">
        <f aca="false">SUM(D58:D69)</f>
        <v>423</v>
      </c>
      <c r="E70" s="30" t="n">
        <f aca="false">SUM(E58:E69)</f>
        <v>423</v>
      </c>
      <c r="F70" s="30" t="n">
        <f aca="false">SUM(F58:F69)</f>
        <v>758</v>
      </c>
      <c r="G70" s="30" t="n">
        <f aca="false">SUM(G58:G69)</f>
        <v>624</v>
      </c>
      <c r="H70" s="30" t="n">
        <f aca="false">SUM(H58:H69)</f>
        <v>503</v>
      </c>
      <c r="I70" s="30" t="n">
        <f aca="false">SUM(I58:I69)</f>
        <v>423</v>
      </c>
      <c r="J70" s="30" t="n">
        <f aca="false">SUM(J58:J69)</f>
        <v>0</v>
      </c>
      <c r="K70" s="31" t="n">
        <f aca="false">SUM(K58:K69)</f>
        <v>48</v>
      </c>
      <c r="L70" s="31" t="n">
        <f aca="false">SUM(L58:L69)</f>
        <v>45.4713</v>
      </c>
      <c r="M70" s="31" t="n">
        <f aca="false">K70-L70</f>
        <v>2.5287</v>
      </c>
      <c r="N70" s="32" t="n">
        <v>5</v>
      </c>
      <c r="O70" s="32" t="n">
        <v>14</v>
      </c>
      <c r="P70" s="33" t="n">
        <f aca="false">IF($C70=0,"",D70/$C70)</f>
        <v>0.346437346437346</v>
      </c>
      <c r="Q70" s="33" t="n">
        <f aca="false">IF($C70=0,"",E70/$C70)</f>
        <v>0.346437346437346</v>
      </c>
      <c r="R70" s="33" t="n">
        <f aca="false">IF($C70=0,"",F70/$C70)</f>
        <v>0.620802620802621</v>
      </c>
      <c r="S70" s="33" t="n">
        <f aca="false">IF($C70=0,"",G70/$C70)</f>
        <v>0.511056511056511</v>
      </c>
      <c r="T70" s="33" t="n">
        <f aca="false">IF($C70=0,"",H70/$C70)</f>
        <v>0.411957411957412</v>
      </c>
      <c r="U70" s="33" t="n">
        <f aca="false">IF($C70=0,"",I70/$C70)</f>
        <v>0.346437346437346</v>
      </c>
      <c r="V70" s="34" t="n">
        <f aca="false">IF($C70=0,"",K70/$C70)</f>
        <v>0.0393120393120393</v>
      </c>
      <c r="W70" s="34" t="n">
        <f aca="false">IF($C70=0,"",M70/$C70)</f>
        <v>0.00207100737100737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98</v>
      </c>
      <c r="D71" s="26" t="n">
        <v>31</v>
      </c>
      <c r="E71" s="26" t="n">
        <v>31</v>
      </c>
      <c r="F71" s="26" t="n">
        <v>59</v>
      </c>
      <c r="G71" s="26" t="n">
        <v>47</v>
      </c>
      <c r="H71" s="26" t="n">
        <v>34</v>
      </c>
      <c r="I71" s="26" t="n">
        <v>31</v>
      </c>
      <c r="J71" s="26" t="n">
        <v>0</v>
      </c>
      <c r="K71" s="27" t="n">
        <v>-5</v>
      </c>
      <c r="L71" s="27" t="n">
        <v>1.7658</v>
      </c>
      <c r="M71" s="19" t="n">
        <f aca="false">K71-L71</f>
        <v>-6.7658</v>
      </c>
      <c r="N71" s="26" t="n">
        <v>4</v>
      </c>
      <c r="O71" s="26" t="n">
        <v>15</v>
      </c>
      <c r="P71" s="28" t="n">
        <f aca="false">IF($C71=0,"",D71/$C71)</f>
        <v>0.316326530612245</v>
      </c>
      <c r="Q71" s="28" t="n">
        <f aca="false">IF($C71=0,"",E71/$C71)</f>
        <v>0.316326530612245</v>
      </c>
      <c r="R71" s="28" t="n">
        <f aca="false">IF($C71=0,"",F71/$C71)</f>
        <v>0.602040816326531</v>
      </c>
      <c r="S71" s="28" t="n">
        <f aca="false">IF($C71=0,"",G71/$C71)</f>
        <v>0.479591836734694</v>
      </c>
      <c r="T71" s="28" t="n">
        <f aca="false">IF($C71=0,"",H71/$C71)</f>
        <v>0.346938775510204</v>
      </c>
      <c r="U71" s="28" t="n">
        <f aca="false">IF($C71=0,"",I71/$C71)</f>
        <v>0.316326530612245</v>
      </c>
      <c r="V71" s="29" t="n">
        <f aca="false">IF($C71=0,"",K71/$C71)</f>
        <v>-0.0510204081632653</v>
      </c>
      <c r="W71" s="29" t="n">
        <f aca="false">IF($C71=0,"",M71/$C71)</f>
        <v>-0.0690387755102041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95</v>
      </c>
      <c r="D72" s="26" t="n">
        <v>25</v>
      </c>
      <c r="E72" s="26" t="n">
        <v>25</v>
      </c>
      <c r="F72" s="26" t="n">
        <v>54</v>
      </c>
      <c r="G72" s="26" t="n">
        <v>41</v>
      </c>
      <c r="H72" s="26" t="n">
        <v>31</v>
      </c>
      <c r="I72" s="26" t="n">
        <v>25</v>
      </c>
      <c r="J72" s="26" t="n">
        <v>0</v>
      </c>
      <c r="K72" s="27" t="n">
        <v>-20</v>
      </c>
      <c r="L72" s="27" t="n">
        <v>1.1</v>
      </c>
      <c r="M72" s="19" t="n">
        <f aca="false">K72-L72</f>
        <v>-21.1</v>
      </c>
      <c r="N72" s="26" t="n">
        <v>3</v>
      </c>
      <c r="O72" s="26" t="n">
        <v>16</v>
      </c>
      <c r="P72" s="28" t="n">
        <f aca="false">IF($C72=0,"",D72/$C72)</f>
        <v>0.263157894736842</v>
      </c>
      <c r="Q72" s="28" t="n">
        <f aca="false">IF($C72=0,"",E72/$C72)</f>
        <v>0.263157894736842</v>
      </c>
      <c r="R72" s="28" t="n">
        <f aca="false">IF($C72=0,"",F72/$C72)</f>
        <v>0.568421052631579</v>
      </c>
      <c r="S72" s="28" t="n">
        <f aca="false">IF($C72=0,"",G72/$C72)</f>
        <v>0.431578947368421</v>
      </c>
      <c r="T72" s="28" t="n">
        <f aca="false">IF($C72=0,"",H72/$C72)</f>
        <v>0.326315789473684</v>
      </c>
      <c r="U72" s="28" t="n">
        <f aca="false">IF($C72=0,"",I72/$C72)</f>
        <v>0.263157894736842</v>
      </c>
      <c r="V72" s="29" t="n">
        <f aca="false">IF($C72=0,"",K72/$C72)</f>
        <v>-0.210526315789474</v>
      </c>
      <c r="W72" s="29" t="n">
        <f aca="false">IF($C72=0,"",M72/$C72)</f>
        <v>-0.222105263157895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107</v>
      </c>
      <c r="D73" s="26" t="n">
        <v>36</v>
      </c>
      <c r="E73" s="26" t="n">
        <v>36</v>
      </c>
      <c r="F73" s="26" t="n">
        <v>58</v>
      </c>
      <c r="G73" s="26" t="n">
        <v>50</v>
      </c>
      <c r="H73" s="26" t="n">
        <v>42</v>
      </c>
      <c r="I73" s="26" t="n">
        <v>36</v>
      </c>
      <c r="J73" s="26" t="n">
        <v>0</v>
      </c>
      <c r="K73" s="27" t="n">
        <v>1</v>
      </c>
      <c r="L73" s="27" t="n">
        <v>1.7958</v>
      </c>
      <c r="M73" s="19" t="n">
        <f aca="false">K73-L73</f>
        <v>-0.7958</v>
      </c>
      <c r="N73" s="26" t="n">
        <v>3</v>
      </c>
      <c r="O73" s="26" t="n">
        <v>7</v>
      </c>
      <c r="P73" s="28" t="n">
        <f aca="false">IF($C73=0,"",D73/$C73)</f>
        <v>0.336448598130841</v>
      </c>
      <c r="Q73" s="28" t="n">
        <f aca="false">IF($C73=0,"",E73/$C73)</f>
        <v>0.336448598130841</v>
      </c>
      <c r="R73" s="28" t="n">
        <f aca="false">IF($C73=0,"",F73/$C73)</f>
        <v>0.542056074766355</v>
      </c>
      <c r="S73" s="28" t="n">
        <f aca="false">IF($C73=0,"",G73/$C73)</f>
        <v>0.467289719626168</v>
      </c>
      <c r="T73" s="28" t="n">
        <f aca="false">IF($C73=0,"",H73/$C73)</f>
        <v>0.392523364485981</v>
      </c>
      <c r="U73" s="28" t="n">
        <f aca="false">IF($C73=0,"",I73/$C73)</f>
        <v>0.336448598130841</v>
      </c>
      <c r="V73" s="29" t="n">
        <f aca="false">IF($C73=0,"",K73/$C73)</f>
        <v>0.00934579439252336</v>
      </c>
      <c r="W73" s="29" t="n">
        <f aca="false">IF($C73=0,"",M73/$C73)</f>
        <v>-0.00743738317757009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98</v>
      </c>
      <c r="D74" s="26" t="n">
        <v>29</v>
      </c>
      <c r="E74" s="26" t="n">
        <v>29</v>
      </c>
      <c r="F74" s="26" t="n">
        <v>52</v>
      </c>
      <c r="G74" s="26" t="n">
        <v>42</v>
      </c>
      <c r="H74" s="26" t="n">
        <v>33</v>
      </c>
      <c r="I74" s="26" t="n">
        <v>29</v>
      </c>
      <c r="J74" s="26" t="n">
        <v>0</v>
      </c>
      <c r="K74" s="27" t="n">
        <v>-11</v>
      </c>
      <c r="L74" s="27" t="n">
        <v>2.1501</v>
      </c>
      <c r="M74" s="19" t="n">
        <f aca="false">K74-L74</f>
        <v>-13.1501</v>
      </c>
      <c r="N74" s="26" t="n">
        <v>3</v>
      </c>
      <c r="O74" s="26" t="n">
        <v>11</v>
      </c>
      <c r="P74" s="28" t="n">
        <f aca="false">IF($C74=0,"",D74/$C74)</f>
        <v>0.295918367346939</v>
      </c>
      <c r="Q74" s="28" t="n">
        <f aca="false">IF($C74=0,"",E74/$C74)</f>
        <v>0.295918367346939</v>
      </c>
      <c r="R74" s="28" t="n">
        <f aca="false">IF($C74=0,"",F74/$C74)</f>
        <v>0.530612244897959</v>
      </c>
      <c r="S74" s="28" t="n">
        <f aca="false">IF($C74=0,"",G74/$C74)</f>
        <v>0.428571428571429</v>
      </c>
      <c r="T74" s="28" t="n">
        <f aca="false">IF($C74=0,"",H74/$C74)</f>
        <v>0.336734693877551</v>
      </c>
      <c r="U74" s="28" t="n">
        <f aca="false">IF($C74=0,"",I74/$C74)</f>
        <v>0.295918367346939</v>
      </c>
      <c r="V74" s="29" t="n">
        <f aca="false">IF($C74=0,"",K74/$C74)</f>
        <v>-0.112244897959184</v>
      </c>
      <c r="W74" s="29" t="n">
        <f aca="false">IF($C74=0,"",M74/$C74)</f>
        <v>-0.134184693877551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97</v>
      </c>
      <c r="D75" s="26" t="n">
        <v>30</v>
      </c>
      <c r="E75" s="26" t="n">
        <v>30</v>
      </c>
      <c r="F75" s="26" t="n">
        <v>53</v>
      </c>
      <c r="G75" s="26" t="n">
        <v>47</v>
      </c>
      <c r="H75" s="26" t="n">
        <v>37</v>
      </c>
      <c r="I75" s="26" t="n">
        <v>30</v>
      </c>
      <c r="J75" s="26" t="n">
        <v>0</v>
      </c>
      <c r="K75" s="27" t="n">
        <v>-7</v>
      </c>
      <c r="L75" s="27" t="n">
        <v>2.2207</v>
      </c>
      <c r="M75" s="19" t="n">
        <f aca="false">K75-L75</f>
        <v>-9.2207</v>
      </c>
      <c r="N75" s="26" t="n">
        <v>4</v>
      </c>
      <c r="O75" s="26" t="n">
        <v>12</v>
      </c>
      <c r="P75" s="28" t="n">
        <f aca="false">IF($C75=0,"",D75/$C75)</f>
        <v>0.309278350515464</v>
      </c>
      <c r="Q75" s="28" t="n">
        <f aca="false">IF($C75=0,"",E75/$C75)</f>
        <v>0.309278350515464</v>
      </c>
      <c r="R75" s="28" t="n">
        <f aca="false">IF($C75=0,"",F75/$C75)</f>
        <v>0.54639175257732</v>
      </c>
      <c r="S75" s="28" t="n">
        <f aca="false">IF($C75=0,"",G75/$C75)</f>
        <v>0.484536082474227</v>
      </c>
      <c r="T75" s="28" t="n">
        <f aca="false">IF($C75=0,"",H75/$C75)</f>
        <v>0.381443298969072</v>
      </c>
      <c r="U75" s="28" t="n">
        <f aca="false">IF($C75=0,"",I75/$C75)</f>
        <v>0.309278350515464</v>
      </c>
      <c r="V75" s="29" t="n">
        <f aca="false">IF($C75=0,"",K75/$C75)</f>
        <v>-0.0721649484536082</v>
      </c>
      <c r="W75" s="29" t="n">
        <f aca="false">IF($C75=0,"",M75/$C75)</f>
        <v>-0.095058762886598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104</v>
      </c>
      <c r="D76" s="26" t="n">
        <v>42</v>
      </c>
      <c r="E76" s="26" t="n">
        <v>42</v>
      </c>
      <c r="F76" s="26" t="n">
        <v>74</v>
      </c>
      <c r="G76" s="26" t="n">
        <v>60</v>
      </c>
      <c r="H76" s="26" t="n">
        <v>49</v>
      </c>
      <c r="I76" s="26" t="n">
        <v>42</v>
      </c>
      <c r="J76" s="26" t="n">
        <v>0</v>
      </c>
      <c r="K76" s="27" t="n">
        <v>22</v>
      </c>
      <c r="L76" s="27" t="n">
        <v>2.0249</v>
      </c>
      <c r="M76" s="19" t="n">
        <f aca="false">K76-L76</f>
        <v>19.9751</v>
      </c>
      <c r="N76" s="26" t="n">
        <v>3</v>
      </c>
      <c r="O76" s="26" t="n">
        <v>7</v>
      </c>
      <c r="P76" s="28" t="n">
        <f aca="false">IF($C76=0,"",D76/$C76)</f>
        <v>0.403846153846154</v>
      </c>
      <c r="Q76" s="28" t="n">
        <f aca="false">IF($C76=0,"",E76/$C76)</f>
        <v>0.403846153846154</v>
      </c>
      <c r="R76" s="28" t="n">
        <f aca="false">IF($C76=0,"",F76/$C76)</f>
        <v>0.711538461538462</v>
      </c>
      <c r="S76" s="28" t="n">
        <f aca="false">IF($C76=0,"",G76/$C76)</f>
        <v>0.576923076923077</v>
      </c>
      <c r="T76" s="28" t="n">
        <f aca="false">IF($C76=0,"",H76/$C76)</f>
        <v>0.471153846153846</v>
      </c>
      <c r="U76" s="28" t="n">
        <f aca="false">IF($C76=0,"",I76/$C76)</f>
        <v>0.403846153846154</v>
      </c>
      <c r="V76" s="29" t="n">
        <f aca="false">IF($C76=0,"",K76/$C76)</f>
        <v>0.211538461538462</v>
      </c>
      <c r="W76" s="29" t="n">
        <f aca="false">IF($C76=0,"",M76/$C76)</f>
        <v>0.192068269230769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103</v>
      </c>
      <c r="D77" s="26" t="n">
        <v>36</v>
      </c>
      <c r="E77" s="26" t="n">
        <v>36</v>
      </c>
      <c r="F77" s="26" t="n">
        <v>69</v>
      </c>
      <c r="G77" s="26" t="n">
        <v>56</v>
      </c>
      <c r="H77" s="26" t="n">
        <v>46</v>
      </c>
      <c r="I77" s="26" t="n">
        <v>36</v>
      </c>
      <c r="J77" s="26" t="n">
        <v>0</v>
      </c>
      <c r="K77" s="27" t="n">
        <v>5</v>
      </c>
      <c r="L77" s="27" t="n">
        <v>2.7404</v>
      </c>
      <c r="M77" s="19" t="n">
        <f aca="false">K77-L77</f>
        <v>2.2596</v>
      </c>
      <c r="N77" s="26" t="n">
        <v>4</v>
      </c>
      <c r="O77" s="26" t="n">
        <v>9</v>
      </c>
      <c r="P77" s="28" t="n">
        <f aca="false">IF($C77=0,"",D77/$C77)</f>
        <v>0.349514563106796</v>
      </c>
      <c r="Q77" s="28" t="n">
        <f aca="false">IF($C77=0,"",E77/$C77)</f>
        <v>0.349514563106796</v>
      </c>
      <c r="R77" s="28" t="n">
        <f aca="false">IF($C77=0,"",F77/$C77)</f>
        <v>0.669902912621359</v>
      </c>
      <c r="S77" s="28" t="n">
        <f aca="false">IF($C77=0,"",G77/$C77)</f>
        <v>0.54368932038835</v>
      </c>
      <c r="T77" s="28" t="n">
        <f aca="false">IF($C77=0,"",H77/$C77)</f>
        <v>0.446601941747573</v>
      </c>
      <c r="U77" s="28" t="n">
        <f aca="false">IF($C77=0,"",I77/$C77)</f>
        <v>0.349514563106796</v>
      </c>
      <c r="V77" s="29" t="n">
        <f aca="false">IF($C77=0,"",K77/$C77)</f>
        <v>0.0485436893203884</v>
      </c>
      <c r="W77" s="29" t="n">
        <f aca="false">IF($C77=0,"",M77/$C77)</f>
        <v>0.0219378640776699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95</v>
      </c>
      <c r="D78" s="26" t="n">
        <v>35</v>
      </c>
      <c r="E78" s="26" t="n">
        <v>35</v>
      </c>
      <c r="F78" s="26" t="n">
        <v>64</v>
      </c>
      <c r="G78" s="26" t="n">
        <v>50</v>
      </c>
      <c r="H78" s="26" t="n">
        <v>40</v>
      </c>
      <c r="I78" s="26" t="n">
        <v>35</v>
      </c>
      <c r="J78" s="26" t="n">
        <v>0</v>
      </c>
      <c r="K78" s="27" t="n">
        <v>10</v>
      </c>
      <c r="L78" s="27" t="n">
        <v>2.477</v>
      </c>
      <c r="M78" s="19" t="n">
        <f aca="false">K78-L78</f>
        <v>7.523</v>
      </c>
      <c r="N78" s="26" t="n">
        <v>3</v>
      </c>
      <c r="O78" s="26" t="n">
        <v>8</v>
      </c>
      <c r="P78" s="28" t="n">
        <f aca="false">IF($C78=0,"",D78/$C78)</f>
        <v>0.368421052631579</v>
      </c>
      <c r="Q78" s="28" t="n">
        <f aca="false">IF($C78=0,"",E78/$C78)</f>
        <v>0.368421052631579</v>
      </c>
      <c r="R78" s="28" t="n">
        <f aca="false">IF($C78=0,"",F78/$C78)</f>
        <v>0.673684210526316</v>
      </c>
      <c r="S78" s="28" t="n">
        <f aca="false">IF($C78=0,"",G78/$C78)</f>
        <v>0.526315789473684</v>
      </c>
      <c r="T78" s="28" t="n">
        <f aca="false">IF($C78=0,"",H78/$C78)</f>
        <v>0.421052631578947</v>
      </c>
      <c r="U78" s="28" t="n">
        <f aca="false">IF($C78=0,"",I78/$C78)</f>
        <v>0.368421052631579</v>
      </c>
      <c r="V78" s="29" t="n">
        <f aca="false">IF($C78=0,"",K78/$C78)</f>
        <v>0.105263157894737</v>
      </c>
      <c r="W78" s="29" t="n">
        <f aca="false">IF($C78=0,"",M78/$C78)</f>
        <v>0.0791894736842105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110</v>
      </c>
      <c r="D79" s="26" t="n">
        <v>42</v>
      </c>
      <c r="E79" s="26" t="n">
        <v>42</v>
      </c>
      <c r="F79" s="26" t="n">
        <v>71</v>
      </c>
      <c r="G79" s="26" t="n">
        <v>60</v>
      </c>
      <c r="H79" s="26" t="n">
        <v>46</v>
      </c>
      <c r="I79" s="26" t="n">
        <v>42</v>
      </c>
      <c r="J79" s="26" t="n">
        <v>0</v>
      </c>
      <c r="K79" s="27" t="n">
        <v>16</v>
      </c>
      <c r="L79" s="27" t="n">
        <v>3.2837</v>
      </c>
      <c r="M79" s="19" t="n">
        <f aca="false">K79-L79</f>
        <v>12.7163</v>
      </c>
      <c r="N79" s="26" t="n">
        <v>5</v>
      </c>
      <c r="O79" s="26" t="n">
        <v>8</v>
      </c>
      <c r="P79" s="28" t="n">
        <f aca="false">IF($C79=0,"",D79/$C79)</f>
        <v>0.381818181818182</v>
      </c>
      <c r="Q79" s="28" t="n">
        <f aca="false">IF($C79=0,"",E79/$C79)</f>
        <v>0.381818181818182</v>
      </c>
      <c r="R79" s="28" t="n">
        <f aca="false">IF($C79=0,"",F79/$C79)</f>
        <v>0.645454545454546</v>
      </c>
      <c r="S79" s="28" t="n">
        <f aca="false">IF($C79=0,"",G79/$C79)</f>
        <v>0.545454545454545</v>
      </c>
      <c r="T79" s="28" t="n">
        <f aca="false">IF($C79=0,"",H79/$C79)</f>
        <v>0.418181818181818</v>
      </c>
      <c r="U79" s="28" t="n">
        <f aca="false">IF($C79=0,"",I79/$C79)</f>
        <v>0.381818181818182</v>
      </c>
      <c r="V79" s="29" t="n">
        <f aca="false">IF($C79=0,"",K79/$C79)</f>
        <v>0.145454545454545</v>
      </c>
      <c r="W79" s="29" t="n">
        <f aca="false">IF($C79=0,"",M79/$C79)</f>
        <v>0.115602727272727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10</v>
      </c>
      <c r="D80" s="26" t="n">
        <v>3</v>
      </c>
      <c r="E80" s="26" t="n">
        <v>3</v>
      </c>
      <c r="F80" s="26" t="n">
        <v>6</v>
      </c>
      <c r="G80" s="26" t="n">
        <v>6</v>
      </c>
      <c r="H80" s="26" t="n">
        <v>5</v>
      </c>
      <c r="I80" s="26" t="n">
        <v>3</v>
      </c>
      <c r="J80" s="26" t="n">
        <v>0</v>
      </c>
      <c r="K80" s="27" t="n">
        <v>-1</v>
      </c>
      <c r="L80" s="27" t="n">
        <v>0.2646</v>
      </c>
      <c r="M80" s="19" t="n">
        <f aca="false">K80-L80</f>
        <v>-1.2646</v>
      </c>
      <c r="N80" s="26" t="n">
        <v>2</v>
      </c>
      <c r="O80" s="26" t="n">
        <v>3</v>
      </c>
      <c r="P80" s="28" t="n">
        <f aca="false">IF($C80=0,"",D80/$C80)</f>
        <v>0.3</v>
      </c>
      <c r="Q80" s="28" t="n">
        <f aca="false">IF($C80=0,"",E80/$C80)</f>
        <v>0.3</v>
      </c>
      <c r="R80" s="28" t="n">
        <f aca="false">IF($C80=0,"",F80/$C80)</f>
        <v>0.6</v>
      </c>
      <c r="S80" s="28" t="n">
        <f aca="false">IF($C80=0,"",G80/$C80)</f>
        <v>0.6</v>
      </c>
      <c r="T80" s="28" t="n">
        <f aca="false">IF($C80=0,"",H80/$C80)</f>
        <v>0.5</v>
      </c>
      <c r="U80" s="28" t="n">
        <f aca="false">IF($C80=0,"",I80/$C80)</f>
        <v>0.3</v>
      </c>
      <c r="V80" s="29" t="n">
        <f aca="false">IF($C80=0,"",K80/$C80)</f>
        <v>-0.1</v>
      </c>
      <c r="W80" s="29" t="n">
        <f aca="false">IF($C80=0,"",M80/$C80)</f>
        <v>-0.12646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917</v>
      </c>
      <c r="D81" s="30" t="n">
        <f aca="false">SUM(D71:D80)</f>
        <v>309</v>
      </c>
      <c r="E81" s="30" t="n">
        <f aca="false">SUM(E71:E80)</f>
        <v>309</v>
      </c>
      <c r="F81" s="30" t="n">
        <f aca="false">SUM(F71:F80)</f>
        <v>560</v>
      </c>
      <c r="G81" s="30" t="n">
        <f aca="false">SUM(G71:G80)</f>
        <v>459</v>
      </c>
      <c r="H81" s="30" t="n">
        <f aca="false">SUM(H71:H80)</f>
        <v>363</v>
      </c>
      <c r="I81" s="30" t="n">
        <f aca="false">SUM(I71:I80)</f>
        <v>309</v>
      </c>
      <c r="J81" s="30" t="n">
        <f aca="false">SUM(J71:J80)</f>
        <v>0</v>
      </c>
      <c r="K81" s="31" t="n">
        <f aca="false">SUM(K71:K80)</f>
        <v>10</v>
      </c>
      <c r="L81" s="31" t="n">
        <f aca="false">SUM(L71:L80)</f>
        <v>19.823</v>
      </c>
      <c r="M81" s="31" t="n">
        <f aca="false">K81-L81</f>
        <v>-9.823</v>
      </c>
      <c r="N81" s="32" t="n">
        <v>5</v>
      </c>
      <c r="O81" s="32" t="n">
        <v>16</v>
      </c>
      <c r="P81" s="33" t="n">
        <f aca="false">IF($C81=0,"",D81/$C81)</f>
        <v>0.336968375136314</v>
      </c>
      <c r="Q81" s="33" t="n">
        <f aca="false">IF($C81=0,"",E81/$C81)</f>
        <v>0.336968375136314</v>
      </c>
      <c r="R81" s="33" t="n">
        <f aca="false">IF($C81=0,"",F81/$C81)</f>
        <v>0.610687022900763</v>
      </c>
      <c r="S81" s="33" t="n">
        <f aca="false">IF($C81=0,"",G81/$C81)</f>
        <v>0.500545256270447</v>
      </c>
      <c r="T81" s="33" t="n">
        <f aca="false">IF($C81=0,"",H81/$C81)</f>
        <v>0.395856052344602</v>
      </c>
      <c r="U81" s="33" t="n">
        <f aca="false">IF($C81=0,"",I81/$C81)</f>
        <v>0.336968375136314</v>
      </c>
      <c r="V81" s="34" t="n">
        <f aca="false">IF($C81=0,"",K81/$C81)</f>
        <v>0.0109051254089422</v>
      </c>
      <c r="W81" s="34" t="n">
        <f aca="false">IF($C81=0,"",M81/$C81)</f>
        <v>-0.0107121046892039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6958</v>
      </c>
      <c r="D82" s="5" t="n">
        <f aca="false">D18+D31+D44+D57+D70+D81</f>
        <v>2314</v>
      </c>
      <c r="E82" s="5" t="n">
        <f aca="false">E18+E31+E44+E57+E70+E81</f>
        <v>2314</v>
      </c>
      <c r="F82" s="5" t="n">
        <f aca="false">F18+F31+F44+F57+F70+F81</f>
        <v>4235</v>
      </c>
      <c r="G82" s="5" t="n">
        <f aca="false">G18+G31+G44+G57+G70+G81</f>
        <v>3461</v>
      </c>
      <c r="H82" s="5" t="n">
        <f aca="false">H18+H31+H44+H57+H70+H81</f>
        <v>2769</v>
      </c>
      <c r="I82" s="5" t="n">
        <f aca="false">I18+I31+I44+I57+I70+I81</f>
        <v>2314</v>
      </c>
      <c r="J82" s="5" t="n">
        <f aca="false">J18+J31+J44+J57+J70+J81</f>
        <v>0</v>
      </c>
      <c r="K82" s="21" t="n">
        <f aca="false">K18+K31+K44+K57+K70+K81</f>
        <v>-16</v>
      </c>
      <c r="L82" s="21" t="n">
        <f aca="false">L18+L31+L44+L57+L70+L81</f>
        <v>748.1381</v>
      </c>
      <c r="M82" s="21" t="n">
        <f aca="false">K82-L82</f>
        <v>-764.1381</v>
      </c>
      <c r="N82" s="35" t="n">
        <v>7</v>
      </c>
      <c r="O82" s="35" t="n">
        <v>19</v>
      </c>
      <c r="P82" s="36" t="n">
        <f aca="false">IF($C82=0,"",D82/$C82)</f>
        <v>0.332566829548721</v>
      </c>
      <c r="Q82" s="36" t="n">
        <f aca="false">IF($C82=0,"",E82/$C82)</f>
        <v>0.332566829548721</v>
      </c>
      <c r="R82" s="36" t="n">
        <f aca="false">IF($C82=0,"",F82/$C82)</f>
        <v>0.608651911468813</v>
      </c>
      <c r="S82" s="36" t="n">
        <f aca="false">IF($C82=0,"",G82/$C82)</f>
        <v>0.497413049726933</v>
      </c>
      <c r="T82" s="36" t="n">
        <f aca="false">IF($C82=0,"",H82/$C82)</f>
        <v>0.397959183673469</v>
      </c>
      <c r="U82" s="36" t="n">
        <f aca="false">IF($C82=0,"",I82/$C82)</f>
        <v>0.332566829548721</v>
      </c>
      <c r="V82" s="37" t="n">
        <f aca="false">IF($C82=0,"",K82/$C82)</f>
        <v>-0.00229951135383731</v>
      </c>
      <c r="W82" s="37" t="n">
        <f aca="false">IF($C82=0,"",M82/$C82)</f>
        <v>-0.109821514803104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192</v>
      </c>
    </row>
    <row r="2" customFormat="false" ht="42" hidden="false" customHeight="true" outlineLevel="0" collapsed="false">
      <c r="A2" s="4" t="s">
        <v>193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19</v>
      </c>
      <c r="D6" s="26" t="n">
        <v>6</v>
      </c>
      <c r="E6" s="26" t="n">
        <v>6</v>
      </c>
      <c r="F6" s="26" t="n">
        <v>12</v>
      </c>
      <c r="G6" s="26" t="n">
        <v>10</v>
      </c>
      <c r="H6" s="26" t="n">
        <v>10</v>
      </c>
      <c r="I6" s="26" t="n">
        <v>6</v>
      </c>
      <c r="J6" s="26" t="n">
        <v>0</v>
      </c>
      <c r="K6" s="27" t="n">
        <v>2</v>
      </c>
      <c r="L6" s="27" t="n">
        <v>0.6974</v>
      </c>
      <c r="M6" s="19" t="n">
        <f aca="false">K6-L6</f>
        <v>1.3026</v>
      </c>
      <c r="N6" s="26" t="n">
        <v>2</v>
      </c>
      <c r="O6" s="26" t="n">
        <v>4</v>
      </c>
      <c r="P6" s="28" t="n">
        <f aca="false">IF($C6=0,"",D6/$C6)</f>
        <v>0.315789473684211</v>
      </c>
      <c r="Q6" s="28" t="n">
        <f aca="false">IF($C6=0,"",E6/$C6)</f>
        <v>0.315789473684211</v>
      </c>
      <c r="R6" s="28" t="n">
        <f aca="false">IF($C6=0,"",F6/$C6)</f>
        <v>0.631578947368421</v>
      </c>
      <c r="S6" s="28" t="n">
        <f aca="false">IF($C6=0,"",G6/$C6)</f>
        <v>0.526315789473684</v>
      </c>
      <c r="T6" s="28" t="n">
        <f aca="false">IF($C6=0,"",H6/$C6)</f>
        <v>0.526315789473684</v>
      </c>
      <c r="U6" s="28" t="n">
        <f aca="false">IF($C6=0,"",I6/$C6)</f>
        <v>0.315789473684211</v>
      </c>
      <c r="V6" s="29" t="n">
        <f aca="false">IF($C6=0,"",K6/$C6)</f>
        <v>0.105263157894737</v>
      </c>
      <c r="W6" s="29" t="n">
        <f aca="false">IF($C6=0,"",M6/$C6)</f>
        <v>0.0685578947368421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25</v>
      </c>
      <c r="D7" s="26" t="n">
        <v>7</v>
      </c>
      <c r="E7" s="26" t="n">
        <v>7</v>
      </c>
      <c r="F7" s="26" t="n">
        <v>19</v>
      </c>
      <c r="G7" s="26" t="n">
        <v>15</v>
      </c>
      <c r="H7" s="26" t="n">
        <v>10</v>
      </c>
      <c r="I7" s="26" t="n">
        <v>7</v>
      </c>
      <c r="J7" s="26" t="n">
        <v>0</v>
      </c>
      <c r="K7" s="27" t="n">
        <v>-0.5</v>
      </c>
      <c r="L7" s="27" t="n">
        <v>1.121</v>
      </c>
      <c r="M7" s="19" t="n">
        <f aca="false">K7-L7</f>
        <v>-1.621</v>
      </c>
      <c r="N7" s="26" t="n">
        <v>2</v>
      </c>
      <c r="O7" s="26" t="n">
        <v>4</v>
      </c>
      <c r="P7" s="28" t="n">
        <f aca="false">IF($C7=0,"",D7/$C7)</f>
        <v>0.28</v>
      </c>
      <c r="Q7" s="28" t="n">
        <f aca="false">IF($C7=0,"",E7/$C7)</f>
        <v>0.28</v>
      </c>
      <c r="R7" s="28" t="n">
        <f aca="false">IF($C7=0,"",F7/$C7)</f>
        <v>0.76</v>
      </c>
      <c r="S7" s="28" t="n">
        <f aca="false">IF($C7=0,"",G7/$C7)</f>
        <v>0.6</v>
      </c>
      <c r="T7" s="28" t="n">
        <f aca="false">IF($C7=0,"",H7/$C7)</f>
        <v>0.4</v>
      </c>
      <c r="U7" s="28" t="n">
        <f aca="false">IF($C7=0,"",I7/$C7)</f>
        <v>0.28</v>
      </c>
      <c r="V7" s="29" t="n">
        <f aca="false">IF($C7=0,"",K7/$C7)</f>
        <v>-0.02</v>
      </c>
      <c r="W7" s="29" t="n">
        <f aca="false">IF($C7=0,"",M7/$C7)</f>
        <v>-0.06484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20</v>
      </c>
      <c r="D8" s="26" t="n">
        <v>5</v>
      </c>
      <c r="E8" s="26" t="n">
        <v>5</v>
      </c>
      <c r="F8" s="26" t="n">
        <v>14</v>
      </c>
      <c r="G8" s="26" t="n">
        <v>12</v>
      </c>
      <c r="H8" s="26" t="n">
        <v>11</v>
      </c>
      <c r="I8" s="26" t="n">
        <v>5</v>
      </c>
      <c r="J8" s="26" t="n">
        <v>0</v>
      </c>
      <c r="K8" s="27" t="n">
        <v>-2.5</v>
      </c>
      <c r="L8" s="27" t="n">
        <v>0.8602</v>
      </c>
      <c r="M8" s="19" t="n">
        <f aca="false">K8-L8</f>
        <v>-3.3602</v>
      </c>
      <c r="N8" s="26" t="n">
        <v>1</v>
      </c>
      <c r="O8" s="26" t="n">
        <v>6</v>
      </c>
      <c r="P8" s="28" t="n">
        <f aca="false">IF($C8=0,"",D8/$C8)</f>
        <v>0.25</v>
      </c>
      <c r="Q8" s="28" t="n">
        <f aca="false">IF($C8=0,"",E8/$C8)</f>
        <v>0.25</v>
      </c>
      <c r="R8" s="28" t="n">
        <f aca="false">IF($C8=0,"",F8/$C8)</f>
        <v>0.7</v>
      </c>
      <c r="S8" s="28" t="n">
        <f aca="false">IF($C8=0,"",G8/$C8)</f>
        <v>0.6</v>
      </c>
      <c r="T8" s="28" t="n">
        <f aca="false">IF($C8=0,"",H8/$C8)</f>
        <v>0.55</v>
      </c>
      <c r="U8" s="28" t="n">
        <f aca="false">IF($C8=0,"",I8/$C8)</f>
        <v>0.25</v>
      </c>
      <c r="V8" s="29" t="n">
        <f aca="false">IF($C8=0,"",K8/$C8)</f>
        <v>-0.125</v>
      </c>
      <c r="W8" s="29" t="n">
        <f aca="false">IF($C8=0,"",M8/$C8)</f>
        <v>-0.16801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18</v>
      </c>
      <c r="D9" s="26" t="n">
        <v>4</v>
      </c>
      <c r="E9" s="26" t="n">
        <v>4</v>
      </c>
      <c r="F9" s="26" t="n">
        <v>10</v>
      </c>
      <c r="G9" s="26" t="n">
        <v>7</v>
      </c>
      <c r="H9" s="26" t="n">
        <v>7</v>
      </c>
      <c r="I9" s="26" t="n">
        <v>4</v>
      </c>
      <c r="J9" s="26" t="n">
        <v>0</v>
      </c>
      <c r="K9" s="27" t="n">
        <v>-4</v>
      </c>
      <c r="L9" s="27" t="n">
        <v>0.9716</v>
      </c>
      <c r="M9" s="19" t="n">
        <f aca="false">K9-L9</f>
        <v>-4.9716</v>
      </c>
      <c r="N9" s="26" t="n">
        <v>1</v>
      </c>
      <c r="O9" s="26" t="n">
        <v>8</v>
      </c>
      <c r="P9" s="28" t="n">
        <f aca="false">IF($C9=0,"",D9/$C9)</f>
        <v>0.222222222222222</v>
      </c>
      <c r="Q9" s="28" t="n">
        <f aca="false">IF($C9=0,"",E9/$C9)</f>
        <v>0.222222222222222</v>
      </c>
      <c r="R9" s="28" t="n">
        <f aca="false">IF($C9=0,"",F9/$C9)</f>
        <v>0.555555555555556</v>
      </c>
      <c r="S9" s="28" t="n">
        <f aca="false">IF($C9=0,"",G9/$C9)</f>
        <v>0.388888888888889</v>
      </c>
      <c r="T9" s="28" t="n">
        <f aca="false">IF($C9=0,"",H9/$C9)</f>
        <v>0.388888888888889</v>
      </c>
      <c r="U9" s="28" t="n">
        <f aca="false">IF($C9=0,"",I9/$C9)</f>
        <v>0.222222222222222</v>
      </c>
      <c r="V9" s="29" t="n">
        <f aca="false">IF($C9=0,"",K9/$C9)</f>
        <v>-0.222222222222222</v>
      </c>
      <c r="W9" s="29" t="n">
        <f aca="false">IF($C9=0,"",M9/$C9)</f>
        <v>-0.2762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13</v>
      </c>
      <c r="D10" s="26" t="n">
        <v>7</v>
      </c>
      <c r="E10" s="26" t="n">
        <v>7</v>
      </c>
      <c r="F10" s="26" t="n">
        <v>11</v>
      </c>
      <c r="G10" s="26" t="n">
        <v>10</v>
      </c>
      <c r="H10" s="26" t="n">
        <v>9</v>
      </c>
      <c r="I10" s="26" t="n">
        <v>7</v>
      </c>
      <c r="J10" s="26" t="n">
        <v>0</v>
      </c>
      <c r="K10" s="27" t="n">
        <v>11.5</v>
      </c>
      <c r="L10" s="27" t="n">
        <v>0.6225</v>
      </c>
      <c r="M10" s="19" t="n">
        <f aca="false">K10-L10</f>
        <v>10.8775</v>
      </c>
      <c r="N10" s="26" t="n">
        <v>3</v>
      </c>
      <c r="O10" s="26" t="n">
        <v>3</v>
      </c>
      <c r="P10" s="28" t="n">
        <f aca="false">IF($C10=0,"",D10/$C10)</f>
        <v>0.538461538461538</v>
      </c>
      <c r="Q10" s="28" t="n">
        <f aca="false">IF($C10=0,"",E10/$C10)</f>
        <v>0.538461538461538</v>
      </c>
      <c r="R10" s="28" t="n">
        <f aca="false">IF($C10=0,"",F10/$C10)</f>
        <v>0.846153846153846</v>
      </c>
      <c r="S10" s="28" t="n">
        <f aca="false">IF($C10=0,"",G10/$C10)</f>
        <v>0.769230769230769</v>
      </c>
      <c r="T10" s="28" t="n">
        <f aca="false">IF($C10=0,"",H10/$C10)</f>
        <v>0.692307692307692</v>
      </c>
      <c r="U10" s="28" t="n">
        <f aca="false">IF($C10=0,"",I10/$C10)</f>
        <v>0.538461538461538</v>
      </c>
      <c r="V10" s="29" t="n">
        <f aca="false">IF($C10=0,"",K10/$C10)</f>
        <v>0.884615384615385</v>
      </c>
      <c r="W10" s="29" t="n">
        <f aca="false">IF($C10=0,"",M10/$C10)</f>
        <v>0.836730769230769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15</v>
      </c>
      <c r="D11" s="26" t="n">
        <v>5</v>
      </c>
      <c r="E11" s="26" t="n">
        <v>5</v>
      </c>
      <c r="F11" s="26" t="n">
        <v>9</v>
      </c>
      <c r="G11" s="26" t="n">
        <v>8</v>
      </c>
      <c r="H11" s="26" t="n">
        <v>6</v>
      </c>
      <c r="I11" s="26" t="n">
        <v>5</v>
      </c>
      <c r="J11" s="26" t="n">
        <v>0</v>
      </c>
      <c r="K11" s="27" t="n">
        <v>2.5</v>
      </c>
      <c r="L11" s="27" t="n">
        <v>0.8004</v>
      </c>
      <c r="M11" s="19" t="n">
        <f aca="false">K11-L11</f>
        <v>1.6996</v>
      </c>
      <c r="N11" s="26" t="n">
        <v>2</v>
      </c>
      <c r="O11" s="26" t="n">
        <v>4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0.6</v>
      </c>
      <c r="S11" s="28" t="n">
        <f aca="false">IF($C11=0,"",G11/$C11)</f>
        <v>0.533333333333333</v>
      </c>
      <c r="T11" s="28" t="n">
        <f aca="false">IF($C11=0,"",H11/$C11)</f>
        <v>0.4</v>
      </c>
      <c r="U11" s="28" t="n">
        <f aca="false">IF($C11=0,"",I11/$C11)</f>
        <v>0.333333333333333</v>
      </c>
      <c r="V11" s="29" t="n">
        <f aca="false">IF($C11=0,"",K11/$C11)</f>
        <v>0.166666666666667</v>
      </c>
      <c r="W11" s="29" t="n">
        <f aca="false">IF($C11=0,"",M11/$C11)</f>
        <v>0.113306666666667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17</v>
      </c>
      <c r="D12" s="26" t="n">
        <v>0</v>
      </c>
      <c r="E12" s="26" t="n">
        <v>0</v>
      </c>
      <c r="F12" s="26" t="n">
        <v>7</v>
      </c>
      <c r="G12" s="26" t="n">
        <v>6</v>
      </c>
      <c r="H12" s="26" t="n">
        <v>4</v>
      </c>
      <c r="I12" s="26" t="n">
        <v>0</v>
      </c>
      <c r="J12" s="26" t="n">
        <v>0</v>
      </c>
      <c r="K12" s="27" t="n">
        <v>-17</v>
      </c>
      <c r="L12" s="27" t="n">
        <v>1.0114</v>
      </c>
      <c r="M12" s="19" t="n">
        <f aca="false">K12-L12</f>
        <v>-18.0114</v>
      </c>
      <c r="N12" s="26" t="n">
        <v>0</v>
      </c>
      <c r="O12" s="26" t="n">
        <v>17</v>
      </c>
      <c r="P12" s="28" t="n">
        <f aca="false">IF($C12=0,"",D12/$C12)</f>
        <v>0</v>
      </c>
      <c r="Q12" s="28" t="n">
        <f aca="false">IF($C12=0,"",E12/$C12)</f>
        <v>0</v>
      </c>
      <c r="R12" s="28" t="n">
        <f aca="false">IF($C12=0,"",F12/$C12)</f>
        <v>0.411764705882353</v>
      </c>
      <c r="S12" s="28" t="n">
        <f aca="false">IF($C12=0,"",G12/$C12)</f>
        <v>0.352941176470588</v>
      </c>
      <c r="T12" s="28" t="n">
        <f aca="false">IF($C12=0,"",H12/$C12)</f>
        <v>0.235294117647059</v>
      </c>
      <c r="U12" s="28" t="n">
        <f aca="false">IF($C12=0,"",I12/$C12)</f>
        <v>0</v>
      </c>
      <c r="V12" s="29" t="n">
        <f aca="false">IF($C12=0,"",K12/$C12)</f>
        <v>-1</v>
      </c>
      <c r="W12" s="29" t="n">
        <f aca="false">IF($C12=0,"",M12/$C12)</f>
        <v>-1.05949411764706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16</v>
      </c>
      <c r="D13" s="26" t="n">
        <v>5</v>
      </c>
      <c r="E13" s="26" t="n">
        <v>5</v>
      </c>
      <c r="F13" s="26" t="n">
        <v>10</v>
      </c>
      <c r="G13" s="26" t="n">
        <v>8</v>
      </c>
      <c r="H13" s="26" t="n">
        <v>6</v>
      </c>
      <c r="I13" s="26" t="n">
        <v>5</v>
      </c>
      <c r="J13" s="26" t="n">
        <v>0</v>
      </c>
      <c r="K13" s="27" t="n">
        <v>1.5</v>
      </c>
      <c r="L13" s="27" t="n">
        <v>0.8911</v>
      </c>
      <c r="M13" s="19" t="n">
        <f aca="false">K13-L13</f>
        <v>0.6089</v>
      </c>
      <c r="N13" s="26" t="n">
        <v>2</v>
      </c>
      <c r="O13" s="26" t="n">
        <v>4</v>
      </c>
      <c r="P13" s="28" t="n">
        <f aca="false">IF($C13=0,"",D13/$C13)</f>
        <v>0.3125</v>
      </c>
      <c r="Q13" s="28" t="n">
        <f aca="false">IF($C13=0,"",E13/$C13)</f>
        <v>0.3125</v>
      </c>
      <c r="R13" s="28" t="n">
        <f aca="false">IF($C13=0,"",F13/$C13)</f>
        <v>0.625</v>
      </c>
      <c r="S13" s="28" t="n">
        <f aca="false">IF($C13=0,"",G13/$C13)</f>
        <v>0.5</v>
      </c>
      <c r="T13" s="28" t="n">
        <f aca="false">IF($C13=0,"",H13/$C13)</f>
        <v>0.375</v>
      </c>
      <c r="U13" s="28" t="n">
        <f aca="false">IF($C13=0,"",I13/$C13)</f>
        <v>0.3125</v>
      </c>
      <c r="V13" s="29" t="n">
        <f aca="false">IF($C13=0,"",K13/$C13)</f>
        <v>0.09375</v>
      </c>
      <c r="W13" s="29" t="n">
        <f aca="false">IF($C13=0,"",M13/$C13)</f>
        <v>0.03805625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16</v>
      </c>
      <c r="D14" s="26" t="n">
        <v>6</v>
      </c>
      <c r="E14" s="26" t="n">
        <v>6</v>
      </c>
      <c r="F14" s="26" t="n">
        <v>9</v>
      </c>
      <c r="G14" s="26" t="n">
        <v>7</v>
      </c>
      <c r="H14" s="26" t="n">
        <v>7</v>
      </c>
      <c r="I14" s="26" t="n">
        <v>6</v>
      </c>
      <c r="J14" s="26" t="n">
        <v>0</v>
      </c>
      <c r="K14" s="27" t="n">
        <v>5</v>
      </c>
      <c r="L14" s="27" t="n">
        <v>0.8707</v>
      </c>
      <c r="M14" s="19" t="n">
        <f aca="false">K14-L14</f>
        <v>4.1293</v>
      </c>
      <c r="N14" s="26" t="n">
        <v>2</v>
      </c>
      <c r="O14" s="26" t="n">
        <v>4</v>
      </c>
      <c r="P14" s="28" t="n">
        <f aca="false">IF($C14=0,"",D14/$C14)</f>
        <v>0.375</v>
      </c>
      <c r="Q14" s="28" t="n">
        <f aca="false">IF($C14=0,"",E14/$C14)</f>
        <v>0.375</v>
      </c>
      <c r="R14" s="28" t="n">
        <f aca="false">IF($C14=0,"",F14/$C14)</f>
        <v>0.5625</v>
      </c>
      <c r="S14" s="28" t="n">
        <f aca="false">IF($C14=0,"",G14/$C14)</f>
        <v>0.4375</v>
      </c>
      <c r="T14" s="28" t="n">
        <f aca="false">IF($C14=0,"",H14/$C14)</f>
        <v>0.4375</v>
      </c>
      <c r="U14" s="28" t="n">
        <f aca="false">IF($C14=0,"",I14/$C14)</f>
        <v>0.375</v>
      </c>
      <c r="V14" s="29" t="n">
        <f aca="false">IF($C14=0,"",K14/$C14)</f>
        <v>0.3125</v>
      </c>
      <c r="W14" s="29" t="n">
        <f aca="false">IF($C14=0,"",M14/$C14)</f>
        <v>0.25808125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24</v>
      </c>
      <c r="D15" s="26" t="n">
        <v>3</v>
      </c>
      <c r="E15" s="26" t="n">
        <v>3</v>
      </c>
      <c r="F15" s="26" t="n">
        <v>12</v>
      </c>
      <c r="G15" s="26" t="n">
        <v>9</v>
      </c>
      <c r="H15" s="26" t="n">
        <v>6</v>
      </c>
      <c r="I15" s="26" t="n">
        <v>3</v>
      </c>
      <c r="J15" s="26" t="n">
        <v>0</v>
      </c>
      <c r="K15" s="27" t="n">
        <v>-13.5</v>
      </c>
      <c r="L15" s="27" t="n">
        <v>1.0962</v>
      </c>
      <c r="M15" s="19" t="n">
        <f aca="false">K15-L15</f>
        <v>-14.5962</v>
      </c>
      <c r="N15" s="26" t="n">
        <v>1</v>
      </c>
      <c r="O15" s="26" t="n">
        <v>9</v>
      </c>
      <c r="P15" s="28" t="n">
        <f aca="false">IF($C15=0,"",D15/$C15)</f>
        <v>0.125</v>
      </c>
      <c r="Q15" s="28" t="n">
        <f aca="false">IF($C15=0,"",E15/$C15)</f>
        <v>0.125</v>
      </c>
      <c r="R15" s="28" t="n">
        <f aca="false">IF($C15=0,"",F15/$C15)</f>
        <v>0.5</v>
      </c>
      <c r="S15" s="28" t="n">
        <f aca="false">IF($C15=0,"",G15/$C15)</f>
        <v>0.375</v>
      </c>
      <c r="T15" s="28" t="n">
        <f aca="false">IF($C15=0,"",H15/$C15)</f>
        <v>0.25</v>
      </c>
      <c r="U15" s="28" t="n">
        <f aca="false">IF($C15=0,"",I15/$C15)</f>
        <v>0.125</v>
      </c>
      <c r="V15" s="29" t="n">
        <f aca="false">IF($C15=0,"",K15/$C15)</f>
        <v>-0.5625</v>
      </c>
      <c r="W15" s="29" t="n">
        <f aca="false">IF($C15=0,"",M15/$C15)</f>
        <v>-0.608175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23</v>
      </c>
      <c r="D16" s="26" t="n">
        <v>6</v>
      </c>
      <c r="E16" s="26" t="n">
        <v>6</v>
      </c>
      <c r="F16" s="26" t="n">
        <v>14</v>
      </c>
      <c r="G16" s="26" t="n">
        <v>13</v>
      </c>
      <c r="H16" s="26" t="n">
        <v>9</v>
      </c>
      <c r="I16" s="26" t="n">
        <v>6</v>
      </c>
      <c r="J16" s="26" t="n">
        <v>0</v>
      </c>
      <c r="K16" s="27" t="n">
        <v>-2</v>
      </c>
      <c r="L16" s="27" t="n">
        <v>1.4743</v>
      </c>
      <c r="M16" s="19" t="n">
        <f aca="false">K16-L16</f>
        <v>-3.4743</v>
      </c>
      <c r="N16" s="26" t="n">
        <v>2</v>
      </c>
      <c r="O16" s="26" t="n">
        <v>8</v>
      </c>
      <c r="P16" s="28" t="n">
        <f aca="false">IF($C16=0,"",D16/$C16)</f>
        <v>0.260869565217391</v>
      </c>
      <c r="Q16" s="28" t="n">
        <f aca="false">IF($C16=0,"",E16/$C16)</f>
        <v>0.260869565217391</v>
      </c>
      <c r="R16" s="28" t="n">
        <f aca="false">IF($C16=0,"",F16/$C16)</f>
        <v>0.608695652173913</v>
      </c>
      <c r="S16" s="28" t="n">
        <f aca="false">IF($C16=0,"",G16/$C16)</f>
        <v>0.565217391304348</v>
      </c>
      <c r="T16" s="28" t="n">
        <f aca="false">IF($C16=0,"",H16/$C16)</f>
        <v>0.391304347826087</v>
      </c>
      <c r="U16" s="28" t="n">
        <f aca="false">IF($C16=0,"",I16/$C16)</f>
        <v>0.260869565217391</v>
      </c>
      <c r="V16" s="29" t="n">
        <f aca="false">IF($C16=0,"",K16/$C16)</f>
        <v>-0.0869565217391304</v>
      </c>
      <c r="W16" s="29" t="n">
        <f aca="false">IF($C16=0,"",M16/$C16)</f>
        <v>-0.15105652173913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24</v>
      </c>
      <c r="D17" s="26" t="n">
        <v>8</v>
      </c>
      <c r="E17" s="26" t="n">
        <v>8</v>
      </c>
      <c r="F17" s="26" t="n">
        <v>17</v>
      </c>
      <c r="G17" s="26" t="n">
        <v>16</v>
      </c>
      <c r="H17" s="26" t="n">
        <v>10</v>
      </c>
      <c r="I17" s="26" t="n">
        <v>8</v>
      </c>
      <c r="J17" s="26" t="n">
        <v>0</v>
      </c>
      <c r="K17" s="27" t="n">
        <v>4</v>
      </c>
      <c r="L17" s="27" t="n">
        <v>1.9975</v>
      </c>
      <c r="M17" s="19" t="n">
        <f aca="false">K17-L17</f>
        <v>2.0025</v>
      </c>
      <c r="N17" s="26" t="n">
        <v>2</v>
      </c>
      <c r="O17" s="26" t="n">
        <v>6</v>
      </c>
      <c r="P17" s="28" t="n">
        <f aca="false">IF($C17=0,"",D17/$C17)</f>
        <v>0.333333333333333</v>
      </c>
      <c r="Q17" s="28" t="n">
        <f aca="false">IF($C17=0,"",E17/$C17)</f>
        <v>0.333333333333333</v>
      </c>
      <c r="R17" s="28" t="n">
        <f aca="false">IF($C17=0,"",F17/$C17)</f>
        <v>0.708333333333333</v>
      </c>
      <c r="S17" s="28" t="n">
        <f aca="false">IF($C17=0,"",G17/$C17)</f>
        <v>0.666666666666667</v>
      </c>
      <c r="T17" s="28" t="n">
        <f aca="false">IF($C17=0,"",H17/$C17)</f>
        <v>0.416666666666667</v>
      </c>
      <c r="U17" s="28" t="n">
        <f aca="false">IF($C17=0,"",I17/$C17)</f>
        <v>0.333333333333333</v>
      </c>
      <c r="V17" s="29" t="n">
        <f aca="false">IF($C17=0,"",K17/$C17)</f>
        <v>0.166666666666667</v>
      </c>
      <c r="W17" s="29" t="n">
        <f aca="false">IF($C17=0,"",M17/$C17)</f>
        <v>0.0834375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230</v>
      </c>
      <c r="D18" s="30" t="n">
        <f aca="false">SUM(D6:D17)</f>
        <v>62</v>
      </c>
      <c r="E18" s="30" t="n">
        <f aca="false">SUM(E6:E17)</f>
        <v>62</v>
      </c>
      <c r="F18" s="30" t="n">
        <f aca="false">SUM(F6:F17)</f>
        <v>144</v>
      </c>
      <c r="G18" s="30" t="n">
        <f aca="false">SUM(G6:G17)</f>
        <v>121</v>
      </c>
      <c r="H18" s="30" t="n">
        <f aca="false">SUM(H6:H17)</f>
        <v>95</v>
      </c>
      <c r="I18" s="30" t="n">
        <f aca="false">SUM(I6:I17)</f>
        <v>62</v>
      </c>
      <c r="J18" s="30" t="n">
        <f aca="false">SUM(J6:J17)</f>
        <v>0</v>
      </c>
      <c r="K18" s="31" t="n">
        <f aca="false">SUM(K6:K17)</f>
        <v>-13</v>
      </c>
      <c r="L18" s="31" t="n">
        <f aca="false">SUM(L6:L17)</f>
        <v>12.4143</v>
      </c>
      <c r="M18" s="31" t="n">
        <f aca="false">K18-L18</f>
        <v>-25.4143</v>
      </c>
      <c r="N18" s="32" t="n">
        <v>3</v>
      </c>
      <c r="O18" s="32" t="n">
        <v>21</v>
      </c>
      <c r="P18" s="33" t="n">
        <f aca="false">IF($C18=0,"",D18/$C18)</f>
        <v>0.269565217391304</v>
      </c>
      <c r="Q18" s="33" t="n">
        <f aca="false">IF($C18=0,"",E18/$C18)</f>
        <v>0.269565217391304</v>
      </c>
      <c r="R18" s="33" t="n">
        <f aca="false">IF($C18=0,"",F18/$C18)</f>
        <v>0.626086956521739</v>
      </c>
      <c r="S18" s="33" t="n">
        <f aca="false">IF($C18=0,"",G18/$C18)</f>
        <v>0.526086956521739</v>
      </c>
      <c r="T18" s="33" t="n">
        <f aca="false">IF($C18=0,"",H18/$C18)</f>
        <v>0.41304347826087</v>
      </c>
      <c r="U18" s="33" t="n">
        <f aca="false">IF($C18=0,"",I18/$C18)</f>
        <v>0.269565217391304</v>
      </c>
      <c r="V18" s="34" t="n">
        <f aca="false">IF($C18=0,"",K18/$C18)</f>
        <v>-0.0565217391304348</v>
      </c>
      <c r="W18" s="34" t="n">
        <f aca="false">IF($C18=0,"",M18/$C18)</f>
        <v>-0.110496956521739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27</v>
      </c>
      <c r="D19" s="26" t="n">
        <v>8</v>
      </c>
      <c r="E19" s="26" t="n">
        <v>8</v>
      </c>
      <c r="F19" s="26" t="n">
        <v>13</v>
      </c>
      <c r="G19" s="26" t="n">
        <v>11</v>
      </c>
      <c r="H19" s="26" t="n">
        <v>10</v>
      </c>
      <c r="I19" s="26" t="n">
        <v>8</v>
      </c>
      <c r="J19" s="26" t="n">
        <v>0</v>
      </c>
      <c r="K19" s="27" t="n">
        <v>1</v>
      </c>
      <c r="L19" s="27" t="n">
        <v>2.1986</v>
      </c>
      <c r="M19" s="19" t="n">
        <f aca="false">K19-L19</f>
        <v>-1.1986</v>
      </c>
      <c r="N19" s="26" t="n">
        <v>2</v>
      </c>
      <c r="O19" s="26" t="n">
        <v>4</v>
      </c>
      <c r="P19" s="28" t="n">
        <f aca="false">IF($C19=0,"",D19/$C19)</f>
        <v>0.296296296296296</v>
      </c>
      <c r="Q19" s="28" t="n">
        <f aca="false">IF($C19=0,"",E19/$C19)</f>
        <v>0.296296296296296</v>
      </c>
      <c r="R19" s="28" t="n">
        <f aca="false">IF($C19=0,"",F19/$C19)</f>
        <v>0.481481481481481</v>
      </c>
      <c r="S19" s="28" t="n">
        <f aca="false">IF($C19=0,"",G19/$C19)</f>
        <v>0.407407407407407</v>
      </c>
      <c r="T19" s="28" t="n">
        <f aca="false">IF($C19=0,"",H19/$C19)</f>
        <v>0.37037037037037</v>
      </c>
      <c r="U19" s="28" t="n">
        <f aca="false">IF($C19=0,"",I19/$C19)</f>
        <v>0.296296296296296</v>
      </c>
      <c r="V19" s="29" t="n">
        <f aca="false">IF($C19=0,"",K19/$C19)</f>
        <v>0.037037037037037</v>
      </c>
      <c r="W19" s="29" t="n">
        <f aca="false">IF($C19=0,"",M19/$C19)</f>
        <v>-0.0443925925925926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16</v>
      </c>
      <c r="D20" s="26" t="n">
        <v>6</v>
      </c>
      <c r="E20" s="26" t="n">
        <v>6</v>
      </c>
      <c r="F20" s="26" t="n">
        <v>14</v>
      </c>
      <c r="G20" s="26" t="n">
        <v>11</v>
      </c>
      <c r="H20" s="26" t="n">
        <v>7</v>
      </c>
      <c r="I20" s="26" t="n">
        <v>6</v>
      </c>
      <c r="J20" s="26" t="n">
        <v>0</v>
      </c>
      <c r="K20" s="27" t="n">
        <v>5</v>
      </c>
      <c r="L20" s="27" t="n">
        <v>0.7911</v>
      </c>
      <c r="M20" s="19" t="n">
        <f aca="false">K20-L20</f>
        <v>4.2089</v>
      </c>
      <c r="N20" s="26" t="n">
        <v>3</v>
      </c>
      <c r="O20" s="26" t="n">
        <v>3</v>
      </c>
      <c r="P20" s="28" t="n">
        <f aca="false">IF($C20=0,"",D20/$C20)</f>
        <v>0.375</v>
      </c>
      <c r="Q20" s="28" t="n">
        <f aca="false">IF($C20=0,"",E20/$C20)</f>
        <v>0.375</v>
      </c>
      <c r="R20" s="28" t="n">
        <f aca="false">IF($C20=0,"",F20/$C20)</f>
        <v>0.875</v>
      </c>
      <c r="S20" s="28" t="n">
        <f aca="false">IF($C20=0,"",G20/$C20)</f>
        <v>0.6875</v>
      </c>
      <c r="T20" s="28" t="n">
        <f aca="false">IF($C20=0,"",H20/$C20)</f>
        <v>0.4375</v>
      </c>
      <c r="U20" s="28" t="n">
        <f aca="false">IF($C20=0,"",I20/$C20)</f>
        <v>0.375</v>
      </c>
      <c r="V20" s="29" t="n">
        <f aca="false">IF($C20=0,"",K20/$C20)</f>
        <v>0.3125</v>
      </c>
      <c r="W20" s="29" t="n">
        <f aca="false">IF($C20=0,"",M20/$C20)</f>
        <v>0.26305625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22</v>
      </c>
      <c r="D21" s="26" t="n">
        <v>6</v>
      </c>
      <c r="E21" s="26" t="n">
        <v>6</v>
      </c>
      <c r="F21" s="26" t="n">
        <v>15</v>
      </c>
      <c r="G21" s="26" t="n">
        <v>10</v>
      </c>
      <c r="H21" s="26" t="n">
        <v>9</v>
      </c>
      <c r="I21" s="26" t="n">
        <v>6</v>
      </c>
      <c r="J21" s="26" t="n">
        <v>0</v>
      </c>
      <c r="K21" s="27" t="n">
        <v>-1</v>
      </c>
      <c r="L21" s="27" t="n">
        <v>0.7013</v>
      </c>
      <c r="M21" s="19" t="n">
        <f aca="false">K21-L21</f>
        <v>-1.7013</v>
      </c>
      <c r="N21" s="26" t="n">
        <v>2</v>
      </c>
      <c r="O21" s="26" t="n">
        <v>7</v>
      </c>
      <c r="P21" s="28" t="n">
        <f aca="false">IF($C21=0,"",D21/$C21)</f>
        <v>0.272727272727273</v>
      </c>
      <c r="Q21" s="28" t="n">
        <f aca="false">IF($C21=0,"",E21/$C21)</f>
        <v>0.272727272727273</v>
      </c>
      <c r="R21" s="28" t="n">
        <f aca="false">IF($C21=0,"",F21/$C21)</f>
        <v>0.681818181818182</v>
      </c>
      <c r="S21" s="28" t="n">
        <f aca="false">IF($C21=0,"",G21/$C21)</f>
        <v>0.454545454545455</v>
      </c>
      <c r="T21" s="28" t="n">
        <f aca="false">IF($C21=0,"",H21/$C21)</f>
        <v>0.409090909090909</v>
      </c>
      <c r="U21" s="28" t="n">
        <f aca="false">IF($C21=0,"",I21/$C21)</f>
        <v>0.272727272727273</v>
      </c>
      <c r="V21" s="29" t="n">
        <f aca="false">IF($C21=0,"",K21/$C21)</f>
        <v>-0.0454545454545455</v>
      </c>
      <c r="W21" s="29" t="n">
        <f aca="false">IF($C21=0,"",M21/$C21)</f>
        <v>-0.0773318181818182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20</v>
      </c>
      <c r="D22" s="26" t="n">
        <v>6</v>
      </c>
      <c r="E22" s="26" t="n">
        <v>6</v>
      </c>
      <c r="F22" s="26" t="n">
        <v>11</v>
      </c>
      <c r="G22" s="26" t="n">
        <v>10</v>
      </c>
      <c r="H22" s="26" t="n">
        <v>7</v>
      </c>
      <c r="I22" s="26" t="n">
        <v>6</v>
      </c>
      <c r="J22" s="26" t="n">
        <v>0</v>
      </c>
      <c r="K22" s="27" t="n">
        <v>1</v>
      </c>
      <c r="L22" s="27" t="n">
        <v>0.8018</v>
      </c>
      <c r="M22" s="19" t="n">
        <f aca="false">K22-L22</f>
        <v>0.1982</v>
      </c>
      <c r="N22" s="26" t="n">
        <v>2</v>
      </c>
      <c r="O22" s="26" t="n">
        <v>7</v>
      </c>
      <c r="P22" s="28" t="n">
        <f aca="false">IF($C22=0,"",D22/$C22)</f>
        <v>0.3</v>
      </c>
      <c r="Q22" s="28" t="n">
        <f aca="false">IF($C22=0,"",E22/$C22)</f>
        <v>0.3</v>
      </c>
      <c r="R22" s="28" t="n">
        <f aca="false">IF($C22=0,"",F22/$C22)</f>
        <v>0.55</v>
      </c>
      <c r="S22" s="28" t="n">
        <f aca="false">IF($C22=0,"",G22/$C22)</f>
        <v>0.5</v>
      </c>
      <c r="T22" s="28" t="n">
        <f aca="false">IF($C22=0,"",H22/$C22)</f>
        <v>0.35</v>
      </c>
      <c r="U22" s="28" t="n">
        <f aca="false">IF($C22=0,"",I22/$C22)</f>
        <v>0.3</v>
      </c>
      <c r="V22" s="29" t="n">
        <f aca="false">IF($C22=0,"",K22/$C22)</f>
        <v>0.05</v>
      </c>
      <c r="W22" s="29" t="n">
        <f aca="false">IF($C22=0,"",M22/$C22)</f>
        <v>0.00991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25</v>
      </c>
      <c r="D23" s="26" t="n">
        <v>6</v>
      </c>
      <c r="E23" s="26" t="n">
        <v>6</v>
      </c>
      <c r="F23" s="26" t="n">
        <v>13</v>
      </c>
      <c r="G23" s="26" t="n">
        <v>12</v>
      </c>
      <c r="H23" s="26" t="n">
        <v>9</v>
      </c>
      <c r="I23" s="26" t="n">
        <v>6</v>
      </c>
      <c r="J23" s="26" t="n">
        <v>0</v>
      </c>
      <c r="K23" s="27" t="n">
        <v>-4</v>
      </c>
      <c r="L23" s="27" t="n">
        <v>1.1616</v>
      </c>
      <c r="M23" s="19" t="n">
        <f aca="false">K23-L23</f>
        <v>-5.1616</v>
      </c>
      <c r="N23" s="26" t="n">
        <v>1</v>
      </c>
      <c r="O23" s="26" t="n">
        <v>6</v>
      </c>
      <c r="P23" s="28" t="n">
        <f aca="false">IF($C23=0,"",D23/$C23)</f>
        <v>0.24</v>
      </c>
      <c r="Q23" s="28" t="n">
        <f aca="false">IF($C23=0,"",E23/$C23)</f>
        <v>0.24</v>
      </c>
      <c r="R23" s="28" t="n">
        <f aca="false">IF($C23=0,"",F23/$C23)</f>
        <v>0.52</v>
      </c>
      <c r="S23" s="28" t="n">
        <f aca="false">IF($C23=0,"",G23/$C23)</f>
        <v>0.48</v>
      </c>
      <c r="T23" s="28" t="n">
        <f aca="false">IF($C23=0,"",H23/$C23)</f>
        <v>0.36</v>
      </c>
      <c r="U23" s="28" t="n">
        <f aca="false">IF($C23=0,"",I23/$C23)</f>
        <v>0.24</v>
      </c>
      <c r="V23" s="29" t="n">
        <f aca="false">IF($C23=0,"",K23/$C23)</f>
        <v>-0.16</v>
      </c>
      <c r="W23" s="29" t="n">
        <f aca="false">IF($C23=0,"",M23/$C23)</f>
        <v>-0.206464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22</v>
      </c>
      <c r="D24" s="26" t="n">
        <v>10</v>
      </c>
      <c r="E24" s="26" t="n">
        <v>10</v>
      </c>
      <c r="F24" s="26" t="n">
        <v>16</v>
      </c>
      <c r="G24" s="26" t="n">
        <v>14</v>
      </c>
      <c r="H24" s="26" t="n">
        <v>12</v>
      </c>
      <c r="I24" s="26" t="n">
        <v>10</v>
      </c>
      <c r="J24" s="26" t="n">
        <v>0</v>
      </c>
      <c r="K24" s="27" t="n">
        <v>13</v>
      </c>
      <c r="L24" s="27" t="n">
        <v>1.4411</v>
      </c>
      <c r="M24" s="19" t="n">
        <f aca="false">K24-L24</f>
        <v>11.5589</v>
      </c>
      <c r="N24" s="26" t="n">
        <v>2</v>
      </c>
      <c r="O24" s="26" t="n">
        <v>3</v>
      </c>
      <c r="P24" s="28" t="n">
        <f aca="false">IF($C24=0,"",D24/$C24)</f>
        <v>0.454545454545455</v>
      </c>
      <c r="Q24" s="28" t="n">
        <f aca="false">IF($C24=0,"",E24/$C24)</f>
        <v>0.454545454545455</v>
      </c>
      <c r="R24" s="28" t="n">
        <f aca="false">IF($C24=0,"",F24/$C24)</f>
        <v>0.727272727272727</v>
      </c>
      <c r="S24" s="28" t="n">
        <f aca="false">IF($C24=0,"",G24/$C24)</f>
        <v>0.636363636363636</v>
      </c>
      <c r="T24" s="28" t="n">
        <f aca="false">IF($C24=0,"",H24/$C24)</f>
        <v>0.545454545454545</v>
      </c>
      <c r="U24" s="28" t="n">
        <f aca="false">IF($C24=0,"",I24/$C24)</f>
        <v>0.454545454545455</v>
      </c>
      <c r="V24" s="29" t="n">
        <f aca="false">IF($C24=0,"",K24/$C24)</f>
        <v>0.590909090909091</v>
      </c>
      <c r="W24" s="29" t="n">
        <f aca="false">IF($C24=0,"",M24/$C24)</f>
        <v>0.525404545454545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16</v>
      </c>
      <c r="D25" s="26" t="n">
        <v>8</v>
      </c>
      <c r="E25" s="26" t="n">
        <v>8</v>
      </c>
      <c r="F25" s="26" t="n">
        <v>12</v>
      </c>
      <c r="G25" s="26" t="n">
        <v>11</v>
      </c>
      <c r="H25" s="26" t="n">
        <v>9</v>
      </c>
      <c r="I25" s="26" t="n">
        <v>8</v>
      </c>
      <c r="J25" s="26" t="n">
        <v>0</v>
      </c>
      <c r="K25" s="27" t="n">
        <v>12</v>
      </c>
      <c r="L25" s="27" t="n">
        <v>0.9695</v>
      </c>
      <c r="M25" s="19" t="n">
        <f aca="false">K25-L25</f>
        <v>11.0305</v>
      </c>
      <c r="N25" s="26" t="n">
        <v>3</v>
      </c>
      <c r="O25" s="26" t="n">
        <v>3</v>
      </c>
      <c r="P25" s="28" t="n">
        <f aca="false">IF($C25=0,"",D25/$C25)</f>
        <v>0.5</v>
      </c>
      <c r="Q25" s="28" t="n">
        <f aca="false">IF($C25=0,"",E25/$C25)</f>
        <v>0.5</v>
      </c>
      <c r="R25" s="28" t="n">
        <f aca="false">IF($C25=0,"",F25/$C25)</f>
        <v>0.75</v>
      </c>
      <c r="S25" s="28" t="n">
        <f aca="false">IF($C25=0,"",G25/$C25)</f>
        <v>0.6875</v>
      </c>
      <c r="T25" s="28" t="n">
        <f aca="false">IF($C25=0,"",H25/$C25)</f>
        <v>0.5625</v>
      </c>
      <c r="U25" s="28" t="n">
        <f aca="false">IF($C25=0,"",I25/$C25)</f>
        <v>0.5</v>
      </c>
      <c r="V25" s="29" t="n">
        <f aca="false">IF($C25=0,"",K25/$C25)</f>
        <v>0.75</v>
      </c>
      <c r="W25" s="29" t="n">
        <f aca="false">IF($C25=0,"",M25/$C25)</f>
        <v>0.68940625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18</v>
      </c>
      <c r="D26" s="26" t="n">
        <v>7</v>
      </c>
      <c r="E26" s="26" t="n">
        <v>7</v>
      </c>
      <c r="F26" s="26" t="n">
        <v>13</v>
      </c>
      <c r="G26" s="26" t="n">
        <v>11</v>
      </c>
      <c r="H26" s="26" t="n">
        <v>9</v>
      </c>
      <c r="I26" s="26" t="n">
        <v>7</v>
      </c>
      <c r="J26" s="26" t="n">
        <v>0</v>
      </c>
      <c r="K26" s="27" t="n">
        <v>6.5</v>
      </c>
      <c r="L26" s="27" t="n">
        <v>1.1204</v>
      </c>
      <c r="M26" s="19" t="n">
        <f aca="false">K26-L26</f>
        <v>5.3796</v>
      </c>
      <c r="N26" s="26" t="n">
        <v>3</v>
      </c>
      <c r="O26" s="26" t="n">
        <v>6</v>
      </c>
      <c r="P26" s="28" t="n">
        <f aca="false">IF($C26=0,"",D26/$C26)</f>
        <v>0.388888888888889</v>
      </c>
      <c r="Q26" s="28" t="n">
        <f aca="false">IF($C26=0,"",E26/$C26)</f>
        <v>0.388888888888889</v>
      </c>
      <c r="R26" s="28" t="n">
        <f aca="false">IF($C26=0,"",F26/$C26)</f>
        <v>0.722222222222222</v>
      </c>
      <c r="S26" s="28" t="n">
        <f aca="false">IF($C26=0,"",G26/$C26)</f>
        <v>0.611111111111111</v>
      </c>
      <c r="T26" s="28" t="n">
        <f aca="false">IF($C26=0,"",H26/$C26)</f>
        <v>0.5</v>
      </c>
      <c r="U26" s="28" t="n">
        <f aca="false">IF($C26=0,"",I26/$C26)</f>
        <v>0.388888888888889</v>
      </c>
      <c r="V26" s="29" t="n">
        <f aca="false">IF($C26=0,"",K26/$C26)</f>
        <v>0.361111111111111</v>
      </c>
      <c r="W26" s="29" t="n">
        <f aca="false">IF($C26=0,"",M26/$C26)</f>
        <v>0.298866666666667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23</v>
      </c>
      <c r="D27" s="26" t="n">
        <v>8</v>
      </c>
      <c r="E27" s="26" t="n">
        <v>8</v>
      </c>
      <c r="F27" s="26" t="n">
        <v>14</v>
      </c>
      <c r="G27" s="26" t="n">
        <v>10</v>
      </c>
      <c r="H27" s="26" t="n">
        <v>10</v>
      </c>
      <c r="I27" s="26" t="n">
        <v>8</v>
      </c>
      <c r="J27" s="26" t="n">
        <v>0</v>
      </c>
      <c r="K27" s="27" t="n">
        <v>5</v>
      </c>
      <c r="L27" s="27" t="n">
        <v>1.3898</v>
      </c>
      <c r="M27" s="19" t="n">
        <f aca="false">K27-L27</f>
        <v>3.6102</v>
      </c>
      <c r="N27" s="26" t="n">
        <v>3</v>
      </c>
      <c r="O27" s="26" t="n">
        <v>4</v>
      </c>
      <c r="P27" s="28" t="n">
        <f aca="false">IF($C27=0,"",D27/$C27)</f>
        <v>0.347826086956522</v>
      </c>
      <c r="Q27" s="28" t="n">
        <f aca="false">IF($C27=0,"",E27/$C27)</f>
        <v>0.347826086956522</v>
      </c>
      <c r="R27" s="28" t="n">
        <f aca="false">IF($C27=0,"",F27/$C27)</f>
        <v>0.608695652173913</v>
      </c>
      <c r="S27" s="28" t="n">
        <f aca="false">IF($C27=0,"",G27/$C27)</f>
        <v>0.434782608695652</v>
      </c>
      <c r="T27" s="28" t="n">
        <f aca="false">IF($C27=0,"",H27/$C27)</f>
        <v>0.434782608695652</v>
      </c>
      <c r="U27" s="28" t="n">
        <f aca="false">IF($C27=0,"",I27/$C27)</f>
        <v>0.347826086956522</v>
      </c>
      <c r="V27" s="29" t="n">
        <f aca="false">IF($C27=0,"",K27/$C27)</f>
        <v>0.217391304347826</v>
      </c>
      <c r="W27" s="29" t="n">
        <f aca="false">IF($C27=0,"",M27/$C27)</f>
        <v>0.156965217391304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16</v>
      </c>
      <c r="D28" s="26" t="n">
        <v>4</v>
      </c>
      <c r="E28" s="26" t="n">
        <v>4</v>
      </c>
      <c r="F28" s="26" t="n">
        <v>11</v>
      </c>
      <c r="G28" s="26" t="n">
        <v>10</v>
      </c>
      <c r="H28" s="26" t="n">
        <v>9</v>
      </c>
      <c r="I28" s="26" t="n">
        <v>4</v>
      </c>
      <c r="J28" s="26" t="n">
        <v>0</v>
      </c>
      <c r="K28" s="27" t="n">
        <v>-2</v>
      </c>
      <c r="L28" s="27" t="n">
        <v>0.8682</v>
      </c>
      <c r="M28" s="19" t="n">
        <f aca="false">K28-L28</f>
        <v>-2.8682</v>
      </c>
      <c r="N28" s="26" t="n">
        <v>2</v>
      </c>
      <c r="O28" s="26" t="n">
        <v>4</v>
      </c>
      <c r="P28" s="28" t="n">
        <f aca="false">IF($C28=0,"",D28/$C28)</f>
        <v>0.25</v>
      </c>
      <c r="Q28" s="28" t="n">
        <f aca="false">IF($C28=0,"",E28/$C28)</f>
        <v>0.25</v>
      </c>
      <c r="R28" s="28" t="n">
        <f aca="false">IF($C28=0,"",F28/$C28)</f>
        <v>0.6875</v>
      </c>
      <c r="S28" s="28" t="n">
        <f aca="false">IF($C28=0,"",G28/$C28)</f>
        <v>0.625</v>
      </c>
      <c r="T28" s="28" t="n">
        <f aca="false">IF($C28=0,"",H28/$C28)</f>
        <v>0.5625</v>
      </c>
      <c r="U28" s="28" t="n">
        <f aca="false">IF($C28=0,"",I28/$C28)</f>
        <v>0.25</v>
      </c>
      <c r="V28" s="29" t="n">
        <f aca="false">IF($C28=0,"",K28/$C28)</f>
        <v>-0.125</v>
      </c>
      <c r="W28" s="29" t="n">
        <f aca="false">IF($C28=0,"",M28/$C28)</f>
        <v>-0.1792625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20</v>
      </c>
      <c r="D29" s="26" t="n">
        <v>8</v>
      </c>
      <c r="E29" s="26" t="n">
        <v>8</v>
      </c>
      <c r="F29" s="26" t="n">
        <v>10</v>
      </c>
      <c r="G29" s="26" t="n">
        <v>9</v>
      </c>
      <c r="H29" s="26" t="n">
        <v>8</v>
      </c>
      <c r="I29" s="26" t="n">
        <v>8</v>
      </c>
      <c r="J29" s="26" t="n">
        <v>0</v>
      </c>
      <c r="K29" s="27" t="n">
        <v>8</v>
      </c>
      <c r="L29" s="27" t="n">
        <v>1.4087</v>
      </c>
      <c r="M29" s="19" t="n">
        <f aca="false">K29-L29</f>
        <v>6.5913</v>
      </c>
      <c r="N29" s="26" t="n">
        <v>4</v>
      </c>
      <c r="O29" s="26" t="n">
        <v>4</v>
      </c>
      <c r="P29" s="28" t="n">
        <f aca="false">IF($C29=0,"",D29/$C29)</f>
        <v>0.4</v>
      </c>
      <c r="Q29" s="28" t="n">
        <f aca="false">IF($C29=0,"",E29/$C29)</f>
        <v>0.4</v>
      </c>
      <c r="R29" s="28" t="n">
        <f aca="false">IF($C29=0,"",F29/$C29)</f>
        <v>0.5</v>
      </c>
      <c r="S29" s="28" t="n">
        <f aca="false">IF($C29=0,"",G29/$C29)</f>
        <v>0.45</v>
      </c>
      <c r="T29" s="28" t="n">
        <f aca="false">IF($C29=0,"",H29/$C29)</f>
        <v>0.4</v>
      </c>
      <c r="U29" s="28" t="n">
        <f aca="false">IF($C29=0,"",I29/$C29)</f>
        <v>0.4</v>
      </c>
      <c r="V29" s="29" t="n">
        <f aca="false">IF($C29=0,"",K29/$C29)</f>
        <v>0.4</v>
      </c>
      <c r="W29" s="29" t="n">
        <f aca="false">IF($C29=0,"",M29/$C29)</f>
        <v>0.329565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27</v>
      </c>
      <c r="D30" s="26" t="n">
        <v>10</v>
      </c>
      <c r="E30" s="26" t="n">
        <v>10</v>
      </c>
      <c r="F30" s="26" t="n">
        <v>15</v>
      </c>
      <c r="G30" s="26" t="n">
        <v>13</v>
      </c>
      <c r="H30" s="26" t="n">
        <v>12</v>
      </c>
      <c r="I30" s="26" t="n">
        <v>10</v>
      </c>
      <c r="J30" s="26" t="n">
        <v>0</v>
      </c>
      <c r="K30" s="27" t="n">
        <v>8</v>
      </c>
      <c r="L30" s="27" t="n">
        <v>1.7373</v>
      </c>
      <c r="M30" s="19" t="n">
        <f aca="false">K30-L30</f>
        <v>6.2627</v>
      </c>
      <c r="N30" s="26" t="n">
        <v>3</v>
      </c>
      <c r="O30" s="26" t="n">
        <v>10</v>
      </c>
      <c r="P30" s="28" t="n">
        <f aca="false">IF($C30=0,"",D30/$C30)</f>
        <v>0.37037037037037</v>
      </c>
      <c r="Q30" s="28" t="n">
        <f aca="false">IF($C30=0,"",E30/$C30)</f>
        <v>0.37037037037037</v>
      </c>
      <c r="R30" s="28" t="n">
        <f aca="false">IF($C30=0,"",F30/$C30)</f>
        <v>0.555555555555556</v>
      </c>
      <c r="S30" s="28" t="n">
        <f aca="false">IF($C30=0,"",G30/$C30)</f>
        <v>0.481481481481481</v>
      </c>
      <c r="T30" s="28" t="n">
        <f aca="false">IF($C30=0,"",H30/$C30)</f>
        <v>0.444444444444444</v>
      </c>
      <c r="U30" s="28" t="n">
        <f aca="false">IF($C30=0,"",I30/$C30)</f>
        <v>0.37037037037037</v>
      </c>
      <c r="V30" s="29" t="n">
        <f aca="false">IF($C30=0,"",K30/$C30)</f>
        <v>0.296296296296296</v>
      </c>
      <c r="W30" s="29" t="n">
        <f aca="false">IF($C30=0,"",M30/$C30)</f>
        <v>0.231951851851852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252</v>
      </c>
      <c r="D31" s="30" t="n">
        <f aca="false">SUM(D19:D30)</f>
        <v>87</v>
      </c>
      <c r="E31" s="30" t="n">
        <f aca="false">SUM(E19:E30)</f>
        <v>87</v>
      </c>
      <c r="F31" s="30" t="n">
        <f aca="false">SUM(F19:F30)</f>
        <v>157</v>
      </c>
      <c r="G31" s="30" t="n">
        <f aca="false">SUM(G19:G30)</f>
        <v>132</v>
      </c>
      <c r="H31" s="30" t="n">
        <f aca="false">SUM(H19:H30)</f>
        <v>111</v>
      </c>
      <c r="I31" s="30" t="n">
        <f aca="false">SUM(I19:I30)</f>
        <v>87</v>
      </c>
      <c r="J31" s="30" t="n">
        <f aca="false">SUM(J19:J30)</f>
        <v>0</v>
      </c>
      <c r="K31" s="31" t="n">
        <f aca="false">SUM(K19:K30)</f>
        <v>52.5</v>
      </c>
      <c r="L31" s="31" t="n">
        <f aca="false">SUM(L19:L30)</f>
        <v>14.5894</v>
      </c>
      <c r="M31" s="31" t="n">
        <f aca="false">K31-L31</f>
        <v>37.9106</v>
      </c>
      <c r="N31" s="32" t="n">
        <v>5</v>
      </c>
      <c r="O31" s="32" t="n">
        <v>10</v>
      </c>
      <c r="P31" s="33" t="n">
        <f aca="false">IF($C31=0,"",D31/$C31)</f>
        <v>0.345238095238095</v>
      </c>
      <c r="Q31" s="33" t="n">
        <f aca="false">IF($C31=0,"",E31/$C31)</f>
        <v>0.345238095238095</v>
      </c>
      <c r="R31" s="33" t="n">
        <f aca="false">IF($C31=0,"",F31/$C31)</f>
        <v>0.623015873015873</v>
      </c>
      <c r="S31" s="33" t="n">
        <f aca="false">IF($C31=0,"",G31/$C31)</f>
        <v>0.523809523809524</v>
      </c>
      <c r="T31" s="33" t="n">
        <f aca="false">IF($C31=0,"",H31/$C31)</f>
        <v>0.44047619047619</v>
      </c>
      <c r="U31" s="33" t="n">
        <f aca="false">IF($C31=0,"",I31/$C31)</f>
        <v>0.345238095238095</v>
      </c>
      <c r="V31" s="34" t="n">
        <f aca="false">IF($C31=0,"",K31/$C31)</f>
        <v>0.208333333333333</v>
      </c>
      <c r="W31" s="34" t="n">
        <f aca="false">IF($C31=0,"",M31/$C31)</f>
        <v>0.150438888888889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23</v>
      </c>
      <c r="D32" s="26" t="n">
        <v>9</v>
      </c>
      <c r="E32" s="26" t="n">
        <v>9</v>
      </c>
      <c r="F32" s="26" t="n">
        <v>16</v>
      </c>
      <c r="G32" s="26" t="n">
        <v>12</v>
      </c>
      <c r="H32" s="26" t="n">
        <v>10</v>
      </c>
      <c r="I32" s="26" t="n">
        <v>9</v>
      </c>
      <c r="J32" s="26" t="n">
        <v>0</v>
      </c>
      <c r="K32" s="27" t="n">
        <v>8.5</v>
      </c>
      <c r="L32" s="27" t="n">
        <v>1.2401</v>
      </c>
      <c r="M32" s="19" t="n">
        <f aca="false">K32-L32</f>
        <v>7.2599</v>
      </c>
      <c r="N32" s="26" t="n">
        <v>2</v>
      </c>
      <c r="O32" s="26" t="n">
        <v>4</v>
      </c>
      <c r="P32" s="28" t="n">
        <f aca="false">IF($C32=0,"",D32/$C32)</f>
        <v>0.391304347826087</v>
      </c>
      <c r="Q32" s="28" t="n">
        <f aca="false">IF($C32=0,"",E32/$C32)</f>
        <v>0.391304347826087</v>
      </c>
      <c r="R32" s="28" t="n">
        <f aca="false">IF($C32=0,"",F32/$C32)</f>
        <v>0.695652173913044</v>
      </c>
      <c r="S32" s="28" t="n">
        <f aca="false">IF($C32=0,"",G32/$C32)</f>
        <v>0.521739130434783</v>
      </c>
      <c r="T32" s="28" t="n">
        <f aca="false">IF($C32=0,"",H32/$C32)</f>
        <v>0.434782608695652</v>
      </c>
      <c r="U32" s="28" t="n">
        <f aca="false">IF($C32=0,"",I32/$C32)</f>
        <v>0.391304347826087</v>
      </c>
      <c r="V32" s="29" t="n">
        <f aca="false">IF($C32=0,"",K32/$C32)</f>
        <v>0.369565217391304</v>
      </c>
      <c r="W32" s="29" t="n">
        <f aca="false">IF($C32=0,"",M32/$C32)</f>
        <v>0.315647826086957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19</v>
      </c>
      <c r="D33" s="26" t="n">
        <v>6</v>
      </c>
      <c r="E33" s="26" t="n">
        <v>6</v>
      </c>
      <c r="F33" s="26" t="n">
        <v>10</v>
      </c>
      <c r="G33" s="26" t="n">
        <v>8</v>
      </c>
      <c r="H33" s="26" t="n">
        <v>7</v>
      </c>
      <c r="I33" s="26" t="n">
        <v>6</v>
      </c>
      <c r="J33" s="26" t="n">
        <v>0</v>
      </c>
      <c r="K33" s="27" t="n">
        <v>2</v>
      </c>
      <c r="L33" s="27" t="n">
        <v>1.0415</v>
      </c>
      <c r="M33" s="19" t="n">
        <f aca="false">K33-L33</f>
        <v>0.9585</v>
      </c>
      <c r="N33" s="26" t="n">
        <v>2</v>
      </c>
      <c r="O33" s="26" t="n">
        <v>4</v>
      </c>
      <c r="P33" s="28" t="n">
        <f aca="false">IF($C33=0,"",D33/$C33)</f>
        <v>0.315789473684211</v>
      </c>
      <c r="Q33" s="28" t="n">
        <f aca="false">IF($C33=0,"",E33/$C33)</f>
        <v>0.315789473684211</v>
      </c>
      <c r="R33" s="28" t="n">
        <f aca="false">IF($C33=0,"",F33/$C33)</f>
        <v>0.526315789473684</v>
      </c>
      <c r="S33" s="28" t="n">
        <f aca="false">IF($C33=0,"",G33/$C33)</f>
        <v>0.421052631578947</v>
      </c>
      <c r="T33" s="28" t="n">
        <f aca="false">IF($C33=0,"",H33/$C33)</f>
        <v>0.368421052631579</v>
      </c>
      <c r="U33" s="28" t="n">
        <f aca="false">IF($C33=0,"",I33/$C33)</f>
        <v>0.315789473684211</v>
      </c>
      <c r="V33" s="29" t="n">
        <f aca="false">IF($C33=0,"",K33/$C33)</f>
        <v>0.105263157894737</v>
      </c>
      <c r="W33" s="29" t="n">
        <f aca="false">IF($C33=0,"",M33/$C33)</f>
        <v>0.0504473684210526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22</v>
      </c>
      <c r="D34" s="26" t="n">
        <v>11</v>
      </c>
      <c r="E34" s="26" t="n">
        <v>11</v>
      </c>
      <c r="F34" s="26" t="n">
        <v>18</v>
      </c>
      <c r="G34" s="26" t="n">
        <v>15</v>
      </c>
      <c r="H34" s="26" t="n">
        <v>12</v>
      </c>
      <c r="I34" s="26" t="n">
        <v>11</v>
      </c>
      <c r="J34" s="26" t="n">
        <v>0</v>
      </c>
      <c r="K34" s="27" t="n">
        <v>16.5</v>
      </c>
      <c r="L34" s="27" t="n">
        <v>1.3693</v>
      </c>
      <c r="M34" s="19" t="n">
        <f aca="false">K34-L34</f>
        <v>15.1307</v>
      </c>
      <c r="N34" s="26" t="n">
        <v>3</v>
      </c>
      <c r="O34" s="26" t="n">
        <v>5</v>
      </c>
      <c r="P34" s="28" t="n">
        <f aca="false">IF($C34=0,"",D34/$C34)</f>
        <v>0.5</v>
      </c>
      <c r="Q34" s="28" t="n">
        <f aca="false">IF($C34=0,"",E34/$C34)</f>
        <v>0.5</v>
      </c>
      <c r="R34" s="28" t="n">
        <f aca="false">IF($C34=0,"",F34/$C34)</f>
        <v>0.818181818181818</v>
      </c>
      <c r="S34" s="28" t="n">
        <f aca="false">IF($C34=0,"",G34/$C34)</f>
        <v>0.681818181818182</v>
      </c>
      <c r="T34" s="28" t="n">
        <f aca="false">IF($C34=0,"",H34/$C34)</f>
        <v>0.545454545454545</v>
      </c>
      <c r="U34" s="28" t="n">
        <f aca="false">IF($C34=0,"",I34/$C34)</f>
        <v>0.5</v>
      </c>
      <c r="V34" s="29" t="n">
        <f aca="false">IF($C34=0,"",K34/$C34)</f>
        <v>0.75</v>
      </c>
      <c r="W34" s="29" t="n">
        <f aca="false">IF($C34=0,"",M34/$C34)</f>
        <v>0.687759090909091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19</v>
      </c>
      <c r="D35" s="26" t="n">
        <v>6</v>
      </c>
      <c r="E35" s="26" t="n">
        <v>6</v>
      </c>
      <c r="F35" s="26" t="n">
        <v>12</v>
      </c>
      <c r="G35" s="26" t="n">
        <v>9</v>
      </c>
      <c r="H35" s="26" t="n">
        <v>8</v>
      </c>
      <c r="I35" s="26" t="n">
        <v>6</v>
      </c>
      <c r="J35" s="26" t="n">
        <v>0</v>
      </c>
      <c r="K35" s="27" t="n">
        <v>2</v>
      </c>
      <c r="L35" s="27" t="n">
        <v>1.0841</v>
      </c>
      <c r="M35" s="19" t="n">
        <f aca="false">K35-L35</f>
        <v>0.9159</v>
      </c>
      <c r="N35" s="26" t="n">
        <v>1</v>
      </c>
      <c r="O35" s="26" t="n">
        <v>3</v>
      </c>
      <c r="P35" s="28" t="n">
        <f aca="false">IF($C35=0,"",D35/$C35)</f>
        <v>0.315789473684211</v>
      </c>
      <c r="Q35" s="28" t="n">
        <f aca="false">IF($C35=0,"",E35/$C35)</f>
        <v>0.315789473684211</v>
      </c>
      <c r="R35" s="28" t="n">
        <f aca="false">IF($C35=0,"",F35/$C35)</f>
        <v>0.631578947368421</v>
      </c>
      <c r="S35" s="28" t="n">
        <f aca="false">IF($C35=0,"",G35/$C35)</f>
        <v>0.473684210526316</v>
      </c>
      <c r="T35" s="28" t="n">
        <f aca="false">IF($C35=0,"",H35/$C35)</f>
        <v>0.421052631578947</v>
      </c>
      <c r="U35" s="28" t="n">
        <f aca="false">IF($C35=0,"",I35/$C35)</f>
        <v>0.315789473684211</v>
      </c>
      <c r="V35" s="29" t="n">
        <f aca="false">IF($C35=0,"",K35/$C35)</f>
        <v>0.105263157894737</v>
      </c>
      <c r="W35" s="29" t="n">
        <f aca="false">IF($C35=0,"",M35/$C35)</f>
        <v>0.0482052631578947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21</v>
      </c>
      <c r="D36" s="26" t="n">
        <v>7</v>
      </c>
      <c r="E36" s="26" t="n">
        <v>7</v>
      </c>
      <c r="F36" s="26" t="n">
        <v>12</v>
      </c>
      <c r="G36" s="26" t="n">
        <v>12</v>
      </c>
      <c r="H36" s="26" t="n">
        <v>11</v>
      </c>
      <c r="I36" s="26" t="n">
        <v>7</v>
      </c>
      <c r="J36" s="26" t="n">
        <v>0</v>
      </c>
      <c r="K36" s="27" t="n">
        <v>3.5</v>
      </c>
      <c r="L36" s="27" t="n">
        <v>1.0047</v>
      </c>
      <c r="M36" s="19" t="n">
        <f aca="false">K36-L36</f>
        <v>2.4953</v>
      </c>
      <c r="N36" s="26" t="n">
        <v>2</v>
      </c>
      <c r="O36" s="26" t="n">
        <v>5</v>
      </c>
      <c r="P36" s="28" t="n">
        <f aca="false">IF($C36=0,"",D36/$C36)</f>
        <v>0.333333333333333</v>
      </c>
      <c r="Q36" s="28" t="n">
        <f aca="false">IF($C36=0,"",E36/$C36)</f>
        <v>0.333333333333333</v>
      </c>
      <c r="R36" s="28" t="n">
        <f aca="false">IF($C36=0,"",F36/$C36)</f>
        <v>0.571428571428571</v>
      </c>
      <c r="S36" s="28" t="n">
        <f aca="false">IF($C36=0,"",G36/$C36)</f>
        <v>0.571428571428571</v>
      </c>
      <c r="T36" s="28" t="n">
        <f aca="false">IF($C36=0,"",H36/$C36)</f>
        <v>0.523809523809524</v>
      </c>
      <c r="U36" s="28" t="n">
        <f aca="false">IF($C36=0,"",I36/$C36)</f>
        <v>0.333333333333333</v>
      </c>
      <c r="V36" s="29" t="n">
        <f aca="false">IF($C36=0,"",K36/$C36)</f>
        <v>0.166666666666667</v>
      </c>
      <c r="W36" s="29" t="n">
        <f aca="false">IF($C36=0,"",M36/$C36)</f>
        <v>0.11882380952381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19</v>
      </c>
      <c r="D37" s="26" t="n">
        <v>6</v>
      </c>
      <c r="E37" s="26" t="n">
        <v>6</v>
      </c>
      <c r="F37" s="26" t="n">
        <v>11</v>
      </c>
      <c r="G37" s="26" t="n">
        <v>10</v>
      </c>
      <c r="H37" s="26" t="n">
        <v>8</v>
      </c>
      <c r="I37" s="26" t="n">
        <v>6</v>
      </c>
      <c r="J37" s="26" t="n">
        <v>0</v>
      </c>
      <c r="K37" s="27" t="n">
        <v>2</v>
      </c>
      <c r="L37" s="27" t="n">
        <v>1.055</v>
      </c>
      <c r="M37" s="19" t="n">
        <f aca="false">K37-L37</f>
        <v>0.945</v>
      </c>
      <c r="N37" s="26" t="n">
        <v>2</v>
      </c>
      <c r="O37" s="26" t="n">
        <v>4</v>
      </c>
      <c r="P37" s="28" t="n">
        <f aca="false">IF($C37=0,"",D37/$C37)</f>
        <v>0.315789473684211</v>
      </c>
      <c r="Q37" s="28" t="n">
        <f aca="false">IF($C37=0,"",E37/$C37)</f>
        <v>0.315789473684211</v>
      </c>
      <c r="R37" s="28" t="n">
        <f aca="false">IF($C37=0,"",F37/$C37)</f>
        <v>0.578947368421053</v>
      </c>
      <c r="S37" s="28" t="n">
        <f aca="false">IF($C37=0,"",G37/$C37)</f>
        <v>0.526315789473684</v>
      </c>
      <c r="T37" s="28" t="n">
        <f aca="false">IF($C37=0,"",H37/$C37)</f>
        <v>0.421052631578947</v>
      </c>
      <c r="U37" s="28" t="n">
        <f aca="false">IF($C37=0,"",I37/$C37)</f>
        <v>0.315789473684211</v>
      </c>
      <c r="V37" s="29" t="n">
        <f aca="false">IF($C37=0,"",K37/$C37)</f>
        <v>0.105263157894737</v>
      </c>
      <c r="W37" s="29" t="n">
        <f aca="false">IF($C37=0,"",M37/$C37)</f>
        <v>0.0497368421052632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11</v>
      </c>
      <c r="D38" s="26" t="n">
        <v>4</v>
      </c>
      <c r="E38" s="26" t="n">
        <v>4</v>
      </c>
      <c r="F38" s="26" t="n">
        <v>9</v>
      </c>
      <c r="G38" s="26" t="n">
        <v>8</v>
      </c>
      <c r="H38" s="26" t="n">
        <v>6</v>
      </c>
      <c r="I38" s="26" t="n">
        <v>4</v>
      </c>
      <c r="J38" s="26" t="n">
        <v>0</v>
      </c>
      <c r="K38" s="27" t="n">
        <v>3</v>
      </c>
      <c r="L38" s="27" t="n">
        <v>0.7775</v>
      </c>
      <c r="M38" s="19" t="n">
        <f aca="false">K38-L38</f>
        <v>2.2225</v>
      </c>
      <c r="N38" s="26" t="n">
        <v>2</v>
      </c>
      <c r="O38" s="26" t="n">
        <v>4</v>
      </c>
      <c r="P38" s="28" t="n">
        <f aca="false">IF($C38=0,"",D38/$C38)</f>
        <v>0.363636363636364</v>
      </c>
      <c r="Q38" s="28" t="n">
        <f aca="false">IF($C38=0,"",E38/$C38)</f>
        <v>0.363636363636364</v>
      </c>
      <c r="R38" s="28" t="n">
        <f aca="false">IF($C38=0,"",F38/$C38)</f>
        <v>0.818181818181818</v>
      </c>
      <c r="S38" s="28" t="n">
        <f aca="false">IF($C38=0,"",G38/$C38)</f>
        <v>0.727272727272727</v>
      </c>
      <c r="T38" s="28" t="n">
        <f aca="false">IF($C38=0,"",H38/$C38)</f>
        <v>0.545454545454545</v>
      </c>
      <c r="U38" s="28" t="n">
        <f aca="false">IF($C38=0,"",I38/$C38)</f>
        <v>0.363636363636364</v>
      </c>
      <c r="V38" s="29" t="n">
        <f aca="false">IF($C38=0,"",K38/$C38)</f>
        <v>0.272727272727273</v>
      </c>
      <c r="W38" s="29" t="n">
        <f aca="false">IF($C38=0,"",M38/$C38)</f>
        <v>0.202045454545455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18</v>
      </c>
      <c r="D39" s="26" t="n">
        <v>7</v>
      </c>
      <c r="E39" s="26" t="n">
        <v>7</v>
      </c>
      <c r="F39" s="26" t="n">
        <v>12</v>
      </c>
      <c r="G39" s="26" t="n">
        <v>11</v>
      </c>
      <c r="H39" s="26" t="n">
        <v>10</v>
      </c>
      <c r="I39" s="26" t="n">
        <v>7</v>
      </c>
      <c r="J39" s="26" t="n">
        <v>0</v>
      </c>
      <c r="K39" s="27" t="n">
        <v>6.5</v>
      </c>
      <c r="L39" s="27" t="n">
        <v>1.4374</v>
      </c>
      <c r="M39" s="19" t="n">
        <f aca="false">K39-L39</f>
        <v>5.0626</v>
      </c>
      <c r="N39" s="26" t="n">
        <v>2</v>
      </c>
      <c r="O39" s="26" t="n">
        <v>7</v>
      </c>
      <c r="P39" s="28" t="n">
        <f aca="false">IF($C39=0,"",D39/$C39)</f>
        <v>0.388888888888889</v>
      </c>
      <c r="Q39" s="28" t="n">
        <f aca="false">IF($C39=0,"",E39/$C39)</f>
        <v>0.388888888888889</v>
      </c>
      <c r="R39" s="28" t="n">
        <f aca="false">IF($C39=0,"",F39/$C39)</f>
        <v>0.666666666666667</v>
      </c>
      <c r="S39" s="28" t="n">
        <f aca="false">IF($C39=0,"",G39/$C39)</f>
        <v>0.611111111111111</v>
      </c>
      <c r="T39" s="28" t="n">
        <f aca="false">IF($C39=0,"",H39/$C39)</f>
        <v>0.555555555555556</v>
      </c>
      <c r="U39" s="28" t="n">
        <f aca="false">IF($C39=0,"",I39/$C39)</f>
        <v>0.388888888888889</v>
      </c>
      <c r="V39" s="29" t="n">
        <f aca="false">IF($C39=0,"",K39/$C39)</f>
        <v>0.361111111111111</v>
      </c>
      <c r="W39" s="29" t="n">
        <f aca="false">IF($C39=0,"",M39/$C39)</f>
        <v>0.281255555555556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22</v>
      </c>
      <c r="D40" s="26" t="n">
        <v>12</v>
      </c>
      <c r="E40" s="26" t="n">
        <v>12</v>
      </c>
      <c r="F40" s="26" t="n">
        <v>14</v>
      </c>
      <c r="G40" s="26" t="n">
        <v>14</v>
      </c>
      <c r="H40" s="26" t="n">
        <v>14</v>
      </c>
      <c r="I40" s="26" t="n">
        <v>12</v>
      </c>
      <c r="J40" s="26" t="n">
        <v>0</v>
      </c>
      <c r="K40" s="27" t="n">
        <v>20</v>
      </c>
      <c r="L40" s="27" t="n">
        <v>1.8567</v>
      </c>
      <c r="M40" s="19" t="n">
        <f aca="false">K40-L40</f>
        <v>18.1433</v>
      </c>
      <c r="N40" s="26" t="n">
        <v>3</v>
      </c>
      <c r="O40" s="26" t="n">
        <v>4</v>
      </c>
      <c r="P40" s="28" t="n">
        <f aca="false">IF($C40=0,"",D40/$C40)</f>
        <v>0.545454545454545</v>
      </c>
      <c r="Q40" s="28" t="n">
        <f aca="false">IF($C40=0,"",E40/$C40)</f>
        <v>0.545454545454545</v>
      </c>
      <c r="R40" s="28" t="n">
        <f aca="false">IF($C40=0,"",F40/$C40)</f>
        <v>0.636363636363636</v>
      </c>
      <c r="S40" s="28" t="n">
        <f aca="false">IF($C40=0,"",G40/$C40)</f>
        <v>0.636363636363636</v>
      </c>
      <c r="T40" s="28" t="n">
        <f aca="false">IF($C40=0,"",H40/$C40)</f>
        <v>0.636363636363636</v>
      </c>
      <c r="U40" s="28" t="n">
        <f aca="false">IF($C40=0,"",I40/$C40)</f>
        <v>0.545454545454545</v>
      </c>
      <c r="V40" s="29" t="n">
        <f aca="false">IF($C40=0,"",K40/$C40)</f>
        <v>0.909090909090909</v>
      </c>
      <c r="W40" s="29" t="n">
        <f aca="false">IF($C40=0,"",M40/$C40)</f>
        <v>0.824695454545455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24</v>
      </c>
      <c r="D41" s="26" t="n">
        <v>7</v>
      </c>
      <c r="E41" s="26" t="n">
        <v>7</v>
      </c>
      <c r="F41" s="26" t="n">
        <v>12</v>
      </c>
      <c r="G41" s="26" t="n">
        <v>11</v>
      </c>
      <c r="H41" s="26" t="n">
        <v>9</v>
      </c>
      <c r="I41" s="26" t="n">
        <v>7</v>
      </c>
      <c r="J41" s="26" t="n">
        <v>0</v>
      </c>
      <c r="K41" s="27" t="n">
        <v>0.5</v>
      </c>
      <c r="L41" s="27" t="n">
        <v>0.895</v>
      </c>
      <c r="M41" s="19" t="n">
        <f aca="false">K41-L41</f>
        <v>-0.395</v>
      </c>
      <c r="N41" s="26" t="n">
        <v>3</v>
      </c>
      <c r="O41" s="26" t="n">
        <v>8</v>
      </c>
      <c r="P41" s="28" t="n">
        <f aca="false">IF($C41=0,"",D41/$C41)</f>
        <v>0.291666666666667</v>
      </c>
      <c r="Q41" s="28" t="n">
        <f aca="false">IF($C41=0,"",E41/$C41)</f>
        <v>0.291666666666667</v>
      </c>
      <c r="R41" s="28" t="n">
        <f aca="false">IF($C41=0,"",F41/$C41)</f>
        <v>0.5</v>
      </c>
      <c r="S41" s="28" t="n">
        <f aca="false">IF($C41=0,"",G41/$C41)</f>
        <v>0.458333333333333</v>
      </c>
      <c r="T41" s="28" t="n">
        <f aca="false">IF($C41=0,"",H41/$C41)</f>
        <v>0.375</v>
      </c>
      <c r="U41" s="28" t="n">
        <f aca="false">IF($C41=0,"",I41/$C41)</f>
        <v>0.291666666666667</v>
      </c>
      <c r="V41" s="29" t="n">
        <f aca="false">IF($C41=0,"",K41/$C41)</f>
        <v>0.0208333333333333</v>
      </c>
      <c r="W41" s="29" t="n">
        <f aca="false">IF($C41=0,"",M41/$C41)</f>
        <v>-0.0164583333333333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24</v>
      </c>
      <c r="D42" s="26" t="n">
        <v>7</v>
      </c>
      <c r="E42" s="26" t="n">
        <v>7</v>
      </c>
      <c r="F42" s="26" t="n">
        <v>11</v>
      </c>
      <c r="G42" s="26" t="n">
        <v>10</v>
      </c>
      <c r="H42" s="26" t="n">
        <v>9</v>
      </c>
      <c r="I42" s="26" t="n">
        <v>7</v>
      </c>
      <c r="J42" s="26" t="n">
        <v>0</v>
      </c>
      <c r="K42" s="27" t="n">
        <v>0.5</v>
      </c>
      <c r="L42" s="27" t="n">
        <v>1.0077</v>
      </c>
      <c r="M42" s="19" t="n">
        <f aca="false">K42-L42</f>
        <v>-0.5077</v>
      </c>
      <c r="N42" s="26" t="n">
        <v>3</v>
      </c>
      <c r="O42" s="26" t="n">
        <v>6</v>
      </c>
      <c r="P42" s="28" t="n">
        <f aca="false">IF($C42=0,"",D42/$C42)</f>
        <v>0.291666666666667</v>
      </c>
      <c r="Q42" s="28" t="n">
        <f aca="false">IF($C42=0,"",E42/$C42)</f>
        <v>0.291666666666667</v>
      </c>
      <c r="R42" s="28" t="n">
        <f aca="false">IF($C42=0,"",F42/$C42)</f>
        <v>0.458333333333333</v>
      </c>
      <c r="S42" s="28" t="n">
        <f aca="false">IF($C42=0,"",G42/$C42)</f>
        <v>0.416666666666667</v>
      </c>
      <c r="T42" s="28" t="n">
        <f aca="false">IF($C42=0,"",H42/$C42)</f>
        <v>0.375</v>
      </c>
      <c r="U42" s="28" t="n">
        <f aca="false">IF($C42=0,"",I42/$C42)</f>
        <v>0.291666666666667</v>
      </c>
      <c r="V42" s="29" t="n">
        <f aca="false">IF($C42=0,"",K42/$C42)</f>
        <v>0.0208333333333333</v>
      </c>
      <c r="W42" s="29" t="n">
        <f aca="false">IF($C42=0,"",M42/$C42)</f>
        <v>-0.0211541666666667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28</v>
      </c>
      <c r="D43" s="26" t="n">
        <v>10</v>
      </c>
      <c r="E43" s="26" t="n">
        <v>10</v>
      </c>
      <c r="F43" s="26" t="n">
        <v>14</v>
      </c>
      <c r="G43" s="26" t="n">
        <v>11</v>
      </c>
      <c r="H43" s="26" t="n">
        <v>10</v>
      </c>
      <c r="I43" s="26" t="n">
        <v>10</v>
      </c>
      <c r="J43" s="26" t="n">
        <v>0</v>
      </c>
      <c r="K43" s="27" t="n">
        <v>7</v>
      </c>
      <c r="L43" s="27" t="n">
        <v>0.7693</v>
      </c>
      <c r="M43" s="19" t="n">
        <f aca="false">K43-L43</f>
        <v>6.2307</v>
      </c>
      <c r="N43" s="26" t="n">
        <v>3</v>
      </c>
      <c r="O43" s="26" t="n">
        <v>7</v>
      </c>
      <c r="P43" s="28" t="n">
        <f aca="false">IF($C43=0,"",D43/$C43)</f>
        <v>0.357142857142857</v>
      </c>
      <c r="Q43" s="28" t="n">
        <f aca="false">IF($C43=0,"",E43/$C43)</f>
        <v>0.357142857142857</v>
      </c>
      <c r="R43" s="28" t="n">
        <f aca="false">IF($C43=0,"",F43/$C43)</f>
        <v>0.5</v>
      </c>
      <c r="S43" s="28" t="n">
        <f aca="false">IF($C43=0,"",G43/$C43)</f>
        <v>0.392857142857143</v>
      </c>
      <c r="T43" s="28" t="n">
        <f aca="false">IF($C43=0,"",H43/$C43)</f>
        <v>0.357142857142857</v>
      </c>
      <c r="U43" s="28" t="n">
        <f aca="false">IF($C43=0,"",I43/$C43)</f>
        <v>0.357142857142857</v>
      </c>
      <c r="V43" s="29" t="n">
        <f aca="false">IF($C43=0,"",K43/$C43)</f>
        <v>0.25</v>
      </c>
      <c r="W43" s="29" t="n">
        <f aca="false">IF($C43=0,"",M43/$C43)</f>
        <v>0.222525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250</v>
      </c>
      <c r="D44" s="30" t="n">
        <f aca="false">SUM(D32:D43)</f>
        <v>92</v>
      </c>
      <c r="E44" s="30" t="n">
        <f aca="false">SUM(E32:E43)</f>
        <v>92</v>
      </c>
      <c r="F44" s="30" t="n">
        <f aca="false">SUM(F32:F43)</f>
        <v>151</v>
      </c>
      <c r="G44" s="30" t="n">
        <f aca="false">SUM(G32:G43)</f>
        <v>131</v>
      </c>
      <c r="H44" s="30" t="n">
        <f aca="false">SUM(H32:H43)</f>
        <v>114</v>
      </c>
      <c r="I44" s="30" t="n">
        <f aca="false">SUM(I32:I43)</f>
        <v>92</v>
      </c>
      <c r="J44" s="30" t="n">
        <f aca="false">SUM(J32:J43)</f>
        <v>0</v>
      </c>
      <c r="K44" s="31" t="n">
        <f aca="false">SUM(K32:K43)</f>
        <v>72</v>
      </c>
      <c r="L44" s="31" t="n">
        <f aca="false">SUM(L32:L43)</f>
        <v>13.5383</v>
      </c>
      <c r="M44" s="31" t="n">
        <f aca="false">K44-L44</f>
        <v>58.4617</v>
      </c>
      <c r="N44" s="32" t="n">
        <v>3</v>
      </c>
      <c r="O44" s="32" t="n">
        <v>8</v>
      </c>
      <c r="P44" s="33" t="n">
        <f aca="false">IF($C44=0,"",D44/$C44)</f>
        <v>0.368</v>
      </c>
      <c r="Q44" s="33" t="n">
        <f aca="false">IF($C44=0,"",E44/$C44)</f>
        <v>0.368</v>
      </c>
      <c r="R44" s="33" t="n">
        <f aca="false">IF($C44=0,"",F44/$C44)</f>
        <v>0.604</v>
      </c>
      <c r="S44" s="33" t="n">
        <f aca="false">IF($C44=0,"",G44/$C44)</f>
        <v>0.524</v>
      </c>
      <c r="T44" s="33" t="n">
        <f aca="false">IF($C44=0,"",H44/$C44)</f>
        <v>0.456</v>
      </c>
      <c r="U44" s="33" t="n">
        <f aca="false">IF($C44=0,"",I44/$C44)</f>
        <v>0.368</v>
      </c>
      <c r="V44" s="34" t="n">
        <f aca="false">IF($C44=0,"",K44/$C44)</f>
        <v>0.288</v>
      </c>
      <c r="W44" s="34" t="n">
        <f aca="false">IF($C44=0,"",M44/$C44)</f>
        <v>0.2338468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33</v>
      </c>
      <c r="D45" s="26" t="n">
        <v>10</v>
      </c>
      <c r="E45" s="26" t="n">
        <v>10</v>
      </c>
      <c r="F45" s="26" t="n">
        <v>21</v>
      </c>
      <c r="G45" s="26" t="n">
        <v>18</v>
      </c>
      <c r="H45" s="26" t="n">
        <v>14</v>
      </c>
      <c r="I45" s="26" t="n">
        <v>10</v>
      </c>
      <c r="J45" s="26" t="n">
        <v>0</v>
      </c>
      <c r="K45" s="27" t="n">
        <v>2</v>
      </c>
      <c r="L45" s="27" t="n">
        <v>0.8976</v>
      </c>
      <c r="M45" s="19" t="n">
        <f aca="false">K45-L45</f>
        <v>1.1024</v>
      </c>
      <c r="N45" s="26" t="n">
        <v>2</v>
      </c>
      <c r="O45" s="26" t="n">
        <v>5</v>
      </c>
      <c r="P45" s="28" t="n">
        <f aca="false">IF($C45=0,"",D45/$C45)</f>
        <v>0.303030303030303</v>
      </c>
      <c r="Q45" s="28" t="n">
        <f aca="false">IF($C45=0,"",E45/$C45)</f>
        <v>0.303030303030303</v>
      </c>
      <c r="R45" s="28" t="n">
        <f aca="false">IF($C45=0,"",F45/$C45)</f>
        <v>0.636363636363636</v>
      </c>
      <c r="S45" s="28" t="n">
        <f aca="false">IF($C45=0,"",G45/$C45)</f>
        <v>0.545454545454545</v>
      </c>
      <c r="T45" s="28" t="n">
        <f aca="false">IF($C45=0,"",H45/$C45)</f>
        <v>0.424242424242424</v>
      </c>
      <c r="U45" s="28" t="n">
        <f aca="false">IF($C45=0,"",I45/$C45)</f>
        <v>0.303030303030303</v>
      </c>
      <c r="V45" s="29" t="n">
        <f aca="false">IF($C45=0,"",K45/$C45)</f>
        <v>0.0606060606060606</v>
      </c>
      <c r="W45" s="29" t="n">
        <f aca="false">IF($C45=0,"",M45/$C45)</f>
        <v>0.0334060606060606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22</v>
      </c>
      <c r="D46" s="26" t="n">
        <v>8</v>
      </c>
      <c r="E46" s="26" t="n">
        <v>8</v>
      </c>
      <c r="F46" s="26" t="n">
        <v>15</v>
      </c>
      <c r="G46" s="26" t="n">
        <v>12</v>
      </c>
      <c r="H46" s="26" t="n">
        <v>10</v>
      </c>
      <c r="I46" s="26" t="n">
        <v>8</v>
      </c>
      <c r="J46" s="26" t="n">
        <v>0</v>
      </c>
      <c r="K46" s="27" t="n">
        <v>6</v>
      </c>
      <c r="L46" s="27" t="n">
        <v>0.875</v>
      </c>
      <c r="M46" s="19" t="n">
        <f aca="false">K46-L46</f>
        <v>5.125</v>
      </c>
      <c r="N46" s="26" t="n">
        <v>3</v>
      </c>
      <c r="O46" s="26" t="n">
        <v>6</v>
      </c>
      <c r="P46" s="28" t="n">
        <f aca="false">IF($C46=0,"",D46/$C46)</f>
        <v>0.363636363636364</v>
      </c>
      <c r="Q46" s="28" t="n">
        <f aca="false">IF($C46=0,"",E46/$C46)</f>
        <v>0.363636363636364</v>
      </c>
      <c r="R46" s="28" t="n">
        <f aca="false">IF($C46=0,"",F46/$C46)</f>
        <v>0.681818181818182</v>
      </c>
      <c r="S46" s="28" t="n">
        <f aca="false">IF($C46=0,"",G46/$C46)</f>
        <v>0.545454545454545</v>
      </c>
      <c r="T46" s="28" t="n">
        <f aca="false">IF($C46=0,"",H46/$C46)</f>
        <v>0.454545454545455</v>
      </c>
      <c r="U46" s="28" t="n">
        <f aca="false">IF($C46=0,"",I46/$C46)</f>
        <v>0.363636363636364</v>
      </c>
      <c r="V46" s="29" t="n">
        <f aca="false">IF($C46=0,"",K46/$C46)</f>
        <v>0.272727272727273</v>
      </c>
      <c r="W46" s="29" t="n">
        <f aca="false">IF($C46=0,"",M46/$C46)</f>
        <v>0.232954545454545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22</v>
      </c>
      <c r="D47" s="26" t="n">
        <v>8</v>
      </c>
      <c r="E47" s="26" t="n">
        <v>8</v>
      </c>
      <c r="F47" s="26" t="n">
        <v>13</v>
      </c>
      <c r="G47" s="26" t="n">
        <v>11</v>
      </c>
      <c r="H47" s="26" t="n">
        <v>10</v>
      </c>
      <c r="I47" s="26" t="n">
        <v>8</v>
      </c>
      <c r="J47" s="26" t="n">
        <v>0</v>
      </c>
      <c r="K47" s="27" t="n">
        <v>6</v>
      </c>
      <c r="L47" s="27" t="n">
        <v>0.5592</v>
      </c>
      <c r="M47" s="19" t="n">
        <f aca="false">K47-L47</f>
        <v>5.4408</v>
      </c>
      <c r="N47" s="26" t="n">
        <v>3</v>
      </c>
      <c r="O47" s="26" t="n">
        <v>10</v>
      </c>
      <c r="P47" s="28" t="n">
        <f aca="false">IF($C47=0,"",D47/$C47)</f>
        <v>0.363636363636364</v>
      </c>
      <c r="Q47" s="28" t="n">
        <f aca="false">IF($C47=0,"",E47/$C47)</f>
        <v>0.363636363636364</v>
      </c>
      <c r="R47" s="28" t="n">
        <f aca="false">IF($C47=0,"",F47/$C47)</f>
        <v>0.590909090909091</v>
      </c>
      <c r="S47" s="28" t="n">
        <f aca="false">IF($C47=0,"",G47/$C47)</f>
        <v>0.5</v>
      </c>
      <c r="T47" s="28" t="n">
        <f aca="false">IF($C47=0,"",H47/$C47)</f>
        <v>0.454545454545455</v>
      </c>
      <c r="U47" s="28" t="n">
        <f aca="false">IF($C47=0,"",I47/$C47)</f>
        <v>0.363636363636364</v>
      </c>
      <c r="V47" s="29" t="n">
        <f aca="false">IF($C47=0,"",K47/$C47)</f>
        <v>0.272727272727273</v>
      </c>
      <c r="W47" s="29" t="n">
        <f aca="false">IF($C47=0,"",M47/$C47)</f>
        <v>0.247309090909091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24</v>
      </c>
      <c r="D48" s="26" t="n">
        <v>8</v>
      </c>
      <c r="E48" s="26" t="n">
        <v>8</v>
      </c>
      <c r="F48" s="26" t="n">
        <v>17</v>
      </c>
      <c r="G48" s="26" t="n">
        <v>15</v>
      </c>
      <c r="H48" s="26" t="n">
        <v>12</v>
      </c>
      <c r="I48" s="26" t="n">
        <v>8</v>
      </c>
      <c r="J48" s="26" t="n">
        <v>0</v>
      </c>
      <c r="K48" s="27" t="n">
        <v>4</v>
      </c>
      <c r="L48" s="27" t="n">
        <v>0.3124</v>
      </c>
      <c r="M48" s="19" t="n">
        <f aca="false">K48-L48</f>
        <v>3.6876</v>
      </c>
      <c r="N48" s="26" t="n">
        <v>5</v>
      </c>
      <c r="O48" s="26" t="n">
        <v>10</v>
      </c>
      <c r="P48" s="28" t="n">
        <f aca="false">IF($C48=0,"",D48/$C48)</f>
        <v>0.333333333333333</v>
      </c>
      <c r="Q48" s="28" t="n">
        <f aca="false">IF($C48=0,"",E48/$C48)</f>
        <v>0.333333333333333</v>
      </c>
      <c r="R48" s="28" t="n">
        <f aca="false">IF($C48=0,"",F48/$C48)</f>
        <v>0.708333333333333</v>
      </c>
      <c r="S48" s="28" t="n">
        <f aca="false">IF($C48=0,"",G48/$C48)</f>
        <v>0.625</v>
      </c>
      <c r="T48" s="28" t="n">
        <f aca="false">IF($C48=0,"",H48/$C48)</f>
        <v>0.5</v>
      </c>
      <c r="U48" s="28" t="n">
        <f aca="false">IF($C48=0,"",I48/$C48)</f>
        <v>0.333333333333333</v>
      </c>
      <c r="V48" s="29" t="n">
        <f aca="false">IF($C48=0,"",K48/$C48)</f>
        <v>0.166666666666667</v>
      </c>
      <c r="W48" s="29" t="n">
        <f aca="false">IF($C48=0,"",M48/$C48)</f>
        <v>0.15365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24</v>
      </c>
      <c r="D49" s="26" t="n">
        <v>6</v>
      </c>
      <c r="E49" s="26" t="n">
        <v>6</v>
      </c>
      <c r="F49" s="26" t="n">
        <v>12</v>
      </c>
      <c r="G49" s="26" t="n">
        <v>8</v>
      </c>
      <c r="H49" s="26" t="n">
        <v>7</v>
      </c>
      <c r="I49" s="26" t="n">
        <v>6</v>
      </c>
      <c r="J49" s="26" t="n">
        <v>0</v>
      </c>
      <c r="K49" s="27" t="n">
        <v>-3</v>
      </c>
      <c r="L49" s="27" t="n">
        <v>0.372</v>
      </c>
      <c r="M49" s="19" t="n">
        <f aca="false">K49-L49</f>
        <v>-3.372</v>
      </c>
      <c r="N49" s="26" t="n">
        <v>3</v>
      </c>
      <c r="O49" s="26" t="n">
        <v>6</v>
      </c>
      <c r="P49" s="28" t="n">
        <f aca="false">IF($C49=0,"",D49/$C49)</f>
        <v>0.25</v>
      </c>
      <c r="Q49" s="28" t="n">
        <f aca="false">IF($C49=0,"",E49/$C49)</f>
        <v>0.25</v>
      </c>
      <c r="R49" s="28" t="n">
        <f aca="false">IF($C49=0,"",F49/$C49)</f>
        <v>0.5</v>
      </c>
      <c r="S49" s="28" t="n">
        <f aca="false">IF($C49=0,"",G49/$C49)</f>
        <v>0.333333333333333</v>
      </c>
      <c r="T49" s="28" t="n">
        <f aca="false">IF($C49=0,"",H49/$C49)</f>
        <v>0.291666666666667</v>
      </c>
      <c r="U49" s="28" t="n">
        <f aca="false">IF($C49=0,"",I49/$C49)</f>
        <v>0.25</v>
      </c>
      <c r="V49" s="29" t="n">
        <f aca="false">IF($C49=0,"",K49/$C49)</f>
        <v>-0.125</v>
      </c>
      <c r="W49" s="29" t="n">
        <f aca="false">IF($C49=0,"",M49/$C49)</f>
        <v>-0.1405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19</v>
      </c>
      <c r="D50" s="26" t="n">
        <v>6</v>
      </c>
      <c r="E50" s="26" t="n">
        <v>6</v>
      </c>
      <c r="F50" s="26" t="n">
        <v>12</v>
      </c>
      <c r="G50" s="26" t="n">
        <v>11</v>
      </c>
      <c r="H50" s="26" t="n">
        <v>10</v>
      </c>
      <c r="I50" s="26" t="n">
        <v>6</v>
      </c>
      <c r="J50" s="26" t="n">
        <v>0</v>
      </c>
      <c r="K50" s="27" t="n">
        <v>2</v>
      </c>
      <c r="L50" s="27" t="n">
        <v>0.3505</v>
      </c>
      <c r="M50" s="19" t="n">
        <f aca="false">K50-L50</f>
        <v>1.6495</v>
      </c>
      <c r="N50" s="26" t="n">
        <v>2</v>
      </c>
      <c r="O50" s="26" t="n">
        <v>4</v>
      </c>
      <c r="P50" s="28" t="n">
        <f aca="false">IF($C50=0,"",D50/$C50)</f>
        <v>0.315789473684211</v>
      </c>
      <c r="Q50" s="28" t="n">
        <f aca="false">IF($C50=0,"",E50/$C50)</f>
        <v>0.315789473684211</v>
      </c>
      <c r="R50" s="28" t="n">
        <f aca="false">IF($C50=0,"",F50/$C50)</f>
        <v>0.631578947368421</v>
      </c>
      <c r="S50" s="28" t="n">
        <f aca="false">IF($C50=0,"",G50/$C50)</f>
        <v>0.578947368421053</v>
      </c>
      <c r="T50" s="28" t="n">
        <f aca="false">IF($C50=0,"",H50/$C50)</f>
        <v>0.526315789473684</v>
      </c>
      <c r="U50" s="28" t="n">
        <f aca="false">IF($C50=0,"",I50/$C50)</f>
        <v>0.315789473684211</v>
      </c>
      <c r="V50" s="29" t="n">
        <f aca="false">IF($C50=0,"",K50/$C50)</f>
        <v>0.105263157894737</v>
      </c>
      <c r="W50" s="29" t="n">
        <f aca="false">IF($C50=0,"",M50/$C50)</f>
        <v>0.0868157894736842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27</v>
      </c>
      <c r="D51" s="26" t="n">
        <v>6</v>
      </c>
      <c r="E51" s="26" t="n">
        <v>6</v>
      </c>
      <c r="F51" s="26" t="n">
        <v>17</v>
      </c>
      <c r="G51" s="26" t="n">
        <v>13</v>
      </c>
      <c r="H51" s="26" t="n">
        <v>9</v>
      </c>
      <c r="I51" s="26" t="n">
        <v>6</v>
      </c>
      <c r="J51" s="26" t="n">
        <v>0</v>
      </c>
      <c r="K51" s="27" t="n">
        <v>-6</v>
      </c>
      <c r="L51" s="27" t="n">
        <v>0.4823</v>
      </c>
      <c r="M51" s="19" t="n">
        <f aca="false">K51-L51</f>
        <v>-6.4823</v>
      </c>
      <c r="N51" s="26" t="n">
        <v>2</v>
      </c>
      <c r="O51" s="26" t="n">
        <v>7</v>
      </c>
      <c r="P51" s="28" t="n">
        <f aca="false">IF($C51=0,"",D51/$C51)</f>
        <v>0.222222222222222</v>
      </c>
      <c r="Q51" s="28" t="n">
        <f aca="false">IF($C51=0,"",E51/$C51)</f>
        <v>0.222222222222222</v>
      </c>
      <c r="R51" s="28" t="n">
        <f aca="false">IF($C51=0,"",F51/$C51)</f>
        <v>0.62962962962963</v>
      </c>
      <c r="S51" s="28" t="n">
        <f aca="false">IF($C51=0,"",G51/$C51)</f>
        <v>0.481481481481481</v>
      </c>
      <c r="T51" s="28" t="n">
        <f aca="false">IF($C51=0,"",H51/$C51)</f>
        <v>0.333333333333333</v>
      </c>
      <c r="U51" s="28" t="n">
        <f aca="false">IF($C51=0,"",I51/$C51)</f>
        <v>0.222222222222222</v>
      </c>
      <c r="V51" s="29" t="n">
        <f aca="false">IF($C51=0,"",K51/$C51)</f>
        <v>-0.222222222222222</v>
      </c>
      <c r="W51" s="29" t="n">
        <f aca="false">IF($C51=0,"",M51/$C51)</f>
        <v>-0.240085185185185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20</v>
      </c>
      <c r="D52" s="26" t="n">
        <v>2</v>
      </c>
      <c r="E52" s="26" t="n">
        <v>2</v>
      </c>
      <c r="F52" s="26" t="n">
        <v>10</v>
      </c>
      <c r="G52" s="26" t="n">
        <v>8</v>
      </c>
      <c r="H52" s="26" t="n">
        <v>6</v>
      </c>
      <c r="I52" s="26" t="n">
        <v>2</v>
      </c>
      <c r="J52" s="26" t="n">
        <v>0</v>
      </c>
      <c r="K52" s="27" t="n">
        <v>-13</v>
      </c>
      <c r="L52" s="27" t="n">
        <v>0.3492</v>
      </c>
      <c r="M52" s="19" t="n">
        <f aca="false">K52-L52</f>
        <v>-13.3492</v>
      </c>
      <c r="N52" s="26" t="n">
        <v>1</v>
      </c>
      <c r="O52" s="26" t="n">
        <v>11</v>
      </c>
      <c r="P52" s="28" t="n">
        <f aca="false">IF($C52=0,"",D52/$C52)</f>
        <v>0.1</v>
      </c>
      <c r="Q52" s="28" t="n">
        <f aca="false">IF($C52=0,"",E52/$C52)</f>
        <v>0.1</v>
      </c>
      <c r="R52" s="28" t="n">
        <f aca="false">IF($C52=0,"",F52/$C52)</f>
        <v>0.5</v>
      </c>
      <c r="S52" s="28" t="n">
        <f aca="false">IF($C52=0,"",G52/$C52)</f>
        <v>0.4</v>
      </c>
      <c r="T52" s="28" t="n">
        <f aca="false">IF($C52=0,"",H52/$C52)</f>
        <v>0.3</v>
      </c>
      <c r="U52" s="28" t="n">
        <f aca="false">IF($C52=0,"",I52/$C52)</f>
        <v>0.1</v>
      </c>
      <c r="V52" s="29" t="n">
        <f aca="false">IF($C52=0,"",K52/$C52)</f>
        <v>-0.65</v>
      </c>
      <c r="W52" s="29" t="n">
        <f aca="false">IF($C52=0,"",M52/$C52)</f>
        <v>-0.66746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18</v>
      </c>
      <c r="D53" s="26" t="n">
        <v>7</v>
      </c>
      <c r="E53" s="26" t="n">
        <v>7</v>
      </c>
      <c r="F53" s="26" t="n">
        <v>15</v>
      </c>
      <c r="G53" s="26" t="n">
        <v>11</v>
      </c>
      <c r="H53" s="26" t="n">
        <v>9</v>
      </c>
      <c r="I53" s="26" t="n">
        <v>7</v>
      </c>
      <c r="J53" s="26" t="n">
        <v>0</v>
      </c>
      <c r="K53" s="27" t="n">
        <v>6.5</v>
      </c>
      <c r="L53" s="27" t="n">
        <v>0.3021</v>
      </c>
      <c r="M53" s="19" t="n">
        <f aca="false">K53-L53</f>
        <v>6.1979</v>
      </c>
      <c r="N53" s="26" t="n">
        <v>3</v>
      </c>
      <c r="O53" s="26" t="n">
        <v>3</v>
      </c>
      <c r="P53" s="28" t="n">
        <f aca="false">IF($C53=0,"",D53/$C53)</f>
        <v>0.388888888888889</v>
      </c>
      <c r="Q53" s="28" t="n">
        <f aca="false">IF($C53=0,"",E53/$C53)</f>
        <v>0.388888888888889</v>
      </c>
      <c r="R53" s="28" t="n">
        <f aca="false">IF($C53=0,"",F53/$C53)</f>
        <v>0.833333333333333</v>
      </c>
      <c r="S53" s="28" t="n">
        <f aca="false">IF($C53=0,"",G53/$C53)</f>
        <v>0.611111111111111</v>
      </c>
      <c r="T53" s="28" t="n">
        <f aca="false">IF($C53=0,"",H53/$C53)</f>
        <v>0.5</v>
      </c>
      <c r="U53" s="28" t="n">
        <f aca="false">IF($C53=0,"",I53/$C53)</f>
        <v>0.388888888888889</v>
      </c>
      <c r="V53" s="29" t="n">
        <f aca="false">IF($C53=0,"",K53/$C53)</f>
        <v>0.361111111111111</v>
      </c>
      <c r="W53" s="29" t="n">
        <f aca="false">IF($C53=0,"",M53/$C53)</f>
        <v>0.344327777777778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26</v>
      </c>
      <c r="D54" s="26" t="n">
        <v>7</v>
      </c>
      <c r="E54" s="26" t="n">
        <v>7</v>
      </c>
      <c r="F54" s="26" t="n">
        <v>20</v>
      </c>
      <c r="G54" s="26" t="n">
        <v>16</v>
      </c>
      <c r="H54" s="26" t="n">
        <v>10</v>
      </c>
      <c r="I54" s="26" t="n">
        <v>7</v>
      </c>
      <c r="J54" s="26" t="n">
        <v>0</v>
      </c>
      <c r="K54" s="27" t="n">
        <v>-1.5</v>
      </c>
      <c r="L54" s="27" t="n">
        <v>0.4191</v>
      </c>
      <c r="M54" s="19" t="n">
        <f aca="false">K54-L54</f>
        <v>-1.9191</v>
      </c>
      <c r="N54" s="26" t="n">
        <v>3</v>
      </c>
      <c r="O54" s="26" t="n">
        <v>7</v>
      </c>
      <c r="P54" s="28" t="n">
        <f aca="false">IF($C54=0,"",D54/$C54)</f>
        <v>0.269230769230769</v>
      </c>
      <c r="Q54" s="28" t="n">
        <f aca="false">IF($C54=0,"",E54/$C54)</f>
        <v>0.269230769230769</v>
      </c>
      <c r="R54" s="28" t="n">
        <f aca="false">IF($C54=0,"",F54/$C54)</f>
        <v>0.769230769230769</v>
      </c>
      <c r="S54" s="28" t="n">
        <f aca="false">IF($C54=0,"",G54/$C54)</f>
        <v>0.615384615384615</v>
      </c>
      <c r="T54" s="28" t="n">
        <f aca="false">IF($C54=0,"",H54/$C54)</f>
        <v>0.384615384615385</v>
      </c>
      <c r="U54" s="28" t="n">
        <f aca="false">IF($C54=0,"",I54/$C54)</f>
        <v>0.269230769230769</v>
      </c>
      <c r="V54" s="29" t="n">
        <f aca="false">IF($C54=0,"",K54/$C54)</f>
        <v>-0.0576923076923077</v>
      </c>
      <c r="W54" s="29" t="n">
        <f aca="false">IF($C54=0,"",M54/$C54)</f>
        <v>-0.0738115384615385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18</v>
      </c>
      <c r="D55" s="26" t="n">
        <v>8</v>
      </c>
      <c r="E55" s="26" t="n">
        <v>8</v>
      </c>
      <c r="F55" s="26" t="n">
        <v>14</v>
      </c>
      <c r="G55" s="26" t="n">
        <v>10</v>
      </c>
      <c r="H55" s="26" t="n">
        <v>10</v>
      </c>
      <c r="I55" s="26" t="n">
        <v>8</v>
      </c>
      <c r="J55" s="26" t="n">
        <v>0</v>
      </c>
      <c r="K55" s="27" t="n">
        <v>10</v>
      </c>
      <c r="L55" s="27" t="n">
        <v>0.2564</v>
      </c>
      <c r="M55" s="19" t="n">
        <f aca="false">K55-L55</f>
        <v>9.7436</v>
      </c>
      <c r="N55" s="26" t="n">
        <v>3</v>
      </c>
      <c r="O55" s="26" t="n">
        <v>4</v>
      </c>
      <c r="P55" s="28" t="n">
        <f aca="false">IF($C55=0,"",D55/$C55)</f>
        <v>0.444444444444444</v>
      </c>
      <c r="Q55" s="28" t="n">
        <f aca="false">IF($C55=0,"",E55/$C55)</f>
        <v>0.444444444444444</v>
      </c>
      <c r="R55" s="28" t="n">
        <f aca="false">IF($C55=0,"",F55/$C55)</f>
        <v>0.777777777777778</v>
      </c>
      <c r="S55" s="28" t="n">
        <f aca="false">IF($C55=0,"",G55/$C55)</f>
        <v>0.555555555555556</v>
      </c>
      <c r="T55" s="28" t="n">
        <f aca="false">IF($C55=0,"",H55/$C55)</f>
        <v>0.555555555555556</v>
      </c>
      <c r="U55" s="28" t="n">
        <f aca="false">IF($C55=0,"",I55/$C55)</f>
        <v>0.444444444444444</v>
      </c>
      <c r="V55" s="29" t="n">
        <f aca="false">IF($C55=0,"",K55/$C55)</f>
        <v>0.555555555555556</v>
      </c>
      <c r="W55" s="29" t="n">
        <f aca="false">IF($C55=0,"",M55/$C55)</f>
        <v>0.541311111111111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9</v>
      </c>
      <c r="E56" s="26" t="n">
        <v>9</v>
      </c>
      <c r="F56" s="26" t="n">
        <v>15</v>
      </c>
      <c r="G56" s="26" t="n">
        <v>10</v>
      </c>
      <c r="H56" s="26" t="n">
        <v>9</v>
      </c>
      <c r="I56" s="26" t="n">
        <v>9</v>
      </c>
      <c r="J56" s="26" t="n">
        <v>0</v>
      </c>
      <c r="K56" s="27" t="n">
        <v>1.5</v>
      </c>
      <c r="L56" s="27" t="n">
        <v>0.6268</v>
      </c>
      <c r="M56" s="19" t="n">
        <f aca="false">K56-L56</f>
        <v>0.8732</v>
      </c>
      <c r="N56" s="26" t="n">
        <v>2</v>
      </c>
      <c r="O56" s="26" t="n">
        <v>7</v>
      </c>
      <c r="P56" s="28" t="n">
        <f aca="false">IF($C56=0,"",D56/$C56)</f>
        <v>0.3</v>
      </c>
      <c r="Q56" s="28" t="n">
        <f aca="false">IF($C56=0,"",E56/$C56)</f>
        <v>0.3</v>
      </c>
      <c r="R56" s="28" t="n">
        <f aca="false">IF($C56=0,"",F56/$C56)</f>
        <v>0.5</v>
      </c>
      <c r="S56" s="28" t="n">
        <f aca="false">IF($C56=0,"",G56/$C56)</f>
        <v>0.333333333333333</v>
      </c>
      <c r="T56" s="28" t="n">
        <f aca="false">IF($C56=0,"",H56/$C56)</f>
        <v>0.3</v>
      </c>
      <c r="U56" s="28" t="n">
        <f aca="false">IF($C56=0,"",I56/$C56)</f>
        <v>0.3</v>
      </c>
      <c r="V56" s="29" t="n">
        <f aca="false">IF($C56=0,"",K56/$C56)</f>
        <v>0.05</v>
      </c>
      <c r="W56" s="29" t="n">
        <f aca="false">IF($C56=0,"",M56/$C56)</f>
        <v>0.0291066666666667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283</v>
      </c>
      <c r="D57" s="30" t="n">
        <f aca="false">SUM(D45:D56)</f>
        <v>85</v>
      </c>
      <c r="E57" s="30" t="n">
        <f aca="false">SUM(E45:E56)</f>
        <v>85</v>
      </c>
      <c r="F57" s="30" t="n">
        <f aca="false">SUM(F45:F56)</f>
        <v>181</v>
      </c>
      <c r="G57" s="30" t="n">
        <f aca="false">SUM(G45:G56)</f>
        <v>143</v>
      </c>
      <c r="H57" s="30" t="n">
        <f aca="false">SUM(H45:H56)</f>
        <v>116</v>
      </c>
      <c r="I57" s="30" t="n">
        <f aca="false">SUM(I45:I56)</f>
        <v>85</v>
      </c>
      <c r="J57" s="30" t="n">
        <f aca="false">SUM(J45:J56)</f>
        <v>0</v>
      </c>
      <c r="K57" s="31" t="n">
        <f aca="false">SUM(K45:K56)</f>
        <v>14.5</v>
      </c>
      <c r="L57" s="31" t="n">
        <f aca="false">SUM(L45:L56)</f>
        <v>5.8026</v>
      </c>
      <c r="M57" s="31" t="n">
        <f aca="false">K57-L57</f>
        <v>8.6974</v>
      </c>
      <c r="N57" s="32" t="n">
        <v>5</v>
      </c>
      <c r="O57" s="32" t="n">
        <v>16</v>
      </c>
      <c r="P57" s="33" t="n">
        <f aca="false">IF($C57=0,"",D57/$C57)</f>
        <v>0.300353356890459</v>
      </c>
      <c r="Q57" s="33" t="n">
        <f aca="false">IF($C57=0,"",E57/$C57)</f>
        <v>0.300353356890459</v>
      </c>
      <c r="R57" s="33" t="n">
        <f aca="false">IF($C57=0,"",F57/$C57)</f>
        <v>0.639575971731449</v>
      </c>
      <c r="S57" s="33" t="n">
        <f aca="false">IF($C57=0,"",G57/$C57)</f>
        <v>0.505300353356891</v>
      </c>
      <c r="T57" s="33" t="n">
        <f aca="false">IF($C57=0,"",H57/$C57)</f>
        <v>0.409893992932862</v>
      </c>
      <c r="U57" s="33" t="n">
        <f aca="false">IF($C57=0,"",I57/$C57)</f>
        <v>0.300353356890459</v>
      </c>
      <c r="V57" s="34" t="n">
        <f aca="false">IF($C57=0,"",K57/$C57)</f>
        <v>0.0512367491166078</v>
      </c>
      <c r="W57" s="34" t="n">
        <f aca="false">IF($C57=0,"",M57/$C57)</f>
        <v>0.0307328621908127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27</v>
      </c>
      <c r="D58" s="26" t="n">
        <v>10</v>
      </c>
      <c r="E58" s="26" t="n">
        <v>10</v>
      </c>
      <c r="F58" s="26" t="n">
        <v>17</v>
      </c>
      <c r="G58" s="26" t="n">
        <v>15</v>
      </c>
      <c r="H58" s="26" t="n">
        <v>13</v>
      </c>
      <c r="I58" s="26" t="n">
        <v>10</v>
      </c>
      <c r="J58" s="26" t="n">
        <v>0</v>
      </c>
      <c r="K58" s="27" t="n">
        <v>8</v>
      </c>
      <c r="L58" s="27" t="n">
        <v>0.5682</v>
      </c>
      <c r="M58" s="19" t="n">
        <f aca="false">K58-L58</f>
        <v>7.4318</v>
      </c>
      <c r="N58" s="26" t="n">
        <v>2</v>
      </c>
      <c r="O58" s="26" t="n">
        <v>4</v>
      </c>
      <c r="P58" s="28" t="n">
        <f aca="false">IF($C58=0,"",D58/$C58)</f>
        <v>0.37037037037037</v>
      </c>
      <c r="Q58" s="28" t="n">
        <f aca="false">IF($C58=0,"",E58/$C58)</f>
        <v>0.37037037037037</v>
      </c>
      <c r="R58" s="28" t="n">
        <f aca="false">IF($C58=0,"",F58/$C58)</f>
        <v>0.62962962962963</v>
      </c>
      <c r="S58" s="28" t="n">
        <f aca="false">IF($C58=0,"",G58/$C58)</f>
        <v>0.555555555555556</v>
      </c>
      <c r="T58" s="28" t="n">
        <f aca="false">IF($C58=0,"",H58/$C58)</f>
        <v>0.481481481481481</v>
      </c>
      <c r="U58" s="28" t="n">
        <f aca="false">IF($C58=0,"",I58/$C58)</f>
        <v>0.37037037037037</v>
      </c>
      <c r="V58" s="29" t="n">
        <f aca="false">IF($C58=0,"",K58/$C58)</f>
        <v>0.296296296296296</v>
      </c>
      <c r="W58" s="29" t="n">
        <f aca="false">IF($C58=0,"",M58/$C58)</f>
        <v>0.275251851851852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21</v>
      </c>
      <c r="D59" s="26" t="n">
        <v>6</v>
      </c>
      <c r="E59" s="26" t="n">
        <v>6</v>
      </c>
      <c r="F59" s="26" t="n">
        <v>11</v>
      </c>
      <c r="G59" s="26" t="n">
        <v>8</v>
      </c>
      <c r="H59" s="26" t="n">
        <v>7</v>
      </c>
      <c r="I59" s="26" t="n">
        <v>6</v>
      </c>
      <c r="J59" s="26" t="n">
        <v>0</v>
      </c>
      <c r="K59" s="27" t="n">
        <v>0</v>
      </c>
      <c r="L59" s="27" t="n">
        <v>0.3282</v>
      </c>
      <c r="M59" s="19" t="n">
        <f aca="false">K59-L59</f>
        <v>-0.3282</v>
      </c>
      <c r="N59" s="26" t="n">
        <v>1</v>
      </c>
      <c r="O59" s="26" t="n">
        <v>7</v>
      </c>
      <c r="P59" s="28" t="n">
        <f aca="false">IF($C59=0,"",D59/$C59)</f>
        <v>0.285714285714286</v>
      </c>
      <c r="Q59" s="28" t="n">
        <f aca="false">IF($C59=0,"",E59/$C59)</f>
        <v>0.285714285714286</v>
      </c>
      <c r="R59" s="28" t="n">
        <f aca="false">IF($C59=0,"",F59/$C59)</f>
        <v>0.523809523809524</v>
      </c>
      <c r="S59" s="28" t="n">
        <f aca="false">IF($C59=0,"",G59/$C59)</f>
        <v>0.380952380952381</v>
      </c>
      <c r="T59" s="28" t="n">
        <f aca="false">IF($C59=0,"",H59/$C59)</f>
        <v>0.333333333333333</v>
      </c>
      <c r="U59" s="28" t="n">
        <f aca="false">IF($C59=0,"",I59/$C59)</f>
        <v>0.285714285714286</v>
      </c>
      <c r="V59" s="29" t="n">
        <f aca="false">IF($C59=0,"",K59/$C59)</f>
        <v>0</v>
      </c>
      <c r="W59" s="29" t="n">
        <f aca="false">IF($C59=0,"",M59/$C59)</f>
        <v>-0.0156285714285714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19</v>
      </c>
      <c r="D60" s="26" t="n">
        <v>9</v>
      </c>
      <c r="E60" s="26" t="n">
        <v>9</v>
      </c>
      <c r="F60" s="26" t="n">
        <v>14</v>
      </c>
      <c r="G60" s="26" t="n">
        <v>14</v>
      </c>
      <c r="H60" s="26" t="n">
        <v>12</v>
      </c>
      <c r="I60" s="26" t="n">
        <v>9</v>
      </c>
      <c r="J60" s="26" t="n">
        <v>0</v>
      </c>
      <c r="K60" s="27" t="n">
        <v>12.5</v>
      </c>
      <c r="L60" s="27" t="n">
        <v>0.2571</v>
      </c>
      <c r="M60" s="19" t="n">
        <f aca="false">K60-L60</f>
        <v>12.2429</v>
      </c>
      <c r="N60" s="26" t="n">
        <v>5</v>
      </c>
      <c r="O60" s="26" t="n">
        <v>6</v>
      </c>
      <c r="P60" s="28" t="n">
        <f aca="false">IF($C60=0,"",D60/$C60)</f>
        <v>0.473684210526316</v>
      </c>
      <c r="Q60" s="28" t="n">
        <f aca="false">IF($C60=0,"",E60/$C60)</f>
        <v>0.473684210526316</v>
      </c>
      <c r="R60" s="28" t="n">
        <f aca="false">IF($C60=0,"",F60/$C60)</f>
        <v>0.736842105263158</v>
      </c>
      <c r="S60" s="28" t="n">
        <f aca="false">IF($C60=0,"",G60/$C60)</f>
        <v>0.736842105263158</v>
      </c>
      <c r="T60" s="28" t="n">
        <f aca="false">IF($C60=0,"",H60/$C60)</f>
        <v>0.631578947368421</v>
      </c>
      <c r="U60" s="28" t="n">
        <f aca="false">IF($C60=0,"",I60/$C60)</f>
        <v>0.473684210526316</v>
      </c>
      <c r="V60" s="29" t="n">
        <f aca="false">IF($C60=0,"",K60/$C60)</f>
        <v>0.657894736842105</v>
      </c>
      <c r="W60" s="29" t="n">
        <f aca="false">IF($C60=0,"",M60/$C60)</f>
        <v>0.644363157894737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20</v>
      </c>
      <c r="D61" s="26" t="n">
        <v>9</v>
      </c>
      <c r="E61" s="26" t="n">
        <v>9</v>
      </c>
      <c r="F61" s="26" t="n">
        <v>13</v>
      </c>
      <c r="G61" s="26" t="n">
        <v>12</v>
      </c>
      <c r="H61" s="26" t="n">
        <v>11</v>
      </c>
      <c r="I61" s="26" t="n">
        <v>9</v>
      </c>
      <c r="J61" s="26" t="n">
        <v>0</v>
      </c>
      <c r="K61" s="27" t="n">
        <v>11.5</v>
      </c>
      <c r="L61" s="27" t="n">
        <v>0.1652</v>
      </c>
      <c r="M61" s="19" t="n">
        <f aca="false">K61-L61</f>
        <v>11.3348</v>
      </c>
      <c r="N61" s="26" t="n">
        <v>3</v>
      </c>
      <c r="O61" s="26" t="n">
        <v>4</v>
      </c>
      <c r="P61" s="28" t="n">
        <f aca="false">IF($C61=0,"",D61/$C61)</f>
        <v>0.45</v>
      </c>
      <c r="Q61" s="28" t="n">
        <f aca="false">IF($C61=0,"",E61/$C61)</f>
        <v>0.45</v>
      </c>
      <c r="R61" s="28" t="n">
        <f aca="false">IF($C61=0,"",F61/$C61)</f>
        <v>0.65</v>
      </c>
      <c r="S61" s="28" t="n">
        <f aca="false">IF($C61=0,"",G61/$C61)</f>
        <v>0.6</v>
      </c>
      <c r="T61" s="28" t="n">
        <f aca="false">IF($C61=0,"",H61/$C61)</f>
        <v>0.55</v>
      </c>
      <c r="U61" s="28" t="n">
        <f aca="false">IF($C61=0,"",I61/$C61)</f>
        <v>0.45</v>
      </c>
      <c r="V61" s="29" t="n">
        <f aca="false">IF($C61=0,"",K61/$C61)</f>
        <v>0.575</v>
      </c>
      <c r="W61" s="29" t="n">
        <f aca="false">IF($C61=0,"",M61/$C61)</f>
        <v>0.56674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19</v>
      </c>
      <c r="D62" s="26" t="n">
        <v>2</v>
      </c>
      <c r="E62" s="26" t="n">
        <v>2</v>
      </c>
      <c r="F62" s="26" t="n">
        <v>12</v>
      </c>
      <c r="G62" s="26" t="n">
        <v>8</v>
      </c>
      <c r="H62" s="26" t="n">
        <v>3</v>
      </c>
      <c r="I62" s="26" t="n">
        <v>2</v>
      </c>
      <c r="J62" s="26" t="n">
        <v>0</v>
      </c>
      <c r="K62" s="27" t="n">
        <v>-12</v>
      </c>
      <c r="L62" s="27" t="n">
        <v>0.1965</v>
      </c>
      <c r="M62" s="19" t="n">
        <f aca="false">K62-L62</f>
        <v>-12.1965</v>
      </c>
      <c r="N62" s="26" t="n">
        <v>1</v>
      </c>
      <c r="O62" s="26" t="n">
        <v>8</v>
      </c>
      <c r="P62" s="28" t="n">
        <f aca="false">IF($C62=0,"",D62/$C62)</f>
        <v>0.105263157894737</v>
      </c>
      <c r="Q62" s="28" t="n">
        <f aca="false">IF($C62=0,"",E62/$C62)</f>
        <v>0.105263157894737</v>
      </c>
      <c r="R62" s="28" t="n">
        <f aca="false">IF($C62=0,"",F62/$C62)</f>
        <v>0.631578947368421</v>
      </c>
      <c r="S62" s="28" t="n">
        <f aca="false">IF($C62=0,"",G62/$C62)</f>
        <v>0.421052631578947</v>
      </c>
      <c r="T62" s="28" t="n">
        <f aca="false">IF($C62=0,"",H62/$C62)</f>
        <v>0.157894736842105</v>
      </c>
      <c r="U62" s="28" t="n">
        <f aca="false">IF($C62=0,"",I62/$C62)</f>
        <v>0.105263157894737</v>
      </c>
      <c r="V62" s="29" t="n">
        <f aca="false">IF($C62=0,"",K62/$C62)</f>
        <v>-0.631578947368421</v>
      </c>
      <c r="W62" s="29" t="n">
        <f aca="false">IF($C62=0,"",M62/$C62)</f>
        <v>-0.641921052631579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21</v>
      </c>
      <c r="D63" s="26" t="n">
        <v>4</v>
      </c>
      <c r="E63" s="26" t="n">
        <v>4</v>
      </c>
      <c r="F63" s="26" t="n">
        <v>13</v>
      </c>
      <c r="G63" s="26" t="n">
        <v>9</v>
      </c>
      <c r="H63" s="26" t="n">
        <v>7</v>
      </c>
      <c r="I63" s="26" t="n">
        <v>4</v>
      </c>
      <c r="J63" s="26" t="n">
        <v>0</v>
      </c>
      <c r="K63" s="27" t="n">
        <v>-7</v>
      </c>
      <c r="L63" s="27" t="n">
        <v>0.2321</v>
      </c>
      <c r="M63" s="19" t="n">
        <f aca="false">K63-L63</f>
        <v>-7.2321</v>
      </c>
      <c r="N63" s="26" t="n">
        <v>1</v>
      </c>
      <c r="O63" s="26" t="n">
        <v>9</v>
      </c>
      <c r="P63" s="28" t="n">
        <f aca="false">IF($C63=0,"",D63/$C63)</f>
        <v>0.19047619047619</v>
      </c>
      <c r="Q63" s="28" t="n">
        <f aca="false">IF($C63=0,"",E63/$C63)</f>
        <v>0.19047619047619</v>
      </c>
      <c r="R63" s="28" t="n">
        <f aca="false">IF($C63=0,"",F63/$C63)</f>
        <v>0.619047619047619</v>
      </c>
      <c r="S63" s="28" t="n">
        <f aca="false">IF($C63=0,"",G63/$C63)</f>
        <v>0.428571428571429</v>
      </c>
      <c r="T63" s="28" t="n">
        <f aca="false">IF($C63=0,"",H63/$C63)</f>
        <v>0.333333333333333</v>
      </c>
      <c r="U63" s="28" t="n">
        <f aca="false">IF($C63=0,"",I63/$C63)</f>
        <v>0.19047619047619</v>
      </c>
      <c r="V63" s="29" t="n">
        <f aca="false">IF($C63=0,"",K63/$C63)</f>
        <v>-0.333333333333333</v>
      </c>
      <c r="W63" s="29" t="n">
        <f aca="false">IF($C63=0,"",M63/$C63)</f>
        <v>-0.344385714285714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24</v>
      </c>
      <c r="D64" s="26" t="n">
        <v>6</v>
      </c>
      <c r="E64" s="26" t="n">
        <v>6</v>
      </c>
      <c r="F64" s="26" t="n">
        <v>11</v>
      </c>
      <c r="G64" s="26" t="n">
        <v>10</v>
      </c>
      <c r="H64" s="26" t="n">
        <v>8</v>
      </c>
      <c r="I64" s="26" t="n">
        <v>6</v>
      </c>
      <c r="J64" s="26" t="n">
        <v>0</v>
      </c>
      <c r="K64" s="27" t="n">
        <v>-3</v>
      </c>
      <c r="L64" s="27" t="n">
        <v>0.3315</v>
      </c>
      <c r="M64" s="19" t="n">
        <f aca="false">K64-L64</f>
        <v>-3.3315</v>
      </c>
      <c r="N64" s="26" t="n">
        <v>2</v>
      </c>
      <c r="O64" s="26" t="n">
        <v>8</v>
      </c>
      <c r="P64" s="28" t="n">
        <f aca="false">IF($C64=0,"",D64/$C64)</f>
        <v>0.25</v>
      </c>
      <c r="Q64" s="28" t="n">
        <f aca="false">IF($C64=0,"",E64/$C64)</f>
        <v>0.25</v>
      </c>
      <c r="R64" s="28" t="n">
        <f aca="false">IF($C64=0,"",F64/$C64)</f>
        <v>0.458333333333333</v>
      </c>
      <c r="S64" s="28" t="n">
        <f aca="false">IF($C64=0,"",G64/$C64)</f>
        <v>0.416666666666667</v>
      </c>
      <c r="T64" s="28" t="n">
        <f aca="false">IF($C64=0,"",H64/$C64)</f>
        <v>0.333333333333333</v>
      </c>
      <c r="U64" s="28" t="n">
        <f aca="false">IF($C64=0,"",I64/$C64)</f>
        <v>0.25</v>
      </c>
      <c r="V64" s="29" t="n">
        <f aca="false">IF($C64=0,"",K64/$C64)</f>
        <v>-0.125</v>
      </c>
      <c r="W64" s="29" t="n">
        <f aca="false">IF($C64=0,"",M64/$C64)</f>
        <v>-0.1388125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22</v>
      </c>
      <c r="D65" s="26" t="n">
        <v>7</v>
      </c>
      <c r="E65" s="26" t="n">
        <v>7</v>
      </c>
      <c r="F65" s="26" t="n">
        <v>12</v>
      </c>
      <c r="G65" s="26" t="n">
        <v>12</v>
      </c>
      <c r="H65" s="26" t="n">
        <v>11</v>
      </c>
      <c r="I65" s="26" t="n">
        <v>7</v>
      </c>
      <c r="J65" s="26" t="n">
        <v>0</v>
      </c>
      <c r="K65" s="27" t="n">
        <v>2.5</v>
      </c>
      <c r="L65" s="27" t="n">
        <v>0.3463</v>
      </c>
      <c r="M65" s="19" t="n">
        <f aca="false">K65-L65</f>
        <v>2.1537</v>
      </c>
      <c r="N65" s="26" t="n">
        <v>3</v>
      </c>
      <c r="O65" s="26" t="n">
        <v>7</v>
      </c>
      <c r="P65" s="28" t="n">
        <f aca="false">IF($C65=0,"",D65/$C65)</f>
        <v>0.318181818181818</v>
      </c>
      <c r="Q65" s="28" t="n">
        <f aca="false">IF($C65=0,"",E65/$C65)</f>
        <v>0.318181818181818</v>
      </c>
      <c r="R65" s="28" t="n">
        <f aca="false">IF($C65=0,"",F65/$C65)</f>
        <v>0.545454545454545</v>
      </c>
      <c r="S65" s="28" t="n">
        <f aca="false">IF($C65=0,"",G65/$C65)</f>
        <v>0.545454545454545</v>
      </c>
      <c r="T65" s="28" t="n">
        <f aca="false">IF($C65=0,"",H65/$C65)</f>
        <v>0.5</v>
      </c>
      <c r="U65" s="28" t="n">
        <f aca="false">IF($C65=0,"",I65/$C65)</f>
        <v>0.318181818181818</v>
      </c>
      <c r="V65" s="29" t="n">
        <f aca="false">IF($C65=0,"",K65/$C65)</f>
        <v>0.113636363636364</v>
      </c>
      <c r="W65" s="29" t="n">
        <f aca="false">IF($C65=0,"",M65/$C65)</f>
        <v>0.0978954545454546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20</v>
      </c>
      <c r="D66" s="26" t="n">
        <v>10</v>
      </c>
      <c r="E66" s="26" t="n">
        <v>10</v>
      </c>
      <c r="F66" s="26" t="n">
        <v>14</v>
      </c>
      <c r="G66" s="26" t="n">
        <v>13</v>
      </c>
      <c r="H66" s="26" t="n">
        <v>10</v>
      </c>
      <c r="I66" s="26" t="n">
        <v>10</v>
      </c>
      <c r="J66" s="26" t="n">
        <v>0</v>
      </c>
      <c r="K66" s="27" t="n">
        <v>15</v>
      </c>
      <c r="L66" s="27" t="n">
        <v>0.295</v>
      </c>
      <c r="M66" s="19" t="n">
        <f aca="false">K66-L66</f>
        <v>14.705</v>
      </c>
      <c r="N66" s="26" t="n">
        <v>4</v>
      </c>
      <c r="O66" s="26" t="n">
        <v>3</v>
      </c>
      <c r="P66" s="28" t="n">
        <f aca="false">IF($C66=0,"",D66/$C66)</f>
        <v>0.5</v>
      </c>
      <c r="Q66" s="28" t="n">
        <f aca="false">IF($C66=0,"",E66/$C66)</f>
        <v>0.5</v>
      </c>
      <c r="R66" s="28" t="n">
        <f aca="false">IF($C66=0,"",F66/$C66)</f>
        <v>0.7</v>
      </c>
      <c r="S66" s="28" t="n">
        <f aca="false">IF($C66=0,"",G66/$C66)</f>
        <v>0.65</v>
      </c>
      <c r="T66" s="28" t="n">
        <f aca="false">IF($C66=0,"",H66/$C66)</f>
        <v>0.5</v>
      </c>
      <c r="U66" s="28" t="n">
        <f aca="false">IF($C66=0,"",I66/$C66)</f>
        <v>0.5</v>
      </c>
      <c r="V66" s="29" t="n">
        <f aca="false">IF($C66=0,"",K66/$C66)</f>
        <v>0.75</v>
      </c>
      <c r="W66" s="29" t="n">
        <f aca="false">IF($C66=0,"",M66/$C66)</f>
        <v>0.73525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23</v>
      </c>
      <c r="D67" s="26" t="n">
        <v>11</v>
      </c>
      <c r="E67" s="26" t="n">
        <v>11</v>
      </c>
      <c r="F67" s="26" t="n">
        <v>19</v>
      </c>
      <c r="G67" s="26" t="n">
        <v>16</v>
      </c>
      <c r="H67" s="26" t="n">
        <v>13</v>
      </c>
      <c r="I67" s="26" t="n">
        <v>11</v>
      </c>
      <c r="J67" s="26" t="n">
        <v>0</v>
      </c>
      <c r="K67" s="27" t="n">
        <v>15.5</v>
      </c>
      <c r="L67" s="27" t="n">
        <v>0.2063</v>
      </c>
      <c r="M67" s="19" t="n">
        <f aca="false">K67-L67</f>
        <v>15.2937</v>
      </c>
      <c r="N67" s="26" t="n">
        <v>3</v>
      </c>
      <c r="O67" s="26" t="n">
        <v>4</v>
      </c>
      <c r="P67" s="28" t="n">
        <f aca="false">IF($C67=0,"",D67/$C67)</f>
        <v>0.478260869565217</v>
      </c>
      <c r="Q67" s="28" t="n">
        <f aca="false">IF($C67=0,"",E67/$C67)</f>
        <v>0.478260869565217</v>
      </c>
      <c r="R67" s="28" t="n">
        <f aca="false">IF($C67=0,"",F67/$C67)</f>
        <v>0.826086956521739</v>
      </c>
      <c r="S67" s="28" t="n">
        <f aca="false">IF($C67=0,"",G67/$C67)</f>
        <v>0.695652173913044</v>
      </c>
      <c r="T67" s="28" t="n">
        <f aca="false">IF($C67=0,"",H67/$C67)</f>
        <v>0.565217391304348</v>
      </c>
      <c r="U67" s="28" t="n">
        <f aca="false">IF($C67=0,"",I67/$C67)</f>
        <v>0.478260869565217</v>
      </c>
      <c r="V67" s="29" t="n">
        <f aca="false">IF($C67=0,"",K67/$C67)</f>
        <v>0.673913043478261</v>
      </c>
      <c r="W67" s="29" t="n">
        <f aca="false">IF($C67=0,"",M67/$C67)</f>
        <v>0.66494347826087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20</v>
      </c>
      <c r="D68" s="26" t="n">
        <v>8</v>
      </c>
      <c r="E68" s="26" t="n">
        <v>8</v>
      </c>
      <c r="F68" s="26" t="n">
        <v>11</v>
      </c>
      <c r="G68" s="26" t="n">
        <v>8</v>
      </c>
      <c r="H68" s="26" t="n">
        <v>8</v>
      </c>
      <c r="I68" s="26" t="n">
        <v>8</v>
      </c>
      <c r="J68" s="26" t="n">
        <v>0</v>
      </c>
      <c r="K68" s="27" t="n">
        <v>8</v>
      </c>
      <c r="L68" s="27" t="n">
        <v>0.237</v>
      </c>
      <c r="M68" s="19" t="n">
        <f aca="false">K68-L68</f>
        <v>7.763</v>
      </c>
      <c r="N68" s="26" t="n">
        <v>3</v>
      </c>
      <c r="O68" s="26" t="n">
        <v>9</v>
      </c>
      <c r="P68" s="28" t="n">
        <f aca="false">IF($C68=0,"",D68/$C68)</f>
        <v>0.4</v>
      </c>
      <c r="Q68" s="28" t="n">
        <f aca="false">IF($C68=0,"",E68/$C68)</f>
        <v>0.4</v>
      </c>
      <c r="R68" s="28" t="n">
        <f aca="false">IF($C68=0,"",F68/$C68)</f>
        <v>0.55</v>
      </c>
      <c r="S68" s="28" t="n">
        <f aca="false">IF($C68=0,"",G68/$C68)</f>
        <v>0.4</v>
      </c>
      <c r="T68" s="28" t="n">
        <f aca="false">IF($C68=0,"",H68/$C68)</f>
        <v>0.4</v>
      </c>
      <c r="U68" s="28" t="n">
        <f aca="false">IF($C68=0,"",I68/$C68)</f>
        <v>0.4</v>
      </c>
      <c r="V68" s="29" t="n">
        <f aca="false">IF($C68=0,"",K68/$C68)</f>
        <v>0.4</v>
      </c>
      <c r="W68" s="29" t="n">
        <f aca="false">IF($C68=0,"",M68/$C68)</f>
        <v>0.38815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26</v>
      </c>
      <c r="D69" s="26" t="n">
        <v>12</v>
      </c>
      <c r="E69" s="26" t="n">
        <v>12</v>
      </c>
      <c r="F69" s="26" t="n">
        <v>20</v>
      </c>
      <c r="G69" s="26" t="n">
        <v>17</v>
      </c>
      <c r="H69" s="26" t="n">
        <v>16</v>
      </c>
      <c r="I69" s="26" t="n">
        <v>12</v>
      </c>
      <c r="J69" s="26" t="n">
        <v>0</v>
      </c>
      <c r="K69" s="27" t="n">
        <v>16</v>
      </c>
      <c r="L69" s="27" t="n">
        <v>0.2862</v>
      </c>
      <c r="M69" s="19" t="n">
        <f aca="false">K69-L69</f>
        <v>15.7138</v>
      </c>
      <c r="N69" s="26" t="n">
        <v>4</v>
      </c>
      <c r="O69" s="26" t="n">
        <v>4</v>
      </c>
      <c r="P69" s="28" t="n">
        <f aca="false">IF($C69=0,"",D69/$C69)</f>
        <v>0.461538461538462</v>
      </c>
      <c r="Q69" s="28" t="n">
        <f aca="false">IF($C69=0,"",E69/$C69)</f>
        <v>0.461538461538462</v>
      </c>
      <c r="R69" s="28" t="n">
        <f aca="false">IF($C69=0,"",F69/$C69)</f>
        <v>0.769230769230769</v>
      </c>
      <c r="S69" s="28" t="n">
        <f aca="false">IF($C69=0,"",G69/$C69)</f>
        <v>0.653846153846154</v>
      </c>
      <c r="T69" s="28" t="n">
        <f aca="false">IF($C69=0,"",H69/$C69)</f>
        <v>0.615384615384615</v>
      </c>
      <c r="U69" s="28" t="n">
        <f aca="false">IF($C69=0,"",I69/$C69)</f>
        <v>0.461538461538462</v>
      </c>
      <c r="V69" s="29" t="n">
        <f aca="false">IF($C69=0,"",K69/$C69)</f>
        <v>0.615384615384615</v>
      </c>
      <c r="W69" s="29" t="n">
        <f aca="false">IF($C69=0,"",M69/$C69)</f>
        <v>0.604376923076923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262</v>
      </c>
      <c r="D70" s="30" t="n">
        <f aca="false">SUM(D58:D69)</f>
        <v>94</v>
      </c>
      <c r="E70" s="30" t="n">
        <f aca="false">SUM(E58:E69)</f>
        <v>94</v>
      </c>
      <c r="F70" s="30" t="n">
        <f aca="false">SUM(F58:F69)</f>
        <v>167</v>
      </c>
      <c r="G70" s="30" t="n">
        <f aca="false">SUM(G58:G69)</f>
        <v>142</v>
      </c>
      <c r="H70" s="30" t="n">
        <f aca="false">SUM(H58:H69)</f>
        <v>119</v>
      </c>
      <c r="I70" s="30" t="n">
        <f aca="false">SUM(I58:I69)</f>
        <v>94</v>
      </c>
      <c r="J70" s="30" t="n">
        <f aca="false">SUM(J58:J69)</f>
        <v>0</v>
      </c>
      <c r="K70" s="31" t="n">
        <f aca="false">SUM(K58:K69)</f>
        <v>67</v>
      </c>
      <c r="L70" s="31" t="n">
        <f aca="false">SUM(L58:L69)</f>
        <v>3.4496</v>
      </c>
      <c r="M70" s="31" t="n">
        <f aca="false">K70-L70</f>
        <v>63.5504</v>
      </c>
      <c r="N70" s="32" t="n">
        <v>7</v>
      </c>
      <c r="O70" s="32" t="n">
        <v>9</v>
      </c>
      <c r="P70" s="33" t="n">
        <f aca="false">IF($C70=0,"",D70/$C70)</f>
        <v>0.358778625954198</v>
      </c>
      <c r="Q70" s="33" t="n">
        <f aca="false">IF($C70=0,"",E70/$C70)</f>
        <v>0.358778625954198</v>
      </c>
      <c r="R70" s="33" t="n">
        <f aca="false">IF($C70=0,"",F70/$C70)</f>
        <v>0.637404580152672</v>
      </c>
      <c r="S70" s="33" t="n">
        <f aca="false">IF($C70=0,"",G70/$C70)</f>
        <v>0.541984732824428</v>
      </c>
      <c r="T70" s="33" t="n">
        <f aca="false">IF($C70=0,"",H70/$C70)</f>
        <v>0.454198473282443</v>
      </c>
      <c r="U70" s="33" t="n">
        <f aca="false">IF($C70=0,"",I70/$C70)</f>
        <v>0.358778625954198</v>
      </c>
      <c r="V70" s="34" t="n">
        <f aca="false">IF($C70=0,"",K70/$C70)</f>
        <v>0.255725190839695</v>
      </c>
      <c r="W70" s="34" t="n">
        <f aca="false">IF($C70=0,"",M70/$C70)</f>
        <v>0.242558778625954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25</v>
      </c>
      <c r="D71" s="26" t="n">
        <v>9</v>
      </c>
      <c r="E71" s="26" t="n">
        <v>9</v>
      </c>
      <c r="F71" s="26" t="n">
        <v>18</v>
      </c>
      <c r="G71" s="26" t="n">
        <v>12</v>
      </c>
      <c r="H71" s="26" t="n">
        <v>10</v>
      </c>
      <c r="I71" s="26" t="n">
        <v>9</v>
      </c>
      <c r="J71" s="26" t="n">
        <v>0</v>
      </c>
      <c r="K71" s="27" t="n">
        <v>6.5</v>
      </c>
      <c r="L71" s="27" t="n">
        <v>0.201</v>
      </c>
      <c r="M71" s="19" t="n">
        <f aca="false">K71-L71</f>
        <v>6.299</v>
      </c>
      <c r="N71" s="26" t="n">
        <v>3</v>
      </c>
      <c r="O71" s="26" t="n">
        <v>6</v>
      </c>
      <c r="P71" s="28" t="n">
        <f aca="false">IF($C71=0,"",D71/$C71)</f>
        <v>0.36</v>
      </c>
      <c r="Q71" s="28" t="n">
        <f aca="false">IF($C71=0,"",E71/$C71)</f>
        <v>0.36</v>
      </c>
      <c r="R71" s="28" t="n">
        <f aca="false">IF($C71=0,"",F71/$C71)</f>
        <v>0.72</v>
      </c>
      <c r="S71" s="28" t="n">
        <f aca="false">IF($C71=0,"",G71/$C71)</f>
        <v>0.48</v>
      </c>
      <c r="T71" s="28" t="n">
        <f aca="false">IF($C71=0,"",H71/$C71)</f>
        <v>0.4</v>
      </c>
      <c r="U71" s="28" t="n">
        <f aca="false">IF($C71=0,"",I71/$C71)</f>
        <v>0.36</v>
      </c>
      <c r="V71" s="29" t="n">
        <f aca="false">IF($C71=0,"",K71/$C71)</f>
        <v>0.26</v>
      </c>
      <c r="W71" s="29" t="n">
        <f aca="false">IF($C71=0,"",M71/$C71)</f>
        <v>0.25196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30</v>
      </c>
      <c r="D72" s="26" t="n">
        <v>5</v>
      </c>
      <c r="E72" s="26" t="n">
        <v>5</v>
      </c>
      <c r="F72" s="26" t="n">
        <v>14</v>
      </c>
      <c r="G72" s="26" t="n">
        <v>11</v>
      </c>
      <c r="H72" s="26" t="n">
        <v>7</v>
      </c>
      <c r="I72" s="26" t="n">
        <v>5</v>
      </c>
      <c r="J72" s="26" t="n">
        <v>0</v>
      </c>
      <c r="K72" s="27" t="n">
        <v>-12.5</v>
      </c>
      <c r="L72" s="27" t="n">
        <v>0.1878</v>
      </c>
      <c r="M72" s="19" t="n">
        <f aca="false">K72-L72</f>
        <v>-12.6878</v>
      </c>
      <c r="N72" s="26" t="n">
        <v>2</v>
      </c>
      <c r="O72" s="26" t="n">
        <v>8</v>
      </c>
      <c r="P72" s="28" t="n">
        <f aca="false">IF($C72=0,"",D72/$C72)</f>
        <v>0.166666666666667</v>
      </c>
      <c r="Q72" s="28" t="n">
        <f aca="false">IF($C72=0,"",E72/$C72)</f>
        <v>0.166666666666667</v>
      </c>
      <c r="R72" s="28" t="n">
        <f aca="false">IF($C72=0,"",F72/$C72)</f>
        <v>0.466666666666667</v>
      </c>
      <c r="S72" s="28" t="n">
        <f aca="false">IF($C72=0,"",G72/$C72)</f>
        <v>0.366666666666667</v>
      </c>
      <c r="T72" s="28" t="n">
        <f aca="false">IF($C72=0,"",H72/$C72)</f>
        <v>0.233333333333333</v>
      </c>
      <c r="U72" s="28" t="n">
        <f aca="false">IF($C72=0,"",I72/$C72)</f>
        <v>0.166666666666667</v>
      </c>
      <c r="V72" s="29" t="n">
        <f aca="false">IF($C72=0,"",K72/$C72)</f>
        <v>-0.416666666666667</v>
      </c>
      <c r="W72" s="29" t="n">
        <f aca="false">IF($C72=0,"",M72/$C72)</f>
        <v>-0.422926666666667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17</v>
      </c>
      <c r="D73" s="26" t="n">
        <v>8</v>
      </c>
      <c r="E73" s="26" t="n">
        <v>8</v>
      </c>
      <c r="F73" s="26" t="n">
        <v>14</v>
      </c>
      <c r="G73" s="26" t="n">
        <v>11</v>
      </c>
      <c r="H73" s="26" t="n">
        <v>9</v>
      </c>
      <c r="I73" s="26" t="n">
        <v>8</v>
      </c>
      <c r="J73" s="26" t="n">
        <v>0</v>
      </c>
      <c r="K73" s="27" t="n">
        <v>11</v>
      </c>
      <c r="L73" s="27" t="n">
        <v>0.1142</v>
      </c>
      <c r="M73" s="19" t="n">
        <f aca="false">K73-L73</f>
        <v>10.8858</v>
      </c>
      <c r="N73" s="26" t="n">
        <v>4</v>
      </c>
      <c r="O73" s="26" t="n">
        <v>5</v>
      </c>
      <c r="P73" s="28" t="n">
        <f aca="false">IF($C73=0,"",D73/$C73)</f>
        <v>0.470588235294118</v>
      </c>
      <c r="Q73" s="28" t="n">
        <f aca="false">IF($C73=0,"",E73/$C73)</f>
        <v>0.470588235294118</v>
      </c>
      <c r="R73" s="28" t="n">
        <f aca="false">IF($C73=0,"",F73/$C73)</f>
        <v>0.823529411764706</v>
      </c>
      <c r="S73" s="28" t="n">
        <f aca="false">IF($C73=0,"",G73/$C73)</f>
        <v>0.647058823529412</v>
      </c>
      <c r="T73" s="28" t="n">
        <f aca="false">IF($C73=0,"",H73/$C73)</f>
        <v>0.529411764705882</v>
      </c>
      <c r="U73" s="28" t="n">
        <f aca="false">IF($C73=0,"",I73/$C73)</f>
        <v>0.470588235294118</v>
      </c>
      <c r="V73" s="29" t="n">
        <f aca="false">IF($C73=0,"",K73/$C73)</f>
        <v>0.647058823529412</v>
      </c>
      <c r="W73" s="29" t="n">
        <f aca="false">IF($C73=0,"",M73/$C73)</f>
        <v>0.640341176470588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21</v>
      </c>
      <c r="D74" s="26" t="n">
        <v>5</v>
      </c>
      <c r="E74" s="26" t="n">
        <v>5</v>
      </c>
      <c r="F74" s="26" t="n">
        <v>12</v>
      </c>
      <c r="G74" s="26" t="n">
        <v>9</v>
      </c>
      <c r="H74" s="26" t="n">
        <v>7</v>
      </c>
      <c r="I74" s="26" t="n">
        <v>5</v>
      </c>
      <c r="J74" s="26" t="n">
        <v>0</v>
      </c>
      <c r="K74" s="27" t="n">
        <v>-3.5</v>
      </c>
      <c r="L74" s="27" t="n">
        <v>0.184</v>
      </c>
      <c r="M74" s="19" t="n">
        <f aca="false">K74-L74</f>
        <v>-3.684</v>
      </c>
      <c r="N74" s="26" t="n">
        <v>2</v>
      </c>
      <c r="O74" s="26" t="n">
        <v>5</v>
      </c>
      <c r="P74" s="28" t="n">
        <f aca="false">IF($C74=0,"",D74/$C74)</f>
        <v>0.238095238095238</v>
      </c>
      <c r="Q74" s="28" t="n">
        <f aca="false">IF($C74=0,"",E74/$C74)</f>
        <v>0.238095238095238</v>
      </c>
      <c r="R74" s="28" t="n">
        <f aca="false">IF($C74=0,"",F74/$C74)</f>
        <v>0.571428571428571</v>
      </c>
      <c r="S74" s="28" t="n">
        <f aca="false">IF($C74=0,"",G74/$C74)</f>
        <v>0.428571428571429</v>
      </c>
      <c r="T74" s="28" t="n">
        <f aca="false">IF($C74=0,"",H74/$C74)</f>
        <v>0.333333333333333</v>
      </c>
      <c r="U74" s="28" t="n">
        <f aca="false">IF($C74=0,"",I74/$C74)</f>
        <v>0.238095238095238</v>
      </c>
      <c r="V74" s="29" t="n">
        <f aca="false">IF($C74=0,"",K74/$C74)</f>
        <v>-0.166666666666667</v>
      </c>
      <c r="W74" s="29" t="n">
        <f aca="false">IF($C74=0,"",M74/$C74)</f>
        <v>-0.175428571428571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17</v>
      </c>
      <c r="D75" s="26" t="n">
        <v>4</v>
      </c>
      <c r="E75" s="26" t="n">
        <v>4</v>
      </c>
      <c r="F75" s="26" t="n">
        <v>12</v>
      </c>
      <c r="G75" s="26" t="n">
        <v>10</v>
      </c>
      <c r="H75" s="26" t="n">
        <v>7</v>
      </c>
      <c r="I75" s="26" t="n">
        <v>4</v>
      </c>
      <c r="J75" s="26" t="n">
        <v>0</v>
      </c>
      <c r="K75" s="27" t="n">
        <v>-3</v>
      </c>
      <c r="L75" s="27" t="n">
        <v>0.1521</v>
      </c>
      <c r="M75" s="19" t="n">
        <f aca="false">K75-L75</f>
        <v>-3.1521</v>
      </c>
      <c r="N75" s="26" t="n">
        <v>1</v>
      </c>
      <c r="O75" s="26" t="n">
        <v>6</v>
      </c>
      <c r="P75" s="28" t="n">
        <f aca="false">IF($C75=0,"",D75/$C75)</f>
        <v>0.235294117647059</v>
      </c>
      <c r="Q75" s="28" t="n">
        <f aca="false">IF($C75=0,"",E75/$C75)</f>
        <v>0.235294117647059</v>
      </c>
      <c r="R75" s="28" t="n">
        <f aca="false">IF($C75=0,"",F75/$C75)</f>
        <v>0.705882352941177</v>
      </c>
      <c r="S75" s="28" t="n">
        <f aca="false">IF($C75=0,"",G75/$C75)</f>
        <v>0.588235294117647</v>
      </c>
      <c r="T75" s="28" t="n">
        <f aca="false">IF($C75=0,"",H75/$C75)</f>
        <v>0.411764705882353</v>
      </c>
      <c r="U75" s="28" t="n">
        <f aca="false">IF($C75=0,"",I75/$C75)</f>
        <v>0.235294117647059</v>
      </c>
      <c r="V75" s="29" t="n">
        <f aca="false">IF($C75=0,"",K75/$C75)</f>
        <v>-0.176470588235294</v>
      </c>
      <c r="W75" s="29" t="n">
        <f aca="false">IF($C75=0,"",M75/$C75)</f>
        <v>-0.185417647058824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20</v>
      </c>
      <c r="D76" s="26" t="n">
        <v>7</v>
      </c>
      <c r="E76" s="26" t="n">
        <v>7</v>
      </c>
      <c r="F76" s="26" t="n">
        <v>14</v>
      </c>
      <c r="G76" s="26" t="n">
        <v>12</v>
      </c>
      <c r="H76" s="26" t="n">
        <v>10</v>
      </c>
      <c r="I76" s="26" t="n">
        <v>7</v>
      </c>
      <c r="J76" s="26" t="n">
        <v>0</v>
      </c>
      <c r="K76" s="27" t="n">
        <v>4.5</v>
      </c>
      <c r="L76" s="27" t="n">
        <v>0.1887</v>
      </c>
      <c r="M76" s="19" t="n">
        <f aca="false">K76-L76</f>
        <v>4.3113</v>
      </c>
      <c r="N76" s="26" t="n">
        <v>3</v>
      </c>
      <c r="O76" s="26" t="n">
        <v>6</v>
      </c>
      <c r="P76" s="28" t="n">
        <f aca="false">IF($C76=0,"",D76/$C76)</f>
        <v>0.35</v>
      </c>
      <c r="Q76" s="28" t="n">
        <f aca="false">IF($C76=0,"",E76/$C76)</f>
        <v>0.35</v>
      </c>
      <c r="R76" s="28" t="n">
        <f aca="false">IF($C76=0,"",F76/$C76)</f>
        <v>0.7</v>
      </c>
      <c r="S76" s="28" t="n">
        <f aca="false">IF($C76=0,"",G76/$C76)</f>
        <v>0.6</v>
      </c>
      <c r="T76" s="28" t="n">
        <f aca="false">IF($C76=0,"",H76/$C76)</f>
        <v>0.5</v>
      </c>
      <c r="U76" s="28" t="n">
        <f aca="false">IF($C76=0,"",I76/$C76)</f>
        <v>0.35</v>
      </c>
      <c r="V76" s="29" t="n">
        <f aca="false">IF($C76=0,"",K76/$C76)</f>
        <v>0.225</v>
      </c>
      <c r="W76" s="29" t="n">
        <f aca="false">IF($C76=0,"",M76/$C76)</f>
        <v>0.215565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25</v>
      </c>
      <c r="D77" s="26" t="n">
        <v>4</v>
      </c>
      <c r="E77" s="26" t="n">
        <v>4</v>
      </c>
      <c r="F77" s="26" t="n">
        <v>17</v>
      </c>
      <c r="G77" s="26" t="n">
        <v>11</v>
      </c>
      <c r="H77" s="26" t="n">
        <v>9</v>
      </c>
      <c r="I77" s="26" t="n">
        <v>4</v>
      </c>
      <c r="J77" s="26" t="n">
        <v>0</v>
      </c>
      <c r="K77" s="27" t="n">
        <v>-11</v>
      </c>
      <c r="L77" s="27" t="n">
        <v>0.3975</v>
      </c>
      <c r="M77" s="19" t="n">
        <f aca="false">K77-L77</f>
        <v>-11.3975</v>
      </c>
      <c r="N77" s="26" t="n">
        <v>1</v>
      </c>
      <c r="O77" s="26" t="n">
        <v>10</v>
      </c>
      <c r="P77" s="28" t="n">
        <f aca="false">IF($C77=0,"",D77/$C77)</f>
        <v>0.16</v>
      </c>
      <c r="Q77" s="28" t="n">
        <f aca="false">IF($C77=0,"",E77/$C77)</f>
        <v>0.16</v>
      </c>
      <c r="R77" s="28" t="n">
        <f aca="false">IF($C77=0,"",F77/$C77)</f>
        <v>0.68</v>
      </c>
      <c r="S77" s="28" t="n">
        <f aca="false">IF($C77=0,"",G77/$C77)</f>
        <v>0.44</v>
      </c>
      <c r="T77" s="28" t="n">
        <f aca="false">IF($C77=0,"",H77/$C77)</f>
        <v>0.36</v>
      </c>
      <c r="U77" s="28" t="n">
        <f aca="false">IF($C77=0,"",I77/$C77)</f>
        <v>0.16</v>
      </c>
      <c r="V77" s="29" t="n">
        <f aca="false">IF($C77=0,"",K77/$C77)</f>
        <v>-0.44</v>
      </c>
      <c r="W77" s="29" t="n">
        <f aca="false">IF($C77=0,"",M77/$C77)</f>
        <v>-0.4559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18</v>
      </c>
      <c r="D78" s="26" t="n">
        <v>6</v>
      </c>
      <c r="E78" s="26" t="n">
        <v>6</v>
      </c>
      <c r="F78" s="26" t="n">
        <v>11</v>
      </c>
      <c r="G78" s="26" t="n">
        <v>11</v>
      </c>
      <c r="H78" s="26" t="n">
        <v>9</v>
      </c>
      <c r="I78" s="26" t="n">
        <v>6</v>
      </c>
      <c r="J78" s="26" t="n">
        <v>0</v>
      </c>
      <c r="K78" s="27" t="n">
        <v>3</v>
      </c>
      <c r="L78" s="27" t="n">
        <v>0.1728</v>
      </c>
      <c r="M78" s="19" t="n">
        <f aca="false">K78-L78</f>
        <v>2.8272</v>
      </c>
      <c r="N78" s="26" t="n">
        <v>4</v>
      </c>
      <c r="O78" s="26" t="n">
        <v>5</v>
      </c>
      <c r="P78" s="28" t="n">
        <f aca="false">IF($C78=0,"",D78/$C78)</f>
        <v>0.333333333333333</v>
      </c>
      <c r="Q78" s="28" t="n">
        <f aca="false">IF($C78=0,"",E78/$C78)</f>
        <v>0.333333333333333</v>
      </c>
      <c r="R78" s="28" t="n">
        <f aca="false">IF($C78=0,"",F78/$C78)</f>
        <v>0.611111111111111</v>
      </c>
      <c r="S78" s="28" t="n">
        <f aca="false">IF($C78=0,"",G78/$C78)</f>
        <v>0.611111111111111</v>
      </c>
      <c r="T78" s="28" t="n">
        <f aca="false">IF($C78=0,"",H78/$C78)</f>
        <v>0.5</v>
      </c>
      <c r="U78" s="28" t="n">
        <f aca="false">IF($C78=0,"",I78/$C78)</f>
        <v>0.333333333333333</v>
      </c>
      <c r="V78" s="29" t="n">
        <f aca="false">IF($C78=0,"",K78/$C78)</f>
        <v>0.166666666666667</v>
      </c>
      <c r="W78" s="29" t="n">
        <f aca="false">IF($C78=0,"",M78/$C78)</f>
        <v>0.157066666666667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21</v>
      </c>
      <c r="D79" s="26" t="n">
        <v>4</v>
      </c>
      <c r="E79" s="26" t="n">
        <v>4</v>
      </c>
      <c r="F79" s="26" t="n">
        <v>14</v>
      </c>
      <c r="G79" s="26" t="n">
        <v>13</v>
      </c>
      <c r="H79" s="26" t="n">
        <v>7</v>
      </c>
      <c r="I79" s="26" t="n">
        <v>4</v>
      </c>
      <c r="J79" s="26" t="n">
        <v>0</v>
      </c>
      <c r="K79" s="27" t="n">
        <v>-7</v>
      </c>
      <c r="L79" s="27" t="n">
        <v>0.2171</v>
      </c>
      <c r="M79" s="19" t="n">
        <f aca="false">K79-L79</f>
        <v>-7.2171</v>
      </c>
      <c r="N79" s="26" t="n">
        <v>1</v>
      </c>
      <c r="O79" s="26" t="n">
        <v>8</v>
      </c>
      <c r="P79" s="28" t="n">
        <f aca="false">IF($C79=0,"",D79/$C79)</f>
        <v>0.19047619047619</v>
      </c>
      <c r="Q79" s="28" t="n">
        <f aca="false">IF($C79=0,"",E79/$C79)</f>
        <v>0.19047619047619</v>
      </c>
      <c r="R79" s="28" t="n">
        <f aca="false">IF($C79=0,"",F79/$C79)</f>
        <v>0.666666666666667</v>
      </c>
      <c r="S79" s="28" t="n">
        <f aca="false">IF($C79=0,"",G79/$C79)</f>
        <v>0.619047619047619</v>
      </c>
      <c r="T79" s="28" t="n">
        <f aca="false">IF($C79=0,"",H79/$C79)</f>
        <v>0.333333333333333</v>
      </c>
      <c r="U79" s="28" t="n">
        <f aca="false">IF($C79=0,"",I79/$C79)</f>
        <v>0.19047619047619</v>
      </c>
      <c r="V79" s="29" t="n">
        <f aca="false">IF($C79=0,"",K79/$C79)</f>
        <v>-0.333333333333333</v>
      </c>
      <c r="W79" s="29" t="n">
        <f aca="false">IF($C79=0,"",M79/$C79)</f>
        <v>-0.343671428571429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-1</v>
      </c>
      <c r="L80" s="27" t="n">
        <v>0.0124</v>
      </c>
      <c r="M80" s="19" t="n">
        <f aca="false">K80-L80</f>
        <v>-1.0124</v>
      </c>
      <c r="N80" s="26" t="n">
        <v>0</v>
      </c>
      <c r="O80" s="26" t="n">
        <v>1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-1.0124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195</v>
      </c>
      <c r="D81" s="30" t="n">
        <f aca="false">SUM(D71:D80)</f>
        <v>52</v>
      </c>
      <c r="E81" s="30" t="n">
        <f aca="false">SUM(E71:E80)</f>
        <v>52</v>
      </c>
      <c r="F81" s="30" t="n">
        <f aca="false">SUM(F71:F80)</f>
        <v>126</v>
      </c>
      <c r="G81" s="30" t="n">
        <f aca="false">SUM(G71:G80)</f>
        <v>100</v>
      </c>
      <c r="H81" s="30" t="n">
        <f aca="false">SUM(H71:H80)</f>
        <v>75</v>
      </c>
      <c r="I81" s="30" t="n">
        <f aca="false">SUM(I71:I80)</f>
        <v>52</v>
      </c>
      <c r="J81" s="30" t="n">
        <f aca="false">SUM(J71:J80)</f>
        <v>0</v>
      </c>
      <c r="K81" s="31" t="n">
        <f aca="false">SUM(K71:K80)</f>
        <v>-13</v>
      </c>
      <c r="L81" s="31" t="n">
        <f aca="false">SUM(L71:L80)</f>
        <v>1.8276</v>
      </c>
      <c r="M81" s="31" t="n">
        <f aca="false">K81-L81</f>
        <v>-14.8276</v>
      </c>
      <c r="N81" s="32" t="n">
        <v>4</v>
      </c>
      <c r="O81" s="32" t="n">
        <v>13</v>
      </c>
      <c r="P81" s="33" t="n">
        <f aca="false">IF($C81=0,"",D81/$C81)</f>
        <v>0.266666666666667</v>
      </c>
      <c r="Q81" s="33" t="n">
        <f aca="false">IF($C81=0,"",E81/$C81)</f>
        <v>0.266666666666667</v>
      </c>
      <c r="R81" s="33" t="n">
        <f aca="false">IF($C81=0,"",F81/$C81)</f>
        <v>0.646153846153846</v>
      </c>
      <c r="S81" s="33" t="n">
        <f aca="false">IF($C81=0,"",G81/$C81)</f>
        <v>0.512820512820513</v>
      </c>
      <c r="T81" s="33" t="n">
        <f aca="false">IF($C81=0,"",H81/$C81)</f>
        <v>0.384615384615385</v>
      </c>
      <c r="U81" s="33" t="n">
        <f aca="false">IF($C81=0,"",I81/$C81)</f>
        <v>0.266666666666667</v>
      </c>
      <c r="V81" s="34" t="n">
        <f aca="false">IF($C81=0,"",K81/$C81)</f>
        <v>-0.0666666666666667</v>
      </c>
      <c r="W81" s="34" t="n">
        <f aca="false">IF($C81=0,"",M81/$C81)</f>
        <v>-0.0760389743589744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1472</v>
      </c>
      <c r="D82" s="5" t="n">
        <f aca="false">D18+D31+D44+D57+D70+D81</f>
        <v>472</v>
      </c>
      <c r="E82" s="5" t="n">
        <f aca="false">E18+E31+E44+E57+E70+E81</f>
        <v>472</v>
      </c>
      <c r="F82" s="5" t="n">
        <f aca="false">F18+F31+F44+F57+F70+F81</f>
        <v>926</v>
      </c>
      <c r="G82" s="5" t="n">
        <f aca="false">G18+G31+G44+G57+G70+G81</f>
        <v>769</v>
      </c>
      <c r="H82" s="5" t="n">
        <f aca="false">H18+H31+H44+H57+H70+H81</f>
        <v>630</v>
      </c>
      <c r="I82" s="5" t="n">
        <f aca="false">I18+I31+I44+I57+I70+I81</f>
        <v>472</v>
      </c>
      <c r="J82" s="5" t="n">
        <f aca="false">J18+J31+J44+J57+J70+J81</f>
        <v>0</v>
      </c>
      <c r="K82" s="21" t="n">
        <f aca="false">K18+K31+K44+K57+K70+K81</f>
        <v>180</v>
      </c>
      <c r="L82" s="21" t="n">
        <f aca="false">L18+L31+L44+L57+L70+L81</f>
        <v>51.6218</v>
      </c>
      <c r="M82" s="21" t="n">
        <f aca="false">K82-L82</f>
        <v>128.3782</v>
      </c>
      <c r="N82" s="35" t="n">
        <v>7</v>
      </c>
      <c r="O82" s="35" t="n">
        <v>21</v>
      </c>
      <c r="P82" s="36" t="n">
        <f aca="false">IF($C82=0,"",D82/$C82)</f>
        <v>0.320652173913043</v>
      </c>
      <c r="Q82" s="36" t="n">
        <f aca="false">IF($C82=0,"",E82/$C82)</f>
        <v>0.320652173913043</v>
      </c>
      <c r="R82" s="36" t="n">
        <f aca="false">IF($C82=0,"",F82/$C82)</f>
        <v>0.629076086956522</v>
      </c>
      <c r="S82" s="36" t="n">
        <f aca="false">IF($C82=0,"",G82/$C82)</f>
        <v>0.52241847826087</v>
      </c>
      <c r="T82" s="36" t="n">
        <f aca="false">IF($C82=0,"",H82/$C82)</f>
        <v>0.427989130434783</v>
      </c>
      <c r="U82" s="36" t="n">
        <f aca="false">IF($C82=0,"",I82/$C82)</f>
        <v>0.320652173913043</v>
      </c>
      <c r="V82" s="37" t="n">
        <f aca="false">IF($C82=0,"",K82/$C82)</f>
        <v>0.122282608695652</v>
      </c>
      <c r="W82" s="37" t="n">
        <f aca="false">IF($C82=0,"",M82/$C82)</f>
        <v>0.0872134510869565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194</v>
      </c>
    </row>
    <row r="2" customFormat="false" ht="42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24</v>
      </c>
      <c r="D6" s="26" t="n">
        <v>5</v>
      </c>
      <c r="E6" s="26" t="n">
        <v>12</v>
      </c>
      <c r="F6" s="26" t="n">
        <v>14</v>
      </c>
      <c r="G6" s="26" t="n">
        <v>12</v>
      </c>
      <c r="H6" s="26" t="n">
        <v>6</v>
      </c>
      <c r="I6" s="26" t="n">
        <v>5</v>
      </c>
      <c r="J6" s="26" t="n">
        <v>0</v>
      </c>
      <c r="K6" s="27" t="n">
        <v>2.2</v>
      </c>
      <c r="L6" s="27" t="n">
        <v>0.8998</v>
      </c>
      <c r="M6" s="19" t="n">
        <f aca="false">K6-L6</f>
        <v>1.3002</v>
      </c>
      <c r="N6" s="26" t="n">
        <v>4</v>
      </c>
      <c r="O6" s="26" t="n">
        <v>2</v>
      </c>
      <c r="P6" s="28" t="n">
        <f aca="false">IF($C6=0,"",D6/$C6)</f>
        <v>0.208333333333333</v>
      </c>
      <c r="Q6" s="28" t="n">
        <f aca="false">IF($C6=0,"",E6/$C6)</f>
        <v>0.5</v>
      </c>
      <c r="R6" s="28" t="n">
        <f aca="false">IF($C6=0,"",F6/$C6)</f>
        <v>0.583333333333333</v>
      </c>
      <c r="S6" s="28" t="n">
        <f aca="false">IF($C6=0,"",G6/$C6)</f>
        <v>0.5</v>
      </c>
      <c r="T6" s="28" t="n">
        <f aca="false">IF($C6=0,"",H6/$C6)</f>
        <v>0.25</v>
      </c>
      <c r="U6" s="28" t="n">
        <f aca="false">IF($C6=0,"",I6/$C6)</f>
        <v>0.208333333333333</v>
      </c>
      <c r="V6" s="29" t="n">
        <f aca="false">IF($C6=0,"",K6/$C6)</f>
        <v>0.0916666666666667</v>
      </c>
      <c r="W6" s="29" t="n">
        <f aca="false">IF($C6=0,"",M6/$C6)</f>
        <v>0.054175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27</v>
      </c>
      <c r="D7" s="26" t="n">
        <v>7</v>
      </c>
      <c r="E7" s="26" t="n">
        <v>17</v>
      </c>
      <c r="F7" s="26" t="n">
        <v>20</v>
      </c>
      <c r="G7" s="26" t="n">
        <v>17</v>
      </c>
      <c r="H7" s="26" t="n">
        <v>9</v>
      </c>
      <c r="I7" s="26" t="n">
        <v>7</v>
      </c>
      <c r="J7" s="26" t="n">
        <v>0</v>
      </c>
      <c r="K7" s="27" t="n">
        <v>10</v>
      </c>
      <c r="L7" s="27" t="n">
        <v>1.1706</v>
      </c>
      <c r="M7" s="19" t="n">
        <f aca="false">K7-L7</f>
        <v>8.8294</v>
      </c>
      <c r="N7" s="26" t="n">
        <v>5</v>
      </c>
      <c r="O7" s="26" t="n">
        <v>2</v>
      </c>
      <c r="P7" s="28" t="n">
        <f aca="false">IF($C7=0,"",D7/$C7)</f>
        <v>0.259259259259259</v>
      </c>
      <c r="Q7" s="28" t="n">
        <f aca="false">IF($C7=0,"",E7/$C7)</f>
        <v>0.62962962962963</v>
      </c>
      <c r="R7" s="28" t="n">
        <f aca="false">IF($C7=0,"",F7/$C7)</f>
        <v>0.740740740740741</v>
      </c>
      <c r="S7" s="28" t="n">
        <f aca="false">IF($C7=0,"",G7/$C7)</f>
        <v>0.62962962962963</v>
      </c>
      <c r="T7" s="28" t="n">
        <f aca="false">IF($C7=0,"",H7/$C7)</f>
        <v>0.333333333333333</v>
      </c>
      <c r="U7" s="28" t="n">
        <f aca="false">IF($C7=0,"",I7/$C7)</f>
        <v>0.259259259259259</v>
      </c>
      <c r="V7" s="29" t="n">
        <f aca="false">IF($C7=0,"",K7/$C7)</f>
        <v>0.37037037037037</v>
      </c>
      <c r="W7" s="29" t="n">
        <f aca="false">IF($C7=0,"",M7/$C7)</f>
        <v>0.327014814814815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20</v>
      </c>
      <c r="D8" s="26" t="n">
        <v>6</v>
      </c>
      <c r="E8" s="26" t="n">
        <v>12</v>
      </c>
      <c r="F8" s="26" t="n">
        <v>14</v>
      </c>
      <c r="G8" s="26" t="n">
        <v>12</v>
      </c>
      <c r="H8" s="26" t="n">
        <v>7</v>
      </c>
      <c r="I8" s="26" t="n">
        <v>6</v>
      </c>
      <c r="J8" s="26" t="n">
        <v>0</v>
      </c>
      <c r="K8" s="27" t="n">
        <v>7.6</v>
      </c>
      <c r="L8" s="27" t="n">
        <v>0.8602</v>
      </c>
      <c r="M8" s="19" t="n">
        <f aca="false">K8-L8</f>
        <v>6.7398</v>
      </c>
      <c r="N8" s="26" t="n">
        <v>4</v>
      </c>
      <c r="O8" s="26" t="n">
        <v>2</v>
      </c>
      <c r="P8" s="28" t="n">
        <f aca="false">IF($C8=0,"",D8/$C8)</f>
        <v>0.3</v>
      </c>
      <c r="Q8" s="28" t="n">
        <f aca="false">IF($C8=0,"",E8/$C8)</f>
        <v>0.6</v>
      </c>
      <c r="R8" s="28" t="n">
        <f aca="false">IF($C8=0,"",F8/$C8)</f>
        <v>0.7</v>
      </c>
      <c r="S8" s="28" t="n">
        <f aca="false">IF($C8=0,"",G8/$C8)</f>
        <v>0.6</v>
      </c>
      <c r="T8" s="28" t="n">
        <f aca="false">IF($C8=0,"",H8/$C8)</f>
        <v>0.35</v>
      </c>
      <c r="U8" s="28" t="n">
        <f aca="false">IF($C8=0,"",I8/$C8)</f>
        <v>0.3</v>
      </c>
      <c r="V8" s="29" t="n">
        <f aca="false">IF($C8=0,"",K8/$C8)</f>
        <v>0.38</v>
      </c>
      <c r="W8" s="29" t="n">
        <f aca="false">IF($C8=0,"",M8/$C8)</f>
        <v>0.33699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22</v>
      </c>
      <c r="D9" s="26" t="n">
        <v>3</v>
      </c>
      <c r="E9" s="26" t="n">
        <v>8</v>
      </c>
      <c r="F9" s="26" t="n">
        <v>11</v>
      </c>
      <c r="G9" s="26" t="n">
        <v>8</v>
      </c>
      <c r="H9" s="26" t="n">
        <v>3</v>
      </c>
      <c r="I9" s="26" t="n">
        <v>3</v>
      </c>
      <c r="J9" s="26" t="n">
        <v>0</v>
      </c>
      <c r="K9" s="27" t="n">
        <v>-5</v>
      </c>
      <c r="L9" s="27" t="n">
        <v>1.1744</v>
      </c>
      <c r="M9" s="19" t="n">
        <f aca="false">K9-L9</f>
        <v>-6.1744</v>
      </c>
      <c r="N9" s="26" t="n">
        <v>3</v>
      </c>
      <c r="O9" s="26" t="n">
        <v>6</v>
      </c>
      <c r="P9" s="28" t="n">
        <f aca="false">IF($C9=0,"",D9/$C9)</f>
        <v>0.136363636363636</v>
      </c>
      <c r="Q9" s="28" t="n">
        <f aca="false">IF($C9=0,"",E9/$C9)</f>
        <v>0.363636363636364</v>
      </c>
      <c r="R9" s="28" t="n">
        <f aca="false">IF($C9=0,"",F9/$C9)</f>
        <v>0.5</v>
      </c>
      <c r="S9" s="28" t="n">
        <f aca="false">IF($C9=0,"",G9/$C9)</f>
        <v>0.363636363636364</v>
      </c>
      <c r="T9" s="28" t="n">
        <f aca="false">IF($C9=0,"",H9/$C9)</f>
        <v>0.136363636363636</v>
      </c>
      <c r="U9" s="28" t="n">
        <f aca="false">IF($C9=0,"",I9/$C9)</f>
        <v>0.136363636363636</v>
      </c>
      <c r="V9" s="29" t="n">
        <f aca="false">IF($C9=0,"",K9/$C9)</f>
        <v>-0.227272727272727</v>
      </c>
      <c r="W9" s="29" t="n">
        <f aca="false">IF($C9=0,"",M9/$C9)</f>
        <v>-0.280654545454546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16</v>
      </c>
      <c r="D10" s="26" t="n">
        <v>5</v>
      </c>
      <c r="E10" s="26" t="n">
        <v>12</v>
      </c>
      <c r="F10" s="26" t="n">
        <v>14</v>
      </c>
      <c r="G10" s="26" t="n">
        <v>12</v>
      </c>
      <c r="H10" s="26" t="n">
        <v>5</v>
      </c>
      <c r="I10" s="26" t="n">
        <v>5</v>
      </c>
      <c r="J10" s="26" t="n">
        <v>0</v>
      </c>
      <c r="K10" s="27" t="n">
        <v>10.2</v>
      </c>
      <c r="L10" s="27" t="n">
        <v>0.8397</v>
      </c>
      <c r="M10" s="19" t="n">
        <f aca="false">K10-L10</f>
        <v>9.3603</v>
      </c>
      <c r="N10" s="26" t="n">
        <v>5</v>
      </c>
      <c r="O10" s="26" t="n">
        <v>2</v>
      </c>
      <c r="P10" s="28" t="n">
        <f aca="false">IF($C10=0,"",D10/$C10)</f>
        <v>0.3125</v>
      </c>
      <c r="Q10" s="28" t="n">
        <f aca="false">IF($C10=0,"",E10/$C10)</f>
        <v>0.75</v>
      </c>
      <c r="R10" s="28" t="n">
        <f aca="false">IF($C10=0,"",F10/$C10)</f>
        <v>0.875</v>
      </c>
      <c r="S10" s="28" t="n">
        <f aca="false">IF($C10=0,"",G10/$C10)</f>
        <v>0.75</v>
      </c>
      <c r="T10" s="28" t="n">
        <f aca="false">IF($C10=0,"",H10/$C10)</f>
        <v>0.3125</v>
      </c>
      <c r="U10" s="28" t="n">
        <f aca="false">IF($C10=0,"",I10/$C10)</f>
        <v>0.3125</v>
      </c>
      <c r="V10" s="29" t="n">
        <f aca="false">IF($C10=0,"",K10/$C10)</f>
        <v>0.6375</v>
      </c>
      <c r="W10" s="29" t="n">
        <f aca="false">IF($C10=0,"",M10/$C10)</f>
        <v>0.58501875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16</v>
      </c>
      <c r="D11" s="26" t="n">
        <v>3</v>
      </c>
      <c r="E11" s="26" t="n">
        <v>9</v>
      </c>
      <c r="F11" s="26" t="n">
        <v>10</v>
      </c>
      <c r="G11" s="26" t="n">
        <v>9</v>
      </c>
      <c r="H11" s="26" t="n">
        <v>4</v>
      </c>
      <c r="I11" s="26" t="n">
        <v>3</v>
      </c>
      <c r="J11" s="26" t="n">
        <v>0</v>
      </c>
      <c r="K11" s="27" t="n">
        <v>2.6</v>
      </c>
      <c r="L11" s="27" t="n">
        <v>0.873</v>
      </c>
      <c r="M11" s="19" t="n">
        <f aca="false">K11-L11</f>
        <v>1.727</v>
      </c>
      <c r="N11" s="26" t="n">
        <v>4</v>
      </c>
      <c r="O11" s="26" t="n">
        <v>3</v>
      </c>
      <c r="P11" s="28" t="n">
        <f aca="false">IF($C11=0,"",D11/$C11)</f>
        <v>0.1875</v>
      </c>
      <c r="Q11" s="28" t="n">
        <f aca="false">IF($C11=0,"",E11/$C11)</f>
        <v>0.5625</v>
      </c>
      <c r="R11" s="28" t="n">
        <f aca="false">IF($C11=0,"",F11/$C11)</f>
        <v>0.625</v>
      </c>
      <c r="S11" s="28" t="n">
        <f aca="false">IF($C11=0,"",G11/$C11)</f>
        <v>0.5625</v>
      </c>
      <c r="T11" s="28" t="n">
        <f aca="false">IF($C11=0,"",H11/$C11)</f>
        <v>0.25</v>
      </c>
      <c r="U11" s="28" t="n">
        <f aca="false">IF($C11=0,"",I11/$C11)</f>
        <v>0.1875</v>
      </c>
      <c r="V11" s="29" t="n">
        <f aca="false">IF($C11=0,"",K11/$C11)</f>
        <v>0.1625</v>
      </c>
      <c r="W11" s="29" t="n">
        <f aca="false">IF($C11=0,"",M11/$C11)</f>
        <v>0.1079375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19</v>
      </c>
      <c r="D12" s="26" t="n">
        <v>0</v>
      </c>
      <c r="E12" s="26" t="n">
        <v>6</v>
      </c>
      <c r="F12" s="26" t="n">
        <v>7</v>
      </c>
      <c r="G12" s="26" t="n">
        <v>6</v>
      </c>
      <c r="H12" s="26" t="n">
        <v>3</v>
      </c>
      <c r="I12" s="26" t="n">
        <v>0</v>
      </c>
      <c r="J12" s="26" t="n">
        <v>0</v>
      </c>
      <c r="K12" s="27" t="n">
        <v>-9.4</v>
      </c>
      <c r="L12" s="27" t="n">
        <v>1.1319</v>
      </c>
      <c r="M12" s="19" t="n">
        <f aca="false">K12-L12</f>
        <v>-10.5319</v>
      </c>
      <c r="N12" s="26" t="n">
        <v>1</v>
      </c>
      <c r="O12" s="26" t="n">
        <v>4</v>
      </c>
      <c r="P12" s="28" t="n">
        <f aca="false">IF($C12=0,"",D12/$C12)</f>
        <v>0</v>
      </c>
      <c r="Q12" s="28" t="n">
        <f aca="false">IF($C12=0,"",E12/$C12)</f>
        <v>0.315789473684211</v>
      </c>
      <c r="R12" s="28" t="n">
        <f aca="false">IF($C12=0,"",F12/$C12)</f>
        <v>0.368421052631579</v>
      </c>
      <c r="S12" s="28" t="n">
        <f aca="false">IF($C12=0,"",G12/$C12)</f>
        <v>0.315789473684211</v>
      </c>
      <c r="T12" s="28" t="n">
        <f aca="false">IF($C12=0,"",H12/$C12)</f>
        <v>0.157894736842105</v>
      </c>
      <c r="U12" s="28" t="n">
        <f aca="false">IF($C12=0,"",I12/$C12)</f>
        <v>0</v>
      </c>
      <c r="V12" s="29" t="n">
        <f aca="false">IF($C12=0,"",K12/$C12)</f>
        <v>-0.494736842105263</v>
      </c>
      <c r="W12" s="29" t="n">
        <f aca="false">IF($C12=0,"",M12/$C12)</f>
        <v>-0.55431052631579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19</v>
      </c>
      <c r="D13" s="26" t="n">
        <v>2</v>
      </c>
      <c r="E13" s="26" t="n">
        <v>11</v>
      </c>
      <c r="F13" s="26" t="n">
        <v>13</v>
      </c>
      <c r="G13" s="26" t="n">
        <v>11</v>
      </c>
      <c r="H13" s="26" t="n">
        <v>6</v>
      </c>
      <c r="I13" s="26" t="n">
        <v>2</v>
      </c>
      <c r="J13" s="26" t="n">
        <v>0</v>
      </c>
      <c r="K13" s="27" t="n">
        <v>1.4</v>
      </c>
      <c r="L13" s="27" t="n">
        <v>1.0228</v>
      </c>
      <c r="M13" s="19" t="n">
        <f aca="false">K13-L13</f>
        <v>0.3772</v>
      </c>
      <c r="N13" s="26" t="n">
        <v>4</v>
      </c>
      <c r="O13" s="26" t="n">
        <v>2</v>
      </c>
      <c r="P13" s="28" t="n">
        <f aca="false">IF($C13=0,"",D13/$C13)</f>
        <v>0.105263157894737</v>
      </c>
      <c r="Q13" s="28" t="n">
        <f aca="false">IF($C13=0,"",E13/$C13)</f>
        <v>0.578947368421053</v>
      </c>
      <c r="R13" s="28" t="n">
        <f aca="false">IF($C13=0,"",F13/$C13)</f>
        <v>0.68421052631579</v>
      </c>
      <c r="S13" s="28" t="n">
        <f aca="false">IF($C13=0,"",G13/$C13)</f>
        <v>0.578947368421053</v>
      </c>
      <c r="T13" s="28" t="n">
        <f aca="false">IF($C13=0,"",H13/$C13)</f>
        <v>0.315789473684211</v>
      </c>
      <c r="U13" s="28" t="n">
        <f aca="false">IF($C13=0,"",I13/$C13)</f>
        <v>0.105263157894737</v>
      </c>
      <c r="V13" s="29" t="n">
        <f aca="false">IF($C13=0,"",K13/$C13)</f>
        <v>0.0736842105263158</v>
      </c>
      <c r="W13" s="29" t="n">
        <f aca="false">IF($C13=0,"",M13/$C13)</f>
        <v>0.0198526315789474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21</v>
      </c>
      <c r="D14" s="26" t="n">
        <v>5</v>
      </c>
      <c r="E14" s="26" t="n">
        <v>11</v>
      </c>
      <c r="F14" s="26" t="n">
        <v>13</v>
      </c>
      <c r="G14" s="26" t="n">
        <v>11</v>
      </c>
      <c r="H14" s="26" t="n">
        <v>6</v>
      </c>
      <c r="I14" s="26" t="n">
        <v>5</v>
      </c>
      <c r="J14" s="26" t="n">
        <v>0</v>
      </c>
      <c r="K14" s="27" t="n">
        <v>3.6</v>
      </c>
      <c r="L14" s="27" t="n">
        <v>1.1383</v>
      </c>
      <c r="M14" s="19" t="n">
        <f aca="false">K14-L14</f>
        <v>2.4617</v>
      </c>
      <c r="N14" s="26" t="n">
        <v>3</v>
      </c>
      <c r="O14" s="26" t="n">
        <v>2</v>
      </c>
      <c r="P14" s="28" t="n">
        <f aca="false">IF($C14=0,"",D14/$C14)</f>
        <v>0.238095238095238</v>
      </c>
      <c r="Q14" s="28" t="n">
        <f aca="false">IF($C14=0,"",E14/$C14)</f>
        <v>0.523809523809524</v>
      </c>
      <c r="R14" s="28" t="n">
        <f aca="false">IF($C14=0,"",F14/$C14)</f>
        <v>0.619047619047619</v>
      </c>
      <c r="S14" s="28" t="n">
        <f aca="false">IF($C14=0,"",G14/$C14)</f>
        <v>0.523809523809524</v>
      </c>
      <c r="T14" s="28" t="n">
        <f aca="false">IF($C14=0,"",H14/$C14)</f>
        <v>0.285714285714286</v>
      </c>
      <c r="U14" s="28" t="n">
        <f aca="false">IF($C14=0,"",I14/$C14)</f>
        <v>0.238095238095238</v>
      </c>
      <c r="V14" s="29" t="n">
        <f aca="false">IF($C14=0,"",K14/$C14)</f>
        <v>0.171428571428571</v>
      </c>
      <c r="W14" s="29" t="n">
        <f aca="false">IF($C14=0,"",M14/$C14)</f>
        <v>0.11722380952381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27</v>
      </c>
      <c r="D15" s="26" t="n">
        <v>2</v>
      </c>
      <c r="E15" s="26" t="n">
        <v>10</v>
      </c>
      <c r="F15" s="26" t="n">
        <v>13</v>
      </c>
      <c r="G15" s="26" t="n">
        <v>10</v>
      </c>
      <c r="H15" s="26" t="n">
        <v>3</v>
      </c>
      <c r="I15" s="26" t="n">
        <v>2</v>
      </c>
      <c r="J15" s="26" t="n">
        <v>0</v>
      </c>
      <c r="K15" s="27" t="n">
        <v>-8.2</v>
      </c>
      <c r="L15" s="27" t="n">
        <v>1.2077</v>
      </c>
      <c r="M15" s="19" t="n">
        <f aca="false">K15-L15</f>
        <v>-9.4077</v>
      </c>
      <c r="N15" s="26" t="n">
        <v>3</v>
      </c>
      <c r="O15" s="26" t="n">
        <v>5</v>
      </c>
      <c r="P15" s="28" t="n">
        <f aca="false">IF($C15=0,"",D15/$C15)</f>
        <v>0.0740740740740741</v>
      </c>
      <c r="Q15" s="28" t="n">
        <f aca="false">IF($C15=0,"",E15/$C15)</f>
        <v>0.37037037037037</v>
      </c>
      <c r="R15" s="28" t="n">
        <f aca="false">IF($C15=0,"",F15/$C15)</f>
        <v>0.481481481481481</v>
      </c>
      <c r="S15" s="28" t="n">
        <f aca="false">IF($C15=0,"",G15/$C15)</f>
        <v>0.37037037037037</v>
      </c>
      <c r="T15" s="28" t="n">
        <f aca="false">IF($C15=0,"",H15/$C15)</f>
        <v>0.111111111111111</v>
      </c>
      <c r="U15" s="28" t="n">
        <f aca="false">IF($C15=0,"",I15/$C15)</f>
        <v>0.0740740740740741</v>
      </c>
      <c r="V15" s="29" t="n">
        <f aca="false">IF($C15=0,"",K15/$C15)</f>
        <v>-0.303703703703704</v>
      </c>
      <c r="W15" s="29" t="n">
        <f aca="false">IF($C15=0,"",M15/$C15)</f>
        <v>-0.348433333333333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28</v>
      </c>
      <c r="D16" s="26" t="n">
        <v>3</v>
      </c>
      <c r="E16" s="26" t="n">
        <v>15</v>
      </c>
      <c r="F16" s="26" t="n">
        <v>18</v>
      </c>
      <c r="G16" s="26" t="n">
        <v>15</v>
      </c>
      <c r="H16" s="26" t="n">
        <v>3</v>
      </c>
      <c r="I16" s="26" t="n">
        <v>3</v>
      </c>
      <c r="J16" s="26" t="n">
        <v>0</v>
      </c>
      <c r="K16" s="27" t="n">
        <v>0.2</v>
      </c>
      <c r="L16" s="27" t="n">
        <v>1.6942</v>
      </c>
      <c r="M16" s="19" t="n">
        <f aca="false">K16-L16</f>
        <v>-1.4942</v>
      </c>
      <c r="N16" s="26" t="n">
        <v>4</v>
      </c>
      <c r="O16" s="26" t="n">
        <v>5</v>
      </c>
      <c r="P16" s="28" t="n">
        <f aca="false">IF($C16=0,"",D16/$C16)</f>
        <v>0.107142857142857</v>
      </c>
      <c r="Q16" s="28" t="n">
        <f aca="false">IF($C16=0,"",E16/$C16)</f>
        <v>0.535714285714286</v>
      </c>
      <c r="R16" s="28" t="n">
        <f aca="false">IF($C16=0,"",F16/$C16)</f>
        <v>0.642857142857143</v>
      </c>
      <c r="S16" s="28" t="n">
        <f aca="false">IF($C16=0,"",G16/$C16)</f>
        <v>0.535714285714286</v>
      </c>
      <c r="T16" s="28" t="n">
        <f aca="false">IF($C16=0,"",H16/$C16)</f>
        <v>0.107142857142857</v>
      </c>
      <c r="U16" s="28" t="n">
        <f aca="false">IF($C16=0,"",I16/$C16)</f>
        <v>0.107142857142857</v>
      </c>
      <c r="V16" s="29" t="n">
        <f aca="false">IF($C16=0,"",K16/$C16)</f>
        <v>0.00714285714285714</v>
      </c>
      <c r="W16" s="29" t="n">
        <f aca="false">IF($C16=0,"",M16/$C16)</f>
        <v>-0.0533642857142857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25</v>
      </c>
      <c r="D17" s="26" t="n">
        <v>6</v>
      </c>
      <c r="E17" s="26" t="n">
        <v>17</v>
      </c>
      <c r="F17" s="26" t="n">
        <v>18</v>
      </c>
      <c r="G17" s="26" t="n">
        <v>17</v>
      </c>
      <c r="H17" s="26" t="n">
        <v>9</v>
      </c>
      <c r="I17" s="26" t="n">
        <v>6</v>
      </c>
      <c r="J17" s="26" t="n">
        <v>0</v>
      </c>
      <c r="K17" s="27" t="n">
        <v>10.6</v>
      </c>
      <c r="L17" s="27" t="n">
        <v>2.0702</v>
      </c>
      <c r="M17" s="19" t="n">
        <f aca="false">K17-L17</f>
        <v>8.5298</v>
      </c>
      <c r="N17" s="26" t="n">
        <v>7</v>
      </c>
      <c r="O17" s="26" t="n">
        <v>3</v>
      </c>
      <c r="P17" s="28" t="n">
        <f aca="false">IF($C17=0,"",D17/$C17)</f>
        <v>0.24</v>
      </c>
      <c r="Q17" s="28" t="n">
        <f aca="false">IF($C17=0,"",E17/$C17)</f>
        <v>0.68</v>
      </c>
      <c r="R17" s="28" t="n">
        <f aca="false">IF($C17=0,"",F17/$C17)</f>
        <v>0.72</v>
      </c>
      <c r="S17" s="28" t="n">
        <f aca="false">IF($C17=0,"",G17/$C17)</f>
        <v>0.68</v>
      </c>
      <c r="T17" s="28" t="n">
        <f aca="false">IF($C17=0,"",H17/$C17)</f>
        <v>0.36</v>
      </c>
      <c r="U17" s="28" t="n">
        <f aca="false">IF($C17=0,"",I17/$C17)</f>
        <v>0.24</v>
      </c>
      <c r="V17" s="29" t="n">
        <f aca="false">IF($C17=0,"",K17/$C17)</f>
        <v>0.424</v>
      </c>
      <c r="W17" s="29" t="n">
        <f aca="false">IF($C17=0,"",M17/$C17)</f>
        <v>0.341192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264</v>
      </c>
      <c r="D18" s="30" t="n">
        <f aca="false">SUM(D6:D17)</f>
        <v>47</v>
      </c>
      <c r="E18" s="30" t="n">
        <f aca="false">SUM(E6:E17)</f>
        <v>140</v>
      </c>
      <c r="F18" s="30" t="n">
        <f aca="false">SUM(F6:F17)</f>
        <v>165</v>
      </c>
      <c r="G18" s="30" t="n">
        <f aca="false">SUM(G6:G17)</f>
        <v>140</v>
      </c>
      <c r="H18" s="30" t="n">
        <f aca="false">SUM(H6:H17)</f>
        <v>64</v>
      </c>
      <c r="I18" s="30" t="n">
        <f aca="false">SUM(I6:I17)</f>
        <v>47</v>
      </c>
      <c r="J18" s="30" t="n">
        <f aca="false">SUM(J6:J17)</f>
        <v>0</v>
      </c>
      <c r="K18" s="31" t="n">
        <f aca="false">SUM(K6:K17)</f>
        <v>25.8</v>
      </c>
      <c r="L18" s="31" t="n">
        <f aca="false">SUM(L6:L17)</f>
        <v>14.0828</v>
      </c>
      <c r="M18" s="31" t="n">
        <f aca="false">K18-L18</f>
        <v>11.7172</v>
      </c>
      <c r="N18" s="32" t="n">
        <v>7</v>
      </c>
      <c r="O18" s="32" t="n">
        <v>6</v>
      </c>
      <c r="P18" s="33" t="n">
        <f aca="false">IF($C18=0,"",D18/$C18)</f>
        <v>0.178030303030303</v>
      </c>
      <c r="Q18" s="33" t="n">
        <f aca="false">IF($C18=0,"",E18/$C18)</f>
        <v>0.53030303030303</v>
      </c>
      <c r="R18" s="33" t="n">
        <f aca="false">IF($C18=0,"",F18/$C18)</f>
        <v>0.625</v>
      </c>
      <c r="S18" s="33" t="n">
        <f aca="false">IF($C18=0,"",G18/$C18)</f>
        <v>0.53030303030303</v>
      </c>
      <c r="T18" s="33" t="n">
        <f aca="false">IF($C18=0,"",H18/$C18)</f>
        <v>0.242424242424242</v>
      </c>
      <c r="U18" s="33" t="n">
        <f aca="false">IF($C18=0,"",I18/$C18)</f>
        <v>0.178030303030303</v>
      </c>
      <c r="V18" s="34" t="n">
        <f aca="false">IF($C18=0,"",K18/$C18)</f>
        <v>0.0977272727272727</v>
      </c>
      <c r="W18" s="34" t="n">
        <f aca="false">IF($C18=0,"",M18/$C18)</f>
        <v>0.0443833333333333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30</v>
      </c>
      <c r="D19" s="26" t="n">
        <v>6</v>
      </c>
      <c r="E19" s="26" t="n">
        <v>14</v>
      </c>
      <c r="F19" s="26" t="n">
        <v>16</v>
      </c>
      <c r="G19" s="26" t="n">
        <v>14</v>
      </c>
      <c r="H19" s="26" t="n">
        <v>8</v>
      </c>
      <c r="I19" s="26" t="n">
        <v>6</v>
      </c>
      <c r="J19" s="26" t="n">
        <v>0</v>
      </c>
      <c r="K19" s="27" t="n">
        <v>0.8</v>
      </c>
      <c r="L19" s="27" t="n">
        <v>2.3969</v>
      </c>
      <c r="M19" s="19" t="n">
        <f aca="false">K19-L19</f>
        <v>-1.5969</v>
      </c>
      <c r="N19" s="26" t="n">
        <v>5</v>
      </c>
      <c r="O19" s="26" t="n">
        <v>4</v>
      </c>
      <c r="P19" s="28" t="n">
        <f aca="false">IF($C19=0,"",D19/$C19)</f>
        <v>0.2</v>
      </c>
      <c r="Q19" s="28" t="n">
        <f aca="false">IF($C19=0,"",E19/$C19)</f>
        <v>0.466666666666667</v>
      </c>
      <c r="R19" s="28" t="n">
        <f aca="false">IF($C19=0,"",F19/$C19)</f>
        <v>0.533333333333333</v>
      </c>
      <c r="S19" s="28" t="n">
        <f aca="false">IF($C19=0,"",G19/$C19)</f>
        <v>0.466666666666667</v>
      </c>
      <c r="T19" s="28" t="n">
        <f aca="false">IF($C19=0,"",H19/$C19)</f>
        <v>0.266666666666667</v>
      </c>
      <c r="U19" s="28" t="n">
        <f aca="false">IF($C19=0,"",I19/$C19)</f>
        <v>0.2</v>
      </c>
      <c r="V19" s="29" t="n">
        <f aca="false">IF($C19=0,"",K19/$C19)</f>
        <v>0.0266666666666667</v>
      </c>
      <c r="W19" s="29" t="n">
        <f aca="false">IF($C19=0,"",M19/$C19)</f>
        <v>-0.05323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22</v>
      </c>
      <c r="D20" s="26" t="n">
        <v>2</v>
      </c>
      <c r="E20" s="26" t="n">
        <v>16</v>
      </c>
      <c r="F20" s="26" t="n">
        <v>19</v>
      </c>
      <c r="G20" s="26" t="n">
        <v>16</v>
      </c>
      <c r="H20" s="26" t="n">
        <v>6</v>
      </c>
      <c r="I20" s="26" t="n">
        <v>2</v>
      </c>
      <c r="J20" s="26" t="n">
        <v>0</v>
      </c>
      <c r="K20" s="27" t="n">
        <v>6.4</v>
      </c>
      <c r="L20" s="27" t="n">
        <v>1.2172</v>
      </c>
      <c r="M20" s="19" t="n">
        <f aca="false">K20-L20</f>
        <v>5.1828</v>
      </c>
      <c r="N20" s="26" t="n">
        <v>8</v>
      </c>
      <c r="O20" s="26" t="n">
        <v>2</v>
      </c>
      <c r="P20" s="28" t="n">
        <f aca="false">IF($C20=0,"",D20/$C20)</f>
        <v>0.0909090909090909</v>
      </c>
      <c r="Q20" s="28" t="n">
        <f aca="false">IF($C20=0,"",E20/$C20)</f>
        <v>0.727272727272727</v>
      </c>
      <c r="R20" s="28" t="n">
        <f aca="false">IF($C20=0,"",F20/$C20)</f>
        <v>0.863636363636364</v>
      </c>
      <c r="S20" s="28" t="n">
        <f aca="false">IF($C20=0,"",G20/$C20)</f>
        <v>0.727272727272727</v>
      </c>
      <c r="T20" s="28" t="n">
        <f aca="false">IF($C20=0,"",H20/$C20)</f>
        <v>0.272727272727273</v>
      </c>
      <c r="U20" s="28" t="n">
        <f aca="false">IF($C20=0,"",I20/$C20)</f>
        <v>0.0909090909090909</v>
      </c>
      <c r="V20" s="29" t="n">
        <f aca="false">IF($C20=0,"",K20/$C20)</f>
        <v>0.290909090909091</v>
      </c>
      <c r="W20" s="29" t="n">
        <f aca="false">IF($C20=0,"",M20/$C20)</f>
        <v>0.235581818181818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25</v>
      </c>
      <c r="D21" s="26" t="n">
        <v>4</v>
      </c>
      <c r="E21" s="26" t="n">
        <v>12</v>
      </c>
      <c r="F21" s="26" t="n">
        <v>18</v>
      </c>
      <c r="G21" s="26" t="n">
        <v>12</v>
      </c>
      <c r="H21" s="26" t="n">
        <v>7</v>
      </c>
      <c r="I21" s="26" t="n">
        <v>4</v>
      </c>
      <c r="J21" s="26" t="n">
        <v>0</v>
      </c>
      <c r="K21" s="27" t="n">
        <v>-0.2</v>
      </c>
      <c r="L21" s="27" t="n">
        <v>0.8226</v>
      </c>
      <c r="M21" s="19" t="n">
        <f aca="false">K21-L21</f>
        <v>-1.0226</v>
      </c>
      <c r="N21" s="26" t="n">
        <v>4</v>
      </c>
      <c r="O21" s="26" t="n">
        <v>7</v>
      </c>
      <c r="P21" s="28" t="n">
        <f aca="false">IF($C21=0,"",D21/$C21)</f>
        <v>0.16</v>
      </c>
      <c r="Q21" s="28" t="n">
        <f aca="false">IF($C21=0,"",E21/$C21)</f>
        <v>0.48</v>
      </c>
      <c r="R21" s="28" t="n">
        <f aca="false">IF($C21=0,"",F21/$C21)</f>
        <v>0.72</v>
      </c>
      <c r="S21" s="28" t="n">
        <f aca="false">IF($C21=0,"",G21/$C21)</f>
        <v>0.48</v>
      </c>
      <c r="T21" s="28" t="n">
        <f aca="false">IF($C21=0,"",H21/$C21)</f>
        <v>0.28</v>
      </c>
      <c r="U21" s="28" t="n">
        <f aca="false">IF($C21=0,"",I21/$C21)</f>
        <v>0.16</v>
      </c>
      <c r="V21" s="29" t="n">
        <f aca="false">IF($C21=0,"",K21/$C21)</f>
        <v>-0.008</v>
      </c>
      <c r="W21" s="29" t="n">
        <f aca="false">IF($C21=0,"",M21/$C21)</f>
        <v>-0.040904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23</v>
      </c>
      <c r="D22" s="26" t="n">
        <v>1</v>
      </c>
      <c r="E22" s="26" t="n">
        <v>11</v>
      </c>
      <c r="F22" s="26" t="n">
        <v>12</v>
      </c>
      <c r="G22" s="26" t="n">
        <v>11</v>
      </c>
      <c r="H22" s="26" t="n">
        <v>4</v>
      </c>
      <c r="I22" s="26" t="n">
        <v>1</v>
      </c>
      <c r="J22" s="26" t="n">
        <v>0</v>
      </c>
      <c r="K22" s="27" t="n">
        <v>-4</v>
      </c>
      <c r="L22" s="27" t="n">
        <v>0.9344</v>
      </c>
      <c r="M22" s="19" t="n">
        <f aca="false">K22-L22</f>
        <v>-4.9344</v>
      </c>
      <c r="N22" s="26" t="n">
        <v>2</v>
      </c>
      <c r="O22" s="26" t="n">
        <v>3</v>
      </c>
      <c r="P22" s="28" t="n">
        <f aca="false">IF($C22=0,"",D22/$C22)</f>
        <v>0.0434782608695652</v>
      </c>
      <c r="Q22" s="28" t="n">
        <f aca="false">IF($C22=0,"",E22/$C22)</f>
        <v>0.478260869565217</v>
      </c>
      <c r="R22" s="28" t="n">
        <f aca="false">IF($C22=0,"",F22/$C22)</f>
        <v>0.521739130434783</v>
      </c>
      <c r="S22" s="28" t="n">
        <f aca="false">IF($C22=0,"",G22/$C22)</f>
        <v>0.478260869565217</v>
      </c>
      <c r="T22" s="28" t="n">
        <f aca="false">IF($C22=0,"",H22/$C22)</f>
        <v>0.173913043478261</v>
      </c>
      <c r="U22" s="28" t="n">
        <f aca="false">IF($C22=0,"",I22/$C22)</f>
        <v>0.0434782608695652</v>
      </c>
      <c r="V22" s="29" t="n">
        <f aca="false">IF($C22=0,"",K22/$C22)</f>
        <v>-0.173913043478261</v>
      </c>
      <c r="W22" s="29" t="n">
        <f aca="false">IF($C22=0,"",M22/$C22)</f>
        <v>-0.214539130434783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26</v>
      </c>
      <c r="D23" s="26" t="n">
        <v>3</v>
      </c>
      <c r="E23" s="26" t="n">
        <v>13</v>
      </c>
      <c r="F23" s="26" t="n">
        <v>14</v>
      </c>
      <c r="G23" s="26" t="n">
        <v>13</v>
      </c>
      <c r="H23" s="26" t="n">
        <v>5</v>
      </c>
      <c r="I23" s="26" t="n">
        <v>3</v>
      </c>
      <c r="J23" s="26" t="n">
        <v>0</v>
      </c>
      <c r="K23" s="27" t="n">
        <v>-1</v>
      </c>
      <c r="L23" s="27" t="n">
        <v>1.2065</v>
      </c>
      <c r="M23" s="19" t="n">
        <f aca="false">K23-L23</f>
        <v>-2.2065</v>
      </c>
      <c r="N23" s="26" t="n">
        <v>4</v>
      </c>
      <c r="O23" s="26" t="n">
        <v>4</v>
      </c>
      <c r="P23" s="28" t="n">
        <f aca="false">IF($C23=0,"",D23/$C23)</f>
        <v>0.115384615384615</v>
      </c>
      <c r="Q23" s="28" t="n">
        <f aca="false">IF($C23=0,"",E23/$C23)</f>
        <v>0.5</v>
      </c>
      <c r="R23" s="28" t="n">
        <f aca="false">IF($C23=0,"",F23/$C23)</f>
        <v>0.538461538461538</v>
      </c>
      <c r="S23" s="28" t="n">
        <f aca="false">IF($C23=0,"",G23/$C23)</f>
        <v>0.5</v>
      </c>
      <c r="T23" s="28" t="n">
        <f aca="false">IF($C23=0,"",H23/$C23)</f>
        <v>0.192307692307692</v>
      </c>
      <c r="U23" s="28" t="n">
        <f aca="false">IF($C23=0,"",I23/$C23)</f>
        <v>0.115384615384615</v>
      </c>
      <c r="V23" s="29" t="n">
        <f aca="false">IF($C23=0,"",K23/$C23)</f>
        <v>-0.0384615384615385</v>
      </c>
      <c r="W23" s="29" t="n">
        <f aca="false">IF($C23=0,"",M23/$C23)</f>
        <v>-0.0848653846153846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25</v>
      </c>
      <c r="D24" s="26" t="n">
        <v>8</v>
      </c>
      <c r="E24" s="26" t="n">
        <v>16</v>
      </c>
      <c r="F24" s="26" t="n">
        <v>18</v>
      </c>
      <c r="G24" s="26" t="n">
        <v>16</v>
      </c>
      <c r="H24" s="26" t="n">
        <v>8</v>
      </c>
      <c r="I24" s="26" t="n">
        <v>8</v>
      </c>
      <c r="J24" s="26" t="n">
        <v>0</v>
      </c>
      <c r="K24" s="27" t="n">
        <v>11.8</v>
      </c>
      <c r="L24" s="27" t="n">
        <v>1.5977</v>
      </c>
      <c r="M24" s="19" t="n">
        <f aca="false">K24-L24</f>
        <v>10.2023</v>
      </c>
      <c r="N24" s="26" t="n">
        <v>6</v>
      </c>
      <c r="O24" s="26" t="n">
        <v>2</v>
      </c>
      <c r="P24" s="28" t="n">
        <f aca="false">IF($C24=0,"",D24/$C24)</f>
        <v>0.32</v>
      </c>
      <c r="Q24" s="28" t="n">
        <f aca="false">IF($C24=0,"",E24/$C24)</f>
        <v>0.64</v>
      </c>
      <c r="R24" s="28" t="n">
        <f aca="false">IF($C24=0,"",F24/$C24)</f>
        <v>0.72</v>
      </c>
      <c r="S24" s="28" t="n">
        <f aca="false">IF($C24=0,"",G24/$C24)</f>
        <v>0.64</v>
      </c>
      <c r="T24" s="28" t="n">
        <f aca="false">IF($C24=0,"",H24/$C24)</f>
        <v>0.32</v>
      </c>
      <c r="U24" s="28" t="n">
        <f aca="false">IF($C24=0,"",I24/$C24)</f>
        <v>0.32</v>
      </c>
      <c r="V24" s="29" t="n">
        <f aca="false">IF($C24=0,"",K24/$C24)</f>
        <v>0.472</v>
      </c>
      <c r="W24" s="29" t="n">
        <f aca="false">IF($C24=0,"",M24/$C24)</f>
        <v>0.408092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18</v>
      </c>
      <c r="D25" s="26" t="n">
        <v>2</v>
      </c>
      <c r="E25" s="26" t="n">
        <v>13</v>
      </c>
      <c r="F25" s="26" t="n">
        <v>14</v>
      </c>
      <c r="G25" s="26" t="n">
        <v>13</v>
      </c>
      <c r="H25" s="26" t="n">
        <v>7</v>
      </c>
      <c r="I25" s="26" t="n">
        <v>2</v>
      </c>
      <c r="J25" s="26" t="n">
        <v>0</v>
      </c>
      <c r="K25" s="27" t="n">
        <v>5.6</v>
      </c>
      <c r="L25" s="27" t="n">
        <v>1.0529</v>
      </c>
      <c r="M25" s="19" t="n">
        <f aca="false">K25-L25</f>
        <v>4.5471</v>
      </c>
      <c r="N25" s="26" t="n">
        <v>7</v>
      </c>
      <c r="O25" s="26" t="n">
        <v>2</v>
      </c>
      <c r="P25" s="28" t="n">
        <f aca="false">IF($C25=0,"",D25/$C25)</f>
        <v>0.111111111111111</v>
      </c>
      <c r="Q25" s="28" t="n">
        <f aca="false">IF($C25=0,"",E25/$C25)</f>
        <v>0.722222222222222</v>
      </c>
      <c r="R25" s="28" t="n">
        <f aca="false">IF($C25=0,"",F25/$C25)</f>
        <v>0.777777777777778</v>
      </c>
      <c r="S25" s="28" t="n">
        <f aca="false">IF($C25=0,"",G25/$C25)</f>
        <v>0.722222222222222</v>
      </c>
      <c r="T25" s="28" t="n">
        <f aca="false">IF($C25=0,"",H25/$C25)</f>
        <v>0.388888888888889</v>
      </c>
      <c r="U25" s="28" t="n">
        <f aca="false">IF($C25=0,"",I25/$C25)</f>
        <v>0.111111111111111</v>
      </c>
      <c r="V25" s="29" t="n">
        <f aca="false">IF($C25=0,"",K25/$C25)</f>
        <v>0.311111111111111</v>
      </c>
      <c r="W25" s="29" t="n">
        <f aca="false">IF($C25=0,"",M25/$C25)</f>
        <v>0.252616666666667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20</v>
      </c>
      <c r="D26" s="26" t="n">
        <v>3</v>
      </c>
      <c r="E26" s="26" t="n">
        <v>13</v>
      </c>
      <c r="F26" s="26" t="n">
        <v>15</v>
      </c>
      <c r="G26" s="26" t="n">
        <v>13</v>
      </c>
      <c r="H26" s="26" t="n">
        <v>5</v>
      </c>
      <c r="I26" s="26" t="n">
        <v>3</v>
      </c>
      <c r="J26" s="26" t="n">
        <v>0</v>
      </c>
      <c r="K26" s="27" t="n">
        <v>5</v>
      </c>
      <c r="L26" s="27" t="n">
        <v>1.2426</v>
      </c>
      <c r="M26" s="19" t="n">
        <f aca="false">K26-L26</f>
        <v>3.7574</v>
      </c>
      <c r="N26" s="26" t="n">
        <v>8</v>
      </c>
      <c r="O26" s="26" t="n">
        <v>2</v>
      </c>
      <c r="P26" s="28" t="n">
        <f aca="false">IF($C26=0,"",D26/$C26)</f>
        <v>0.15</v>
      </c>
      <c r="Q26" s="28" t="n">
        <f aca="false">IF($C26=0,"",E26/$C26)</f>
        <v>0.65</v>
      </c>
      <c r="R26" s="28" t="n">
        <f aca="false">IF($C26=0,"",F26/$C26)</f>
        <v>0.75</v>
      </c>
      <c r="S26" s="28" t="n">
        <f aca="false">IF($C26=0,"",G26/$C26)</f>
        <v>0.65</v>
      </c>
      <c r="T26" s="28" t="n">
        <f aca="false">IF($C26=0,"",H26/$C26)</f>
        <v>0.25</v>
      </c>
      <c r="U26" s="28" t="n">
        <f aca="false">IF($C26=0,"",I26/$C26)</f>
        <v>0.15</v>
      </c>
      <c r="V26" s="29" t="n">
        <f aca="false">IF($C26=0,"",K26/$C26)</f>
        <v>0.25</v>
      </c>
      <c r="W26" s="29" t="n">
        <f aca="false">IF($C26=0,"",M26/$C26)</f>
        <v>0.18787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26</v>
      </c>
      <c r="D27" s="26" t="n">
        <v>9</v>
      </c>
      <c r="E27" s="26" t="n">
        <v>11</v>
      </c>
      <c r="F27" s="26" t="n">
        <v>15</v>
      </c>
      <c r="G27" s="26" t="n">
        <v>11</v>
      </c>
      <c r="H27" s="26" t="n">
        <v>9</v>
      </c>
      <c r="I27" s="26" t="n">
        <v>9</v>
      </c>
      <c r="J27" s="26" t="n">
        <v>0</v>
      </c>
      <c r="K27" s="27" t="n">
        <v>4.2</v>
      </c>
      <c r="L27" s="27" t="n">
        <v>1.6423</v>
      </c>
      <c r="M27" s="19" t="n">
        <f aca="false">K27-L27</f>
        <v>2.5577</v>
      </c>
      <c r="N27" s="26" t="n">
        <v>3</v>
      </c>
      <c r="O27" s="26" t="n">
        <v>4</v>
      </c>
      <c r="P27" s="28" t="n">
        <f aca="false">IF($C27=0,"",D27/$C27)</f>
        <v>0.346153846153846</v>
      </c>
      <c r="Q27" s="28" t="n">
        <f aca="false">IF($C27=0,"",E27/$C27)</f>
        <v>0.423076923076923</v>
      </c>
      <c r="R27" s="28" t="n">
        <f aca="false">IF($C27=0,"",F27/$C27)</f>
        <v>0.576923076923077</v>
      </c>
      <c r="S27" s="28" t="n">
        <f aca="false">IF($C27=0,"",G27/$C27)</f>
        <v>0.423076923076923</v>
      </c>
      <c r="T27" s="28" t="n">
        <f aca="false">IF($C27=0,"",H27/$C27)</f>
        <v>0.346153846153846</v>
      </c>
      <c r="U27" s="28" t="n">
        <f aca="false">IF($C27=0,"",I27/$C27)</f>
        <v>0.346153846153846</v>
      </c>
      <c r="V27" s="29" t="n">
        <f aca="false">IF($C27=0,"",K27/$C27)</f>
        <v>0.161538461538462</v>
      </c>
      <c r="W27" s="29" t="n">
        <f aca="false">IF($C27=0,"",M27/$C27)</f>
        <v>0.0983730769230769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20</v>
      </c>
      <c r="D28" s="26" t="n">
        <v>2</v>
      </c>
      <c r="E28" s="26" t="n">
        <v>11</v>
      </c>
      <c r="F28" s="26" t="n">
        <v>14</v>
      </c>
      <c r="G28" s="26" t="n">
        <v>11</v>
      </c>
      <c r="H28" s="26" t="n">
        <v>5</v>
      </c>
      <c r="I28" s="26" t="n">
        <v>2</v>
      </c>
      <c r="J28" s="26" t="n">
        <v>0</v>
      </c>
      <c r="K28" s="27" t="n">
        <v>0.4</v>
      </c>
      <c r="L28" s="27" t="n">
        <v>1.0852</v>
      </c>
      <c r="M28" s="19" t="n">
        <f aca="false">K28-L28</f>
        <v>-0.6852</v>
      </c>
      <c r="N28" s="26" t="n">
        <v>2</v>
      </c>
      <c r="O28" s="26" t="n">
        <v>3</v>
      </c>
      <c r="P28" s="28" t="n">
        <f aca="false">IF($C28=0,"",D28/$C28)</f>
        <v>0.1</v>
      </c>
      <c r="Q28" s="28" t="n">
        <f aca="false">IF($C28=0,"",E28/$C28)</f>
        <v>0.55</v>
      </c>
      <c r="R28" s="28" t="n">
        <f aca="false">IF($C28=0,"",F28/$C28)</f>
        <v>0.7</v>
      </c>
      <c r="S28" s="28" t="n">
        <f aca="false">IF($C28=0,"",G28/$C28)</f>
        <v>0.55</v>
      </c>
      <c r="T28" s="28" t="n">
        <f aca="false">IF($C28=0,"",H28/$C28)</f>
        <v>0.25</v>
      </c>
      <c r="U28" s="28" t="n">
        <f aca="false">IF($C28=0,"",I28/$C28)</f>
        <v>0.1</v>
      </c>
      <c r="V28" s="29" t="n">
        <f aca="false">IF($C28=0,"",K28/$C28)</f>
        <v>0.02</v>
      </c>
      <c r="W28" s="29" t="n">
        <f aca="false">IF($C28=0,"",M28/$C28)</f>
        <v>-0.03426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22</v>
      </c>
      <c r="D29" s="26" t="n">
        <v>6</v>
      </c>
      <c r="E29" s="26" t="n">
        <v>11</v>
      </c>
      <c r="F29" s="26" t="n">
        <v>13</v>
      </c>
      <c r="G29" s="26" t="n">
        <v>11</v>
      </c>
      <c r="H29" s="26" t="n">
        <v>7</v>
      </c>
      <c r="I29" s="26" t="n">
        <v>6</v>
      </c>
      <c r="J29" s="26" t="n">
        <v>0</v>
      </c>
      <c r="K29" s="27" t="n">
        <v>4</v>
      </c>
      <c r="L29" s="27" t="n">
        <v>1.4986</v>
      </c>
      <c r="M29" s="19" t="n">
        <f aca="false">K29-L29</f>
        <v>2.5014</v>
      </c>
      <c r="N29" s="26" t="n">
        <v>5</v>
      </c>
      <c r="O29" s="26" t="n">
        <v>4</v>
      </c>
      <c r="P29" s="28" t="n">
        <f aca="false">IF($C29=0,"",D29/$C29)</f>
        <v>0.272727272727273</v>
      </c>
      <c r="Q29" s="28" t="n">
        <f aca="false">IF($C29=0,"",E29/$C29)</f>
        <v>0.5</v>
      </c>
      <c r="R29" s="28" t="n">
        <f aca="false">IF($C29=0,"",F29/$C29)</f>
        <v>0.590909090909091</v>
      </c>
      <c r="S29" s="28" t="n">
        <f aca="false">IF($C29=0,"",G29/$C29)</f>
        <v>0.5</v>
      </c>
      <c r="T29" s="28" t="n">
        <f aca="false">IF($C29=0,"",H29/$C29)</f>
        <v>0.318181818181818</v>
      </c>
      <c r="U29" s="28" t="n">
        <f aca="false">IF($C29=0,"",I29/$C29)</f>
        <v>0.272727272727273</v>
      </c>
      <c r="V29" s="29" t="n">
        <f aca="false">IF($C29=0,"",K29/$C29)</f>
        <v>0.181818181818182</v>
      </c>
      <c r="W29" s="29" t="n">
        <f aca="false">IF($C29=0,"",M29/$C29)</f>
        <v>0.1137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31</v>
      </c>
      <c r="D30" s="26" t="n">
        <v>3</v>
      </c>
      <c r="E30" s="26" t="n">
        <v>15</v>
      </c>
      <c r="F30" s="26" t="n">
        <v>17</v>
      </c>
      <c r="G30" s="26" t="n">
        <v>15</v>
      </c>
      <c r="H30" s="26" t="n">
        <v>10</v>
      </c>
      <c r="I30" s="26" t="n">
        <v>3</v>
      </c>
      <c r="J30" s="26" t="n">
        <v>0</v>
      </c>
      <c r="K30" s="27" t="n">
        <v>-2.8</v>
      </c>
      <c r="L30" s="27" t="n">
        <v>2.0117</v>
      </c>
      <c r="M30" s="19" t="n">
        <f aca="false">K30-L30</f>
        <v>-4.8117</v>
      </c>
      <c r="N30" s="26" t="n">
        <v>5</v>
      </c>
      <c r="O30" s="26" t="n">
        <v>5</v>
      </c>
      <c r="P30" s="28" t="n">
        <f aca="false">IF($C30=0,"",D30/$C30)</f>
        <v>0.0967741935483871</v>
      </c>
      <c r="Q30" s="28" t="n">
        <f aca="false">IF($C30=0,"",E30/$C30)</f>
        <v>0.483870967741936</v>
      </c>
      <c r="R30" s="28" t="n">
        <f aca="false">IF($C30=0,"",F30/$C30)</f>
        <v>0.548387096774194</v>
      </c>
      <c r="S30" s="28" t="n">
        <f aca="false">IF($C30=0,"",G30/$C30)</f>
        <v>0.483870967741936</v>
      </c>
      <c r="T30" s="28" t="n">
        <f aca="false">IF($C30=0,"",H30/$C30)</f>
        <v>0.32258064516129</v>
      </c>
      <c r="U30" s="28" t="n">
        <f aca="false">IF($C30=0,"",I30/$C30)</f>
        <v>0.0967741935483871</v>
      </c>
      <c r="V30" s="29" t="n">
        <f aca="false">IF($C30=0,"",K30/$C30)</f>
        <v>-0.0903225806451613</v>
      </c>
      <c r="W30" s="29" t="n">
        <f aca="false">IF($C30=0,"",M30/$C30)</f>
        <v>-0.155216129032258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288</v>
      </c>
      <c r="D31" s="30" t="n">
        <f aca="false">SUM(D19:D30)</f>
        <v>49</v>
      </c>
      <c r="E31" s="30" t="n">
        <f aca="false">SUM(E19:E30)</f>
        <v>156</v>
      </c>
      <c r="F31" s="30" t="n">
        <f aca="false">SUM(F19:F30)</f>
        <v>185</v>
      </c>
      <c r="G31" s="30" t="n">
        <f aca="false">SUM(G19:G30)</f>
        <v>156</v>
      </c>
      <c r="H31" s="30" t="n">
        <f aca="false">SUM(H19:H30)</f>
        <v>81</v>
      </c>
      <c r="I31" s="30" t="n">
        <f aca="false">SUM(I19:I30)</f>
        <v>49</v>
      </c>
      <c r="J31" s="30" t="n">
        <f aca="false">SUM(J19:J30)</f>
        <v>0</v>
      </c>
      <c r="K31" s="31" t="n">
        <f aca="false">SUM(K19:K30)</f>
        <v>30.2</v>
      </c>
      <c r="L31" s="31" t="n">
        <f aca="false">SUM(L19:L30)</f>
        <v>16.7086</v>
      </c>
      <c r="M31" s="31" t="n">
        <f aca="false">K31-L31</f>
        <v>13.4914</v>
      </c>
      <c r="N31" s="32" t="n">
        <v>8</v>
      </c>
      <c r="O31" s="32" t="n">
        <v>7</v>
      </c>
      <c r="P31" s="33" t="n">
        <f aca="false">IF($C31=0,"",D31/$C31)</f>
        <v>0.170138888888889</v>
      </c>
      <c r="Q31" s="33" t="n">
        <f aca="false">IF($C31=0,"",E31/$C31)</f>
        <v>0.541666666666667</v>
      </c>
      <c r="R31" s="33" t="n">
        <f aca="false">IF($C31=0,"",F31/$C31)</f>
        <v>0.642361111111111</v>
      </c>
      <c r="S31" s="33" t="n">
        <f aca="false">IF($C31=0,"",G31/$C31)</f>
        <v>0.541666666666667</v>
      </c>
      <c r="T31" s="33" t="n">
        <f aca="false">IF($C31=0,"",H31/$C31)</f>
        <v>0.28125</v>
      </c>
      <c r="U31" s="33" t="n">
        <f aca="false">IF($C31=0,"",I31/$C31)</f>
        <v>0.170138888888889</v>
      </c>
      <c r="V31" s="34" t="n">
        <f aca="false">IF($C31=0,"",K31/$C31)</f>
        <v>0.104861111111111</v>
      </c>
      <c r="W31" s="34" t="n">
        <f aca="false">IF($C31=0,"",M31/$C31)</f>
        <v>0.0468451388888889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25</v>
      </c>
      <c r="D32" s="26" t="n">
        <v>6</v>
      </c>
      <c r="E32" s="26" t="n">
        <v>14</v>
      </c>
      <c r="F32" s="26" t="n">
        <v>18</v>
      </c>
      <c r="G32" s="26" t="n">
        <v>14</v>
      </c>
      <c r="H32" s="26" t="n">
        <v>7</v>
      </c>
      <c r="I32" s="26" t="n">
        <v>6</v>
      </c>
      <c r="J32" s="26" t="n">
        <v>0</v>
      </c>
      <c r="K32" s="27" t="n">
        <v>5.8</v>
      </c>
      <c r="L32" s="27" t="n">
        <v>1.3605</v>
      </c>
      <c r="M32" s="19" t="n">
        <f aca="false">K32-L32</f>
        <v>4.4395</v>
      </c>
      <c r="N32" s="26" t="n">
        <v>3</v>
      </c>
      <c r="O32" s="26" t="n">
        <v>2</v>
      </c>
      <c r="P32" s="28" t="n">
        <f aca="false">IF($C32=0,"",D32/$C32)</f>
        <v>0.24</v>
      </c>
      <c r="Q32" s="28" t="n">
        <f aca="false">IF($C32=0,"",E32/$C32)</f>
        <v>0.56</v>
      </c>
      <c r="R32" s="28" t="n">
        <f aca="false">IF($C32=0,"",F32/$C32)</f>
        <v>0.72</v>
      </c>
      <c r="S32" s="28" t="n">
        <f aca="false">IF($C32=0,"",G32/$C32)</f>
        <v>0.56</v>
      </c>
      <c r="T32" s="28" t="n">
        <f aca="false">IF($C32=0,"",H32/$C32)</f>
        <v>0.28</v>
      </c>
      <c r="U32" s="28" t="n">
        <f aca="false">IF($C32=0,"",I32/$C32)</f>
        <v>0.24</v>
      </c>
      <c r="V32" s="29" t="n">
        <f aca="false">IF($C32=0,"",K32/$C32)</f>
        <v>0.232</v>
      </c>
      <c r="W32" s="29" t="n">
        <f aca="false">IF($C32=0,"",M32/$C32)</f>
        <v>0.17758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23</v>
      </c>
      <c r="D33" s="26" t="n">
        <v>3</v>
      </c>
      <c r="E33" s="26" t="n">
        <v>9</v>
      </c>
      <c r="F33" s="26" t="n">
        <v>11</v>
      </c>
      <c r="G33" s="26" t="n">
        <v>9</v>
      </c>
      <c r="H33" s="26" t="n">
        <v>5</v>
      </c>
      <c r="I33" s="26" t="n">
        <v>3</v>
      </c>
      <c r="J33" s="26" t="n">
        <v>0</v>
      </c>
      <c r="K33" s="27" t="n">
        <v>-4.4</v>
      </c>
      <c r="L33" s="27" t="n">
        <v>1.2592</v>
      </c>
      <c r="M33" s="19" t="n">
        <f aca="false">K33-L33</f>
        <v>-5.6592</v>
      </c>
      <c r="N33" s="26" t="n">
        <v>3</v>
      </c>
      <c r="O33" s="26" t="n">
        <v>4</v>
      </c>
      <c r="P33" s="28" t="n">
        <f aca="false">IF($C33=0,"",D33/$C33)</f>
        <v>0.130434782608696</v>
      </c>
      <c r="Q33" s="28" t="n">
        <f aca="false">IF($C33=0,"",E33/$C33)</f>
        <v>0.391304347826087</v>
      </c>
      <c r="R33" s="28" t="n">
        <f aca="false">IF($C33=0,"",F33/$C33)</f>
        <v>0.478260869565217</v>
      </c>
      <c r="S33" s="28" t="n">
        <f aca="false">IF($C33=0,"",G33/$C33)</f>
        <v>0.391304347826087</v>
      </c>
      <c r="T33" s="28" t="n">
        <f aca="false">IF($C33=0,"",H33/$C33)</f>
        <v>0.217391304347826</v>
      </c>
      <c r="U33" s="28" t="n">
        <f aca="false">IF($C33=0,"",I33/$C33)</f>
        <v>0.130434782608696</v>
      </c>
      <c r="V33" s="29" t="n">
        <f aca="false">IF($C33=0,"",K33/$C33)</f>
        <v>-0.191304347826087</v>
      </c>
      <c r="W33" s="29" t="n">
        <f aca="false">IF($C33=0,"",M33/$C33)</f>
        <v>-0.246052173913044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26</v>
      </c>
      <c r="D34" s="26" t="n">
        <v>6</v>
      </c>
      <c r="E34" s="26" t="n">
        <v>17</v>
      </c>
      <c r="F34" s="26" t="n">
        <v>20</v>
      </c>
      <c r="G34" s="26" t="n">
        <v>17</v>
      </c>
      <c r="H34" s="26" t="n">
        <v>7</v>
      </c>
      <c r="I34" s="26" t="n">
        <v>6</v>
      </c>
      <c r="J34" s="26" t="n">
        <v>0</v>
      </c>
      <c r="K34" s="27" t="n">
        <v>9.6</v>
      </c>
      <c r="L34" s="27" t="n">
        <v>1.5723</v>
      </c>
      <c r="M34" s="19" t="n">
        <f aca="false">K34-L34</f>
        <v>8.0277</v>
      </c>
      <c r="N34" s="26" t="n">
        <v>7</v>
      </c>
      <c r="O34" s="26" t="n">
        <v>4</v>
      </c>
      <c r="P34" s="28" t="n">
        <f aca="false">IF($C34=0,"",D34/$C34)</f>
        <v>0.230769230769231</v>
      </c>
      <c r="Q34" s="28" t="n">
        <f aca="false">IF($C34=0,"",E34/$C34)</f>
        <v>0.653846153846154</v>
      </c>
      <c r="R34" s="28" t="n">
        <f aca="false">IF($C34=0,"",F34/$C34)</f>
        <v>0.769230769230769</v>
      </c>
      <c r="S34" s="28" t="n">
        <f aca="false">IF($C34=0,"",G34/$C34)</f>
        <v>0.653846153846154</v>
      </c>
      <c r="T34" s="28" t="n">
        <f aca="false">IF($C34=0,"",H34/$C34)</f>
        <v>0.269230769230769</v>
      </c>
      <c r="U34" s="28" t="n">
        <f aca="false">IF($C34=0,"",I34/$C34)</f>
        <v>0.230769230769231</v>
      </c>
      <c r="V34" s="29" t="n">
        <f aca="false">IF($C34=0,"",K34/$C34)</f>
        <v>0.369230769230769</v>
      </c>
      <c r="W34" s="29" t="n">
        <f aca="false">IF($C34=0,"",M34/$C34)</f>
        <v>0.308757692307692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20</v>
      </c>
      <c r="D35" s="26" t="n">
        <v>6</v>
      </c>
      <c r="E35" s="26" t="n">
        <v>9</v>
      </c>
      <c r="F35" s="26" t="n">
        <v>12</v>
      </c>
      <c r="G35" s="26" t="n">
        <v>9</v>
      </c>
      <c r="H35" s="26" t="n">
        <v>6</v>
      </c>
      <c r="I35" s="26" t="n">
        <v>6</v>
      </c>
      <c r="J35" s="26" t="n">
        <v>0</v>
      </c>
      <c r="K35" s="27" t="n">
        <v>2.8</v>
      </c>
      <c r="L35" s="27" t="n">
        <v>1.1348</v>
      </c>
      <c r="M35" s="19" t="n">
        <f aca="false">K35-L35</f>
        <v>1.6652</v>
      </c>
      <c r="N35" s="26" t="n">
        <v>2</v>
      </c>
      <c r="O35" s="26" t="n">
        <v>2</v>
      </c>
      <c r="P35" s="28" t="n">
        <f aca="false">IF($C35=0,"",D35/$C35)</f>
        <v>0.3</v>
      </c>
      <c r="Q35" s="28" t="n">
        <f aca="false">IF($C35=0,"",E35/$C35)</f>
        <v>0.45</v>
      </c>
      <c r="R35" s="28" t="n">
        <f aca="false">IF($C35=0,"",F35/$C35)</f>
        <v>0.6</v>
      </c>
      <c r="S35" s="28" t="n">
        <f aca="false">IF($C35=0,"",G35/$C35)</f>
        <v>0.45</v>
      </c>
      <c r="T35" s="28" t="n">
        <f aca="false">IF($C35=0,"",H35/$C35)</f>
        <v>0.3</v>
      </c>
      <c r="U35" s="28" t="n">
        <f aca="false">IF($C35=0,"",I35/$C35)</f>
        <v>0.3</v>
      </c>
      <c r="V35" s="29" t="n">
        <f aca="false">IF($C35=0,"",K35/$C35)</f>
        <v>0.14</v>
      </c>
      <c r="W35" s="29" t="n">
        <f aca="false">IF($C35=0,"",M35/$C35)</f>
        <v>0.08326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29</v>
      </c>
      <c r="D36" s="26" t="n">
        <v>2</v>
      </c>
      <c r="E36" s="26" t="n">
        <v>15</v>
      </c>
      <c r="F36" s="26" t="n">
        <v>17</v>
      </c>
      <c r="G36" s="26" t="n">
        <v>15</v>
      </c>
      <c r="H36" s="26" t="n">
        <v>4</v>
      </c>
      <c r="I36" s="26" t="n">
        <v>2</v>
      </c>
      <c r="J36" s="26" t="n">
        <v>0</v>
      </c>
      <c r="K36" s="27" t="n">
        <v>-2.2</v>
      </c>
      <c r="L36" s="27" t="n">
        <v>1.56</v>
      </c>
      <c r="M36" s="19" t="n">
        <f aca="false">K36-L36</f>
        <v>-3.76</v>
      </c>
      <c r="N36" s="26" t="n">
        <v>3</v>
      </c>
      <c r="O36" s="26" t="n">
        <v>3</v>
      </c>
      <c r="P36" s="28" t="n">
        <f aca="false">IF($C36=0,"",D36/$C36)</f>
        <v>0.0689655172413793</v>
      </c>
      <c r="Q36" s="28" t="n">
        <f aca="false">IF($C36=0,"",E36/$C36)</f>
        <v>0.517241379310345</v>
      </c>
      <c r="R36" s="28" t="n">
        <f aca="false">IF($C36=0,"",F36/$C36)</f>
        <v>0.586206896551724</v>
      </c>
      <c r="S36" s="28" t="n">
        <f aca="false">IF($C36=0,"",G36/$C36)</f>
        <v>0.517241379310345</v>
      </c>
      <c r="T36" s="28" t="n">
        <f aca="false">IF($C36=0,"",H36/$C36)</f>
        <v>0.137931034482759</v>
      </c>
      <c r="U36" s="28" t="n">
        <f aca="false">IF($C36=0,"",I36/$C36)</f>
        <v>0.0689655172413793</v>
      </c>
      <c r="V36" s="29" t="n">
        <f aca="false">IF($C36=0,"",K36/$C36)</f>
        <v>-0.0758620689655173</v>
      </c>
      <c r="W36" s="29" t="n">
        <f aca="false">IF($C36=0,"",M36/$C36)</f>
        <v>-0.129655172413793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27</v>
      </c>
      <c r="D37" s="26" t="n">
        <v>6</v>
      </c>
      <c r="E37" s="26" t="n">
        <v>15</v>
      </c>
      <c r="F37" s="26" t="n">
        <v>17</v>
      </c>
      <c r="G37" s="26" t="n">
        <v>15</v>
      </c>
      <c r="H37" s="26" t="n">
        <v>8</v>
      </c>
      <c r="I37" s="26" t="n">
        <v>6</v>
      </c>
      <c r="J37" s="26" t="n">
        <v>0</v>
      </c>
      <c r="K37" s="27" t="n">
        <v>5.4</v>
      </c>
      <c r="L37" s="27" t="n">
        <v>1.5372</v>
      </c>
      <c r="M37" s="19" t="n">
        <f aca="false">K37-L37</f>
        <v>3.8628</v>
      </c>
      <c r="N37" s="26" t="n">
        <v>7</v>
      </c>
      <c r="O37" s="26" t="n">
        <v>4</v>
      </c>
      <c r="P37" s="28" t="n">
        <f aca="false">IF($C37=0,"",D37/$C37)</f>
        <v>0.222222222222222</v>
      </c>
      <c r="Q37" s="28" t="n">
        <f aca="false">IF($C37=0,"",E37/$C37)</f>
        <v>0.555555555555556</v>
      </c>
      <c r="R37" s="28" t="n">
        <f aca="false">IF($C37=0,"",F37/$C37)</f>
        <v>0.62962962962963</v>
      </c>
      <c r="S37" s="28" t="n">
        <f aca="false">IF($C37=0,"",G37/$C37)</f>
        <v>0.555555555555556</v>
      </c>
      <c r="T37" s="28" t="n">
        <f aca="false">IF($C37=0,"",H37/$C37)</f>
        <v>0.296296296296296</v>
      </c>
      <c r="U37" s="28" t="n">
        <f aca="false">IF($C37=0,"",I37/$C37)</f>
        <v>0.222222222222222</v>
      </c>
      <c r="V37" s="29" t="n">
        <f aca="false">IF($C37=0,"",K37/$C37)</f>
        <v>0.2</v>
      </c>
      <c r="W37" s="29" t="n">
        <f aca="false">IF($C37=0,"",M37/$C37)</f>
        <v>0.143066666666667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15</v>
      </c>
      <c r="D38" s="26" t="n">
        <v>1</v>
      </c>
      <c r="E38" s="26" t="n">
        <v>9</v>
      </c>
      <c r="F38" s="26" t="n">
        <v>10</v>
      </c>
      <c r="G38" s="26" t="n">
        <v>9</v>
      </c>
      <c r="H38" s="26" t="n">
        <v>4</v>
      </c>
      <c r="I38" s="26" t="n">
        <v>1</v>
      </c>
      <c r="J38" s="26" t="n">
        <v>0</v>
      </c>
      <c r="K38" s="27" t="n">
        <v>0.8</v>
      </c>
      <c r="L38" s="27" t="n">
        <v>1.0157</v>
      </c>
      <c r="M38" s="19" t="n">
        <f aca="false">K38-L38</f>
        <v>-0.2157</v>
      </c>
      <c r="N38" s="26" t="n">
        <v>4</v>
      </c>
      <c r="O38" s="26" t="n">
        <v>3</v>
      </c>
      <c r="P38" s="28" t="n">
        <f aca="false">IF($C38=0,"",D38/$C38)</f>
        <v>0.0666666666666667</v>
      </c>
      <c r="Q38" s="28" t="n">
        <f aca="false">IF($C38=0,"",E38/$C38)</f>
        <v>0.6</v>
      </c>
      <c r="R38" s="28" t="n">
        <f aca="false">IF($C38=0,"",F38/$C38)</f>
        <v>0.666666666666667</v>
      </c>
      <c r="S38" s="28" t="n">
        <f aca="false">IF($C38=0,"",G38/$C38)</f>
        <v>0.6</v>
      </c>
      <c r="T38" s="28" t="n">
        <f aca="false">IF($C38=0,"",H38/$C38)</f>
        <v>0.266666666666667</v>
      </c>
      <c r="U38" s="28" t="n">
        <f aca="false">IF($C38=0,"",I38/$C38)</f>
        <v>0.0666666666666667</v>
      </c>
      <c r="V38" s="29" t="n">
        <f aca="false">IF($C38=0,"",K38/$C38)</f>
        <v>0.0533333333333333</v>
      </c>
      <c r="W38" s="29" t="n">
        <f aca="false">IF($C38=0,"",M38/$C38)</f>
        <v>-0.01438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21</v>
      </c>
      <c r="D39" s="26" t="n">
        <v>4</v>
      </c>
      <c r="E39" s="26" t="n">
        <v>14</v>
      </c>
      <c r="F39" s="26" t="n">
        <v>15</v>
      </c>
      <c r="G39" s="26" t="n">
        <v>14</v>
      </c>
      <c r="H39" s="26" t="n">
        <v>9</v>
      </c>
      <c r="I39" s="26" t="n">
        <v>4</v>
      </c>
      <c r="J39" s="26" t="n">
        <v>0</v>
      </c>
      <c r="K39" s="27" t="n">
        <v>7</v>
      </c>
      <c r="L39" s="27" t="n">
        <v>1.7136</v>
      </c>
      <c r="M39" s="19" t="n">
        <f aca="false">K39-L39</f>
        <v>5.2864</v>
      </c>
      <c r="N39" s="26" t="n">
        <v>7</v>
      </c>
      <c r="O39" s="26" t="n">
        <v>2</v>
      </c>
      <c r="P39" s="28" t="n">
        <f aca="false">IF($C39=0,"",D39/$C39)</f>
        <v>0.19047619047619</v>
      </c>
      <c r="Q39" s="28" t="n">
        <f aca="false">IF($C39=0,"",E39/$C39)</f>
        <v>0.666666666666667</v>
      </c>
      <c r="R39" s="28" t="n">
        <f aca="false">IF($C39=0,"",F39/$C39)</f>
        <v>0.714285714285714</v>
      </c>
      <c r="S39" s="28" t="n">
        <f aca="false">IF($C39=0,"",G39/$C39)</f>
        <v>0.666666666666667</v>
      </c>
      <c r="T39" s="28" t="n">
        <f aca="false">IF($C39=0,"",H39/$C39)</f>
        <v>0.428571428571429</v>
      </c>
      <c r="U39" s="28" t="n">
        <f aca="false">IF($C39=0,"",I39/$C39)</f>
        <v>0.19047619047619</v>
      </c>
      <c r="V39" s="29" t="n">
        <f aca="false">IF($C39=0,"",K39/$C39)</f>
        <v>0.333333333333333</v>
      </c>
      <c r="W39" s="29" t="n">
        <f aca="false">IF($C39=0,"",M39/$C39)</f>
        <v>0.251733333333333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26</v>
      </c>
      <c r="D40" s="26" t="n">
        <v>9</v>
      </c>
      <c r="E40" s="26" t="n">
        <v>14</v>
      </c>
      <c r="F40" s="26" t="n">
        <v>15</v>
      </c>
      <c r="G40" s="26" t="n">
        <v>14</v>
      </c>
      <c r="H40" s="26" t="n">
        <v>9</v>
      </c>
      <c r="I40" s="26" t="n">
        <v>9</v>
      </c>
      <c r="J40" s="26" t="n">
        <v>0</v>
      </c>
      <c r="K40" s="27" t="n">
        <v>9</v>
      </c>
      <c r="L40" s="27" t="n">
        <v>2.2119</v>
      </c>
      <c r="M40" s="19" t="n">
        <f aca="false">K40-L40</f>
        <v>6.7881</v>
      </c>
      <c r="N40" s="26" t="n">
        <v>6</v>
      </c>
      <c r="O40" s="26" t="n">
        <v>4</v>
      </c>
      <c r="P40" s="28" t="n">
        <f aca="false">IF($C40=0,"",D40/$C40)</f>
        <v>0.346153846153846</v>
      </c>
      <c r="Q40" s="28" t="n">
        <f aca="false">IF($C40=0,"",E40/$C40)</f>
        <v>0.538461538461538</v>
      </c>
      <c r="R40" s="28" t="n">
        <f aca="false">IF($C40=0,"",F40/$C40)</f>
        <v>0.576923076923077</v>
      </c>
      <c r="S40" s="28" t="n">
        <f aca="false">IF($C40=0,"",G40/$C40)</f>
        <v>0.538461538461538</v>
      </c>
      <c r="T40" s="28" t="n">
        <f aca="false">IF($C40=0,"",H40/$C40)</f>
        <v>0.346153846153846</v>
      </c>
      <c r="U40" s="28" t="n">
        <f aca="false">IF($C40=0,"",I40/$C40)</f>
        <v>0.346153846153846</v>
      </c>
      <c r="V40" s="29" t="n">
        <f aca="false">IF($C40=0,"",K40/$C40)</f>
        <v>0.346153846153846</v>
      </c>
      <c r="W40" s="29" t="n">
        <f aca="false">IF($C40=0,"",M40/$C40)</f>
        <v>0.261080769230769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26</v>
      </c>
      <c r="D41" s="26" t="n">
        <v>6</v>
      </c>
      <c r="E41" s="26" t="n">
        <v>13</v>
      </c>
      <c r="F41" s="26" t="n">
        <v>14</v>
      </c>
      <c r="G41" s="26" t="n">
        <v>13</v>
      </c>
      <c r="H41" s="26" t="n">
        <v>9</v>
      </c>
      <c r="I41" s="26" t="n">
        <v>6</v>
      </c>
      <c r="J41" s="26" t="n">
        <v>0</v>
      </c>
      <c r="K41" s="27" t="n">
        <v>3.2</v>
      </c>
      <c r="L41" s="27" t="n">
        <v>0.9595</v>
      </c>
      <c r="M41" s="19" t="n">
        <f aca="false">K41-L41</f>
        <v>2.2405</v>
      </c>
      <c r="N41" s="26" t="n">
        <v>4</v>
      </c>
      <c r="O41" s="26" t="n">
        <v>5</v>
      </c>
      <c r="P41" s="28" t="n">
        <f aca="false">IF($C41=0,"",D41/$C41)</f>
        <v>0.230769230769231</v>
      </c>
      <c r="Q41" s="28" t="n">
        <f aca="false">IF($C41=0,"",E41/$C41)</f>
        <v>0.5</v>
      </c>
      <c r="R41" s="28" t="n">
        <f aca="false">IF($C41=0,"",F41/$C41)</f>
        <v>0.538461538461538</v>
      </c>
      <c r="S41" s="28" t="n">
        <f aca="false">IF($C41=0,"",G41/$C41)</f>
        <v>0.5</v>
      </c>
      <c r="T41" s="28" t="n">
        <f aca="false">IF($C41=0,"",H41/$C41)</f>
        <v>0.346153846153846</v>
      </c>
      <c r="U41" s="28" t="n">
        <f aca="false">IF($C41=0,"",I41/$C41)</f>
        <v>0.230769230769231</v>
      </c>
      <c r="V41" s="29" t="n">
        <f aca="false">IF($C41=0,"",K41/$C41)</f>
        <v>0.123076923076923</v>
      </c>
      <c r="W41" s="29" t="n">
        <f aca="false">IF($C41=0,"",M41/$C41)</f>
        <v>0.0861730769230769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25</v>
      </c>
      <c r="D42" s="26" t="n">
        <v>5</v>
      </c>
      <c r="E42" s="26" t="n">
        <v>11</v>
      </c>
      <c r="F42" s="26" t="n">
        <v>12</v>
      </c>
      <c r="G42" s="26" t="n">
        <v>11</v>
      </c>
      <c r="H42" s="26" t="n">
        <v>6</v>
      </c>
      <c r="I42" s="26" t="n">
        <v>5</v>
      </c>
      <c r="J42" s="26" t="n">
        <v>0</v>
      </c>
      <c r="K42" s="27" t="n">
        <v>-0.4</v>
      </c>
      <c r="L42" s="27" t="n">
        <v>1.0362</v>
      </c>
      <c r="M42" s="19" t="n">
        <f aca="false">K42-L42</f>
        <v>-1.4362</v>
      </c>
      <c r="N42" s="26" t="n">
        <v>4</v>
      </c>
      <c r="O42" s="26" t="n">
        <v>5</v>
      </c>
      <c r="P42" s="28" t="n">
        <f aca="false">IF($C42=0,"",D42/$C42)</f>
        <v>0.2</v>
      </c>
      <c r="Q42" s="28" t="n">
        <f aca="false">IF($C42=0,"",E42/$C42)</f>
        <v>0.44</v>
      </c>
      <c r="R42" s="28" t="n">
        <f aca="false">IF($C42=0,"",F42/$C42)</f>
        <v>0.48</v>
      </c>
      <c r="S42" s="28" t="n">
        <f aca="false">IF($C42=0,"",G42/$C42)</f>
        <v>0.44</v>
      </c>
      <c r="T42" s="28" t="n">
        <f aca="false">IF($C42=0,"",H42/$C42)</f>
        <v>0.24</v>
      </c>
      <c r="U42" s="28" t="n">
        <f aca="false">IF($C42=0,"",I42/$C42)</f>
        <v>0.2</v>
      </c>
      <c r="V42" s="29" t="n">
        <f aca="false">IF($C42=0,"",K42/$C42)</f>
        <v>-0.016</v>
      </c>
      <c r="W42" s="29" t="n">
        <f aca="false">IF($C42=0,"",M42/$C42)</f>
        <v>-0.057448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34</v>
      </c>
      <c r="D43" s="26" t="n">
        <v>4</v>
      </c>
      <c r="E43" s="26" t="n">
        <v>14</v>
      </c>
      <c r="F43" s="26" t="n">
        <v>18</v>
      </c>
      <c r="G43" s="26" t="n">
        <v>14</v>
      </c>
      <c r="H43" s="26" t="n">
        <v>7</v>
      </c>
      <c r="I43" s="26" t="n">
        <v>4</v>
      </c>
      <c r="J43" s="26" t="n">
        <v>0</v>
      </c>
      <c r="K43" s="27" t="n">
        <v>-6</v>
      </c>
      <c r="L43" s="27" t="n">
        <v>0.928</v>
      </c>
      <c r="M43" s="19" t="n">
        <f aca="false">K43-L43</f>
        <v>-6.928</v>
      </c>
      <c r="N43" s="26" t="n">
        <v>4</v>
      </c>
      <c r="O43" s="26" t="n">
        <v>7</v>
      </c>
      <c r="P43" s="28" t="n">
        <f aca="false">IF($C43=0,"",D43/$C43)</f>
        <v>0.117647058823529</v>
      </c>
      <c r="Q43" s="28" t="n">
        <f aca="false">IF($C43=0,"",E43/$C43)</f>
        <v>0.411764705882353</v>
      </c>
      <c r="R43" s="28" t="n">
        <f aca="false">IF($C43=0,"",F43/$C43)</f>
        <v>0.529411764705882</v>
      </c>
      <c r="S43" s="28" t="n">
        <f aca="false">IF($C43=0,"",G43/$C43)</f>
        <v>0.411764705882353</v>
      </c>
      <c r="T43" s="28" t="n">
        <f aca="false">IF($C43=0,"",H43/$C43)</f>
        <v>0.205882352941176</v>
      </c>
      <c r="U43" s="28" t="n">
        <f aca="false">IF($C43=0,"",I43/$C43)</f>
        <v>0.117647058823529</v>
      </c>
      <c r="V43" s="29" t="n">
        <f aca="false">IF($C43=0,"",K43/$C43)</f>
        <v>-0.176470588235294</v>
      </c>
      <c r="W43" s="29" t="n">
        <f aca="false">IF($C43=0,"",M43/$C43)</f>
        <v>-0.203764705882353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297</v>
      </c>
      <c r="D44" s="30" t="n">
        <f aca="false">SUM(D32:D43)</f>
        <v>58</v>
      </c>
      <c r="E44" s="30" t="n">
        <f aca="false">SUM(E32:E43)</f>
        <v>154</v>
      </c>
      <c r="F44" s="30" t="n">
        <f aca="false">SUM(F32:F43)</f>
        <v>179</v>
      </c>
      <c r="G44" s="30" t="n">
        <f aca="false">SUM(G32:G43)</f>
        <v>154</v>
      </c>
      <c r="H44" s="30" t="n">
        <f aca="false">SUM(H32:H43)</f>
        <v>81</v>
      </c>
      <c r="I44" s="30" t="n">
        <f aca="false">SUM(I32:I43)</f>
        <v>58</v>
      </c>
      <c r="J44" s="30" t="n">
        <f aca="false">SUM(J32:J43)</f>
        <v>0</v>
      </c>
      <c r="K44" s="31" t="n">
        <f aca="false">SUM(K32:K43)</f>
        <v>30.6</v>
      </c>
      <c r="L44" s="31" t="n">
        <f aca="false">SUM(L32:L43)</f>
        <v>16.2889</v>
      </c>
      <c r="M44" s="31" t="n">
        <f aca="false">K44-L44</f>
        <v>14.3111</v>
      </c>
      <c r="N44" s="32" t="n">
        <v>7</v>
      </c>
      <c r="O44" s="32" t="n">
        <v>7</v>
      </c>
      <c r="P44" s="33" t="n">
        <f aca="false">IF($C44=0,"",D44/$C44)</f>
        <v>0.195286195286195</v>
      </c>
      <c r="Q44" s="33" t="n">
        <f aca="false">IF($C44=0,"",E44/$C44)</f>
        <v>0.518518518518519</v>
      </c>
      <c r="R44" s="33" t="n">
        <f aca="false">IF($C44=0,"",F44/$C44)</f>
        <v>0.602693602693603</v>
      </c>
      <c r="S44" s="33" t="n">
        <f aca="false">IF($C44=0,"",G44/$C44)</f>
        <v>0.518518518518519</v>
      </c>
      <c r="T44" s="33" t="n">
        <f aca="false">IF($C44=0,"",H44/$C44)</f>
        <v>0.272727272727273</v>
      </c>
      <c r="U44" s="33" t="n">
        <f aca="false">IF($C44=0,"",I44/$C44)</f>
        <v>0.195286195286195</v>
      </c>
      <c r="V44" s="34" t="n">
        <f aca="false">IF($C44=0,"",K44/$C44)</f>
        <v>0.103030303030303</v>
      </c>
      <c r="W44" s="34" t="n">
        <f aca="false">IF($C44=0,"",M44/$C44)</f>
        <v>0.0481855218855219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36</v>
      </c>
      <c r="D45" s="26" t="n">
        <v>9</v>
      </c>
      <c r="E45" s="26" t="n">
        <v>21</v>
      </c>
      <c r="F45" s="26" t="n">
        <v>24</v>
      </c>
      <c r="G45" s="26" t="n">
        <v>21</v>
      </c>
      <c r="H45" s="26" t="n">
        <v>12</v>
      </c>
      <c r="I45" s="26" t="n">
        <v>9</v>
      </c>
      <c r="J45" s="26" t="n">
        <v>0</v>
      </c>
      <c r="K45" s="27" t="n">
        <v>10.2</v>
      </c>
      <c r="L45" s="27" t="n">
        <v>0.9667</v>
      </c>
      <c r="M45" s="19" t="n">
        <f aca="false">K45-L45</f>
        <v>9.2333</v>
      </c>
      <c r="N45" s="26" t="n">
        <v>5</v>
      </c>
      <c r="O45" s="26" t="n">
        <v>2</v>
      </c>
      <c r="P45" s="28" t="n">
        <f aca="false">IF($C45=0,"",D45/$C45)</f>
        <v>0.25</v>
      </c>
      <c r="Q45" s="28" t="n">
        <f aca="false">IF($C45=0,"",E45/$C45)</f>
        <v>0.583333333333333</v>
      </c>
      <c r="R45" s="28" t="n">
        <f aca="false">IF($C45=0,"",F45/$C45)</f>
        <v>0.666666666666667</v>
      </c>
      <c r="S45" s="28" t="n">
        <f aca="false">IF($C45=0,"",G45/$C45)</f>
        <v>0.583333333333333</v>
      </c>
      <c r="T45" s="28" t="n">
        <f aca="false">IF($C45=0,"",H45/$C45)</f>
        <v>0.333333333333333</v>
      </c>
      <c r="U45" s="28" t="n">
        <f aca="false">IF($C45=0,"",I45/$C45)</f>
        <v>0.25</v>
      </c>
      <c r="V45" s="29" t="n">
        <f aca="false">IF($C45=0,"",K45/$C45)</f>
        <v>0.283333333333333</v>
      </c>
      <c r="W45" s="29" t="n">
        <f aca="false">IF($C45=0,"",M45/$C45)</f>
        <v>0.256480555555556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23</v>
      </c>
      <c r="D46" s="26" t="n">
        <v>6</v>
      </c>
      <c r="E46" s="26" t="n">
        <v>13</v>
      </c>
      <c r="F46" s="26" t="n">
        <v>15</v>
      </c>
      <c r="G46" s="26" t="n">
        <v>13</v>
      </c>
      <c r="H46" s="26" t="n">
        <v>10</v>
      </c>
      <c r="I46" s="26" t="n">
        <v>6</v>
      </c>
      <c r="J46" s="26" t="n">
        <v>0</v>
      </c>
      <c r="K46" s="27" t="n">
        <v>6.2</v>
      </c>
      <c r="L46" s="27" t="n">
        <v>0.9</v>
      </c>
      <c r="M46" s="19" t="n">
        <f aca="false">K46-L46</f>
        <v>5.3</v>
      </c>
      <c r="N46" s="26" t="n">
        <v>4</v>
      </c>
      <c r="O46" s="26" t="n">
        <v>5</v>
      </c>
      <c r="P46" s="28" t="n">
        <f aca="false">IF($C46=0,"",D46/$C46)</f>
        <v>0.260869565217391</v>
      </c>
      <c r="Q46" s="28" t="n">
        <f aca="false">IF($C46=0,"",E46/$C46)</f>
        <v>0.565217391304348</v>
      </c>
      <c r="R46" s="28" t="n">
        <f aca="false">IF($C46=0,"",F46/$C46)</f>
        <v>0.652173913043478</v>
      </c>
      <c r="S46" s="28" t="n">
        <f aca="false">IF($C46=0,"",G46/$C46)</f>
        <v>0.565217391304348</v>
      </c>
      <c r="T46" s="28" t="n">
        <f aca="false">IF($C46=0,"",H46/$C46)</f>
        <v>0.434782608695652</v>
      </c>
      <c r="U46" s="28" t="n">
        <f aca="false">IF($C46=0,"",I46/$C46)</f>
        <v>0.260869565217391</v>
      </c>
      <c r="V46" s="29" t="n">
        <f aca="false">IF($C46=0,"",K46/$C46)</f>
        <v>0.269565217391304</v>
      </c>
      <c r="W46" s="29" t="n">
        <f aca="false">IF($C46=0,"",M46/$C46)</f>
        <v>0.230434782608696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25</v>
      </c>
      <c r="D47" s="26" t="n">
        <v>7</v>
      </c>
      <c r="E47" s="26" t="n">
        <v>12</v>
      </c>
      <c r="F47" s="26" t="n">
        <v>14</v>
      </c>
      <c r="G47" s="26" t="n">
        <v>12</v>
      </c>
      <c r="H47" s="26" t="n">
        <v>8</v>
      </c>
      <c r="I47" s="26" t="n">
        <v>7</v>
      </c>
      <c r="J47" s="26" t="n">
        <v>0</v>
      </c>
      <c r="K47" s="27" t="n">
        <v>4</v>
      </c>
      <c r="L47" s="27" t="n">
        <v>0.7403</v>
      </c>
      <c r="M47" s="19" t="n">
        <f aca="false">K47-L47</f>
        <v>3.2597</v>
      </c>
      <c r="N47" s="26" t="n">
        <v>4</v>
      </c>
      <c r="O47" s="26" t="n">
        <v>4</v>
      </c>
      <c r="P47" s="28" t="n">
        <f aca="false">IF($C47=0,"",D47/$C47)</f>
        <v>0.28</v>
      </c>
      <c r="Q47" s="28" t="n">
        <f aca="false">IF($C47=0,"",E47/$C47)</f>
        <v>0.48</v>
      </c>
      <c r="R47" s="28" t="n">
        <f aca="false">IF($C47=0,"",F47/$C47)</f>
        <v>0.56</v>
      </c>
      <c r="S47" s="28" t="n">
        <f aca="false">IF($C47=0,"",G47/$C47)</f>
        <v>0.48</v>
      </c>
      <c r="T47" s="28" t="n">
        <f aca="false">IF($C47=0,"",H47/$C47)</f>
        <v>0.32</v>
      </c>
      <c r="U47" s="28" t="n">
        <f aca="false">IF($C47=0,"",I47/$C47)</f>
        <v>0.28</v>
      </c>
      <c r="V47" s="29" t="n">
        <f aca="false">IF($C47=0,"",K47/$C47)</f>
        <v>0.16</v>
      </c>
      <c r="W47" s="29" t="n">
        <f aca="false">IF($C47=0,"",M47/$C47)</f>
        <v>0.130388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28</v>
      </c>
      <c r="D48" s="26" t="n">
        <v>6</v>
      </c>
      <c r="E48" s="26" t="n">
        <v>16</v>
      </c>
      <c r="F48" s="26" t="n">
        <v>18</v>
      </c>
      <c r="G48" s="26" t="n">
        <v>16</v>
      </c>
      <c r="H48" s="26" t="n">
        <v>10</v>
      </c>
      <c r="I48" s="26" t="n">
        <v>6</v>
      </c>
      <c r="J48" s="26" t="n">
        <v>0</v>
      </c>
      <c r="K48" s="27" t="n">
        <v>6</v>
      </c>
      <c r="L48" s="27" t="n">
        <v>0.3813</v>
      </c>
      <c r="M48" s="19" t="n">
        <f aca="false">K48-L48</f>
        <v>5.6187</v>
      </c>
      <c r="N48" s="26" t="n">
        <v>5</v>
      </c>
      <c r="O48" s="26" t="n">
        <v>4</v>
      </c>
      <c r="P48" s="28" t="n">
        <f aca="false">IF($C48=0,"",D48/$C48)</f>
        <v>0.214285714285714</v>
      </c>
      <c r="Q48" s="28" t="n">
        <f aca="false">IF($C48=0,"",E48/$C48)</f>
        <v>0.571428571428571</v>
      </c>
      <c r="R48" s="28" t="n">
        <f aca="false">IF($C48=0,"",F48/$C48)</f>
        <v>0.642857142857143</v>
      </c>
      <c r="S48" s="28" t="n">
        <f aca="false">IF($C48=0,"",G48/$C48)</f>
        <v>0.571428571428571</v>
      </c>
      <c r="T48" s="28" t="n">
        <f aca="false">IF($C48=0,"",H48/$C48)</f>
        <v>0.357142857142857</v>
      </c>
      <c r="U48" s="28" t="n">
        <f aca="false">IF($C48=0,"",I48/$C48)</f>
        <v>0.214285714285714</v>
      </c>
      <c r="V48" s="29" t="n">
        <f aca="false">IF($C48=0,"",K48/$C48)</f>
        <v>0.214285714285714</v>
      </c>
      <c r="W48" s="29" t="n">
        <f aca="false">IF($C48=0,"",M48/$C48)</f>
        <v>0.200667857142857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25</v>
      </c>
      <c r="D49" s="26" t="n">
        <v>3</v>
      </c>
      <c r="E49" s="26" t="n">
        <v>9</v>
      </c>
      <c r="F49" s="26" t="n">
        <v>13</v>
      </c>
      <c r="G49" s="26" t="n">
        <v>9</v>
      </c>
      <c r="H49" s="26" t="n">
        <v>6</v>
      </c>
      <c r="I49" s="26" t="n">
        <v>3</v>
      </c>
      <c r="J49" s="26" t="n">
        <v>0</v>
      </c>
      <c r="K49" s="27" t="n">
        <v>-6.4</v>
      </c>
      <c r="L49" s="27" t="n">
        <v>0.3824</v>
      </c>
      <c r="M49" s="19" t="n">
        <f aca="false">K49-L49</f>
        <v>-6.7824</v>
      </c>
      <c r="N49" s="26" t="n">
        <v>3</v>
      </c>
      <c r="O49" s="26" t="n">
        <v>6</v>
      </c>
      <c r="P49" s="28" t="n">
        <f aca="false">IF($C49=0,"",D49/$C49)</f>
        <v>0.12</v>
      </c>
      <c r="Q49" s="28" t="n">
        <f aca="false">IF($C49=0,"",E49/$C49)</f>
        <v>0.36</v>
      </c>
      <c r="R49" s="28" t="n">
        <f aca="false">IF($C49=0,"",F49/$C49)</f>
        <v>0.52</v>
      </c>
      <c r="S49" s="28" t="n">
        <f aca="false">IF($C49=0,"",G49/$C49)</f>
        <v>0.36</v>
      </c>
      <c r="T49" s="28" t="n">
        <f aca="false">IF($C49=0,"",H49/$C49)</f>
        <v>0.24</v>
      </c>
      <c r="U49" s="28" t="n">
        <f aca="false">IF($C49=0,"",I49/$C49)</f>
        <v>0.12</v>
      </c>
      <c r="V49" s="29" t="n">
        <f aca="false">IF($C49=0,"",K49/$C49)</f>
        <v>-0.256</v>
      </c>
      <c r="W49" s="29" t="n">
        <f aca="false">IF($C49=0,"",M49/$C49)</f>
        <v>-0.271296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22</v>
      </c>
      <c r="D50" s="26" t="n">
        <v>5</v>
      </c>
      <c r="E50" s="26" t="n">
        <v>13</v>
      </c>
      <c r="F50" s="26" t="n">
        <v>14</v>
      </c>
      <c r="G50" s="26" t="n">
        <v>13</v>
      </c>
      <c r="H50" s="26" t="n">
        <v>9</v>
      </c>
      <c r="I50" s="26" t="n">
        <v>5</v>
      </c>
      <c r="J50" s="26" t="n">
        <v>0</v>
      </c>
      <c r="K50" s="27" t="n">
        <v>5.8</v>
      </c>
      <c r="L50" s="27" t="n">
        <v>0.4068</v>
      </c>
      <c r="M50" s="19" t="n">
        <f aca="false">K50-L50</f>
        <v>5.3932</v>
      </c>
      <c r="N50" s="26" t="n">
        <v>3</v>
      </c>
      <c r="O50" s="26" t="n">
        <v>2</v>
      </c>
      <c r="P50" s="28" t="n">
        <f aca="false">IF($C50=0,"",D50/$C50)</f>
        <v>0.227272727272727</v>
      </c>
      <c r="Q50" s="28" t="n">
        <f aca="false">IF($C50=0,"",E50/$C50)</f>
        <v>0.590909090909091</v>
      </c>
      <c r="R50" s="28" t="n">
        <f aca="false">IF($C50=0,"",F50/$C50)</f>
        <v>0.636363636363636</v>
      </c>
      <c r="S50" s="28" t="n">
        <f aca="false">IF($C50=0,"",G50/$C50)</f>
        <v>0.590909090909091</v>
      </c>
      <c r="T50" s="28" t="n">
        <f aca="false">IF($C50=0,"",H50/$C50)</f>
        <v>0.409090909090909</v>
      </c>
      <c r="U50" s="28" t="n">
        <f aca="false">IF($C50=0,"",I50/$C50)</f>
        <v>0.227272727272727</v>
      </c>
      <c r="V50" s="29" t="n">
        <f aca="false">IF($C50=0,"",K50/$C50)</f>
        <v>0.263636363636364</v>
      </c>
      <c r="W50" s="29" t="n">
        <f aca="false">IF($C50=0,"",M50/$C50)</f>
        <v>0.245145454545455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30</v>
      </c>
      <c r="D51" s="26" t="n">
        <v>2</v>
      </c>
      <c r="E51" s="26" t="n">
        <v>14</v>
      </c>
      <c r="F51" s="26" t="n">
        <v>18</v>
      </c>
      <c r="G51" s="26" t="n">
        <v>14</v>
      </c>
      <c r="H51" s="26" t="n">
        <v>6</v>
      </c>
      <c r="I51" s="26" t="n">
        <v>2</v>
      </c>
      <c r="J51" s="26" t="n">
        <v>0</v>
      </c>
      <c r="K51" s="27" t="n">
        <v>-4.8</v>
      </c>
      <c r="L51" s="27" t="n">
        <v>0.5433</v>
      </c>
      <c r="M51" s="19" t="n">
        <f aca="false">K51-L51</f>
        <v>-5.3433</v>
      </c>
      <c r="N51" s="26" t="n">
        <v>6</v>
      </c>
      <c r="O51" s="26" t="n">
        <v>5</v>
      </c>
      <c r="P51" s="28" t="n">
        <f aca="false">IF($C51=0,"",D51/$C51)</f>
        <v>0.0666666666666667</v>
      </c>
      <c r="Q51" s="28" t="n">
        <f aca="false">IF($C51=0,"",E51/$C51)</f>
        <v>0.466666666666667</v>
      </c>
      <c r="R51" s="28" t="n">
        <f aca="false">IF($C51=0,"",F51/$C51)</f>
        <v>0.6</v>
      </c>
      <c r="S51" s="28" t="n">
        <f aca="false">IF($C51=0,"",G51/$C51)</f>
        <v>0.466666666666667</v>
      </c>
      <c r="T51" s="28" t="n">
        <f aca="false">IF($C51=0,"",H51/$C51)</f>
        <v>0.2</v>
      </c>
      <c r="U51" s="28" t="n">
        <f aca="false">IF($C51=0,"",I51/$C51)</f>
        <v>0.0666666666666667</v>
      </c>
      <c r="V51" s="29" t="n">
        <f aca="false">IF($C51=0,"",K51/$C51)</f>
        <v>-0.16</v>
      </c>
      <c r="W51" s="29" t="n">
        <f aca="false">IF($C51=0,"",M51/$C51)</f>
        <v>-0.17811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21</v>
      </c>
      <c r="D52" s="26" t="n">
        <v>1</v>
      </c>
      <c r="E52" s="26" t="n">
        <v>8</v>
      </c>
      <c r="F52" s="26" t="n">
        <v>10</v>
      </c>
      <c r="G52" s="26" t="n">
        <v>8</v>
      </c>
      <c r="H52" s="26" t="n">
        <v>4</v>
      </c>
      <c r="I52" s="26" t="n">
        <v>1</v>
      </c>
      <c r="J52" s="26" t="n">
        <v>0</v>
      </c>
      <c r="K52" s="27" t="n">
        <v>-6.8</v>
      </c>
      <c r="L52" s="27" t="n">
        <v>0.3685</v>
      </c>
      <c r="M52" s="19" t="n">
        <f aca="false">K52-L52</f>
        <v>-7.1685</v>
      </c>
      <c r="N52" s="26" t="n">
        <v>4</v>
      </c>
      <c r="O52" s="26" t="n">
        <v>7</v>
      </c>
      <c r="P52" s="28" t="n">
        <f aca="false">IF($C52=0,"",D52/$C52)</f>
        <v>0.0476190476190476</v>
      </c>
      <c r="Q52" s="28" t="n">
        <f aca="false">IF($C52=0,"",E52/$C52)</f>
        <v>0.380952380952381</v>
      </c>
      <c r="R52" s="28" t="n">
        <f aca="false">IF($C52=0,"",F52/$C52)</f>
        <v>0.476190476190476</v>
      </c>
      <c r="S52" s="28" t="n">
        <f aca="false">IF($C52=0,"",G52/$C52)</f>
        <v>0.380952380952381</v>
      </c>
      <c r="T52" s="28" t="n">
        <f aca="false">IF($C52=0,"",H52/$C52)</f>
        <v>0.19047619047619</v>
      </c>
      <c r="U52" s="28" t="n">
        <f aca="false">IF($C52=0,"",I52/$C52)</f>
        <v>0.0476190476190476</v>
      </c>
      <c r="V52" s="29" t="n">
        <f aca="false">IF($C52=0,"",K52/$C52)</f>
        <v>-0.323809523809524</v>
      </c>
      <c r="W52" s="29" t="n">
        <f aca="false">IF($C52=0,"",M52/$C52)</f>
        <v>-0.341357142857143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24</v>
      </c>
      <c r="D53" s="26" t="n">
        <v>3</v>
      </c>
      <c r="E53" s="26" t="n">
        <v>13</v>
      </c>
      <c r="F53" s="26" t="n">
        <v>18</v>
      </c>
      <c r="G53" s="26" t="n">
        <v>13</v>
      </c>
      <c r="H53" s="26" t="n">
        <v>5</v>
      </c>
      <c r="I53" s="26" t="n">
        <v>3</v>
      </c>
      <c r="J53" s="26" t="n">
        <v>0</v>
      </c>
      <c r="K53" s="27" t="n">
        <v>1</v>
      </c>
      <c r="L53" s="27" t="n">
        <v>0.4099</v>
      </c>
      <c r="M53" s="19" t="n">
        <f aca="false">K53-L53</f>
        <v>0.5901</v>
      </c>
      <c r="N53" s="26" t="n">
        <v>5</v>
      </c>
      <c r="O53" s="26" t="n">
        <v>3</v>
      </c>
      <c r="P53" s="28" t="n">
        <f aca="false">IF($C53=0,"",D53/$C53)</f>
        <v>0.125</v>
      </c>
      <c r="Q53" s="28" t="n">
        <f aca="false">IF($C53=0,"",E53/$C53)</f>
        <v>0.541666666666667</v>
      </c>
      <c r="R53" s="28" t="n">
        <f aca="false">IF($C53=0,"",F53/$C53)</f>
        <v>0.75</v>
      </c>
      <c r="S53" s="28" t="n">
        <f aca="false">IF($C53=0,"",G53/$C53)</f>
        <v>0.541666666666667</v>
      </c>
      <c r="T53" s="28" t="n">
        <f aca="false">IF($C53=0,"",H53/$C53)</f>
        <v>0.208333333333333</v>
      </c>
      <c r="U53" s="28" t="n">
        <f aca="false">IF($C53=0,"",I53/$C53)</f>
        <v>0.125</v>
      </c>
      <c r="V53" s="29" t="n">
        <f aca="false">IF($C53=0,"",K53/$C53)</f>
        <v>0.0416666666666667</v>
      </c>
      <c r="W53" s="29" t="n">
        <f aca="false">IF($C53=0,"",M53/$C53)</f>
        <v>0.0245875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29</v>
      </c>
      <c r="D54" s="26" t="n">
        <v>5</v>
      </c>
      <c r="E54" s="26" t="n">
        <v>18</v>
      </c>
      <c r="F54" s="26" t="n">
        <v>21</v>
      </c>
      <c r="G54" s="26" t="n">
        <v>18</v>
      </c>
      <c r="H54" s="26" t="n">
        <v>7</v>
      </c>
      <c r="I54" s="26" t="n">
        <v>5</v>
      </c>
      <c r="J54" s="26" t="n">
        <v>0</v>
      </c>
      <c r="K54" s="27" t="n">
        <v>6.8</v>
      </c>
      <c r="L54" s="27" t="n">
        <v>0.4638</v>
      </c>
      <c r="M54" s="19" t="n">
        <f aca="false">K54-L54</f>
        <v>6.3362</v>
      </c>
      <c r="N54" s="26" t="n">
        <v>6</v>
      </c>
      <c r="O54" s="26" t="n">
        <v>3</v>
      </c>
      <c r="P54" s="28" t="n">
        <f aca="false">IF($C54=0,"",D54/$C54)</f>
        <v>0.172413793103448</v>
      </c>
      <c r="Q54" s="28" t="n">
        <f aca="false">IF($C54=0,"",E54/$C54)</f>
        <v>0.620689655172414</v>
      </c>
      <c r="R54" s="28" t="n">
        <f aca="false">IF($C54=0,"",F54/$C54)</f>
        <v>0.724137931034483</v>
      </c>
      <c r="S54" s="28" t="n">
        <f aca="false">IF($C54=0,"",G54/$C54)</f>
        <v>0.620689655172414</v>
      </c>
      <c r="T54" s="28" t="n">
        <f aca="false">IF($C54=0,"",H54/$C54)</f>
        <v>0.241379310344828</v>
      </c>
      <c r="U54" s="28" t="n">
        <f aca="false">IF($C54=0,"",I54/$C54)</f>
        <v>0.172413793103448</v>
      </c>
      <c r="V54" s="29" t="n">
        <f aca="false">IF($C54=0,"",K54/$C54)</f>
        <v>0.23448275862069</v>
      </c>
      <c r="W54" s="29" t="n">
        <f aca="false">IF($C54=0,"",M54/$C54)</f>
        <v>0.218489655172414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25</v>
      </c>
      <c r="D55" s="26" t="n">
        <v>5</v>
      </c>
      <c r="E55" s="26" t="n">
        <v>14</v>
      </c>
      <c r="F55" s="26" t="n">
        <v>18</v>
      </c>
      <c r="G55" s="26" t="n">
        <v>14</v>
      </c>
      <c r="H55" s="26" t="n">
        <v>6</v>
      </c>
      <c r="I55" s="26" t="n">
        <v>5</v>
      </c>
      <c r="J55" s="26" t="n">
        <v>0</v>
      </c>
      <c r="K55" s="27" t="n">
        <v>4.4</v>
      </c>
      <c r="L55" s="27" t="n">
        <v>0.3779</v>
      </c>
      <c r="M55" s="19" t="n">
        <f aca="false">K55-L55</f>
        <v>4.0221</v>
      </c>
      <c r="N55" s="26" t="n">
        <v>7</v>
      </c>
      <c r="O55" s="26" t="n">
        <v>3</v>
      </c>
      <c r="P55" s="28" t="n">
        <f aca="false">IF($C55=0,"",D55/$C55)</f>
        <v>0.2</v>
      </c>
      <c r="Q55" s="28" t="n">
        <f aca="false">IF($C55=0,"",E55/$C55)</f>
        <v>0.56</v>
      </c>
      <c r="R55" s="28" t="n">
        <f aca="false">IF($C55=0,"",F55/$C55)</f>
        <v>0.72</v>
      </c>
      <c r="S55" s="28" t="n">
        <f aca="false">IF($C55=0,"",G55/$C55)</f>
        <v>0.56</v>
      </c>
      <c r="T55" s="28" t="n">
        <f aca="false">IF($C55=0,"",H55/$C55)</f>
        <v>0.24</v>
      </c>
      <c r="U55" s="28" t="n">
        <f aca="false">IF($C55=0,"",I55/$C55)</f>
        <v>0.2</v>
      </c>
      <c r="V55" s="29" t="n">
        <f aca="false">IF($C55=0,"",K55/$C55)</f>
        <v>0.176</v>
      </c>
      <c r="W55" s="29" t="n">
        <f aca="false">IF($C55=0,"",M55/$C55)</f>
        <v>0.160884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32</v>
      </c>
      <c r="D56" s="26" t="n">
        <v>3</v>
      </c>
      <c r="E56" s="26" t="n">
        <v>12</v>
      </c>
      <c r="F56" s="26" t="n">
        <v>19</v>
      </c>
      <c r="G56" s="26" t="n">
        <v>12</v>
      </c>
      <c r="H56" s="26" t="n">
        <v>6</v>
      </c>
      <c r="I56" s="26" t="n">
        <v>3</v>
      </c>
      <c r="J56" s="26" t="n">
        <v>0</v>
      </c>
      <c r="K56" s="27" t="n">
        <v>-8.6</v>
      </c>
      <c r="L56" s="27" t="n">
        <v>0.6594</v>
      </c>
      <c r="M56" s="19" t="n">
        <f aca="false">K56-L56</f>
        <v>-9.2594</v>
      </c>
      <c r="N56" s="26" t="n">
        <v>3</v>
      </c>
      <c r="O56" s="26" t="n">
        <v>6</v>
      </c>
      <c r="P56" s="28" t="n">
        <f aca="false">IF($C56=0,"",D56/$C56)</f>
        <v>0.09375</v>
      </c>
      <c r="Q56" s="28" t="n">
        <f aca="false">IF($C56=0,"",E56/$C56)</f>
        <v>0.375</v>
      </c>
      <c r="R56" s="28" t="n">
        <f aca="false">IF($C56=0,"",F56/$C56)</f>
        <v>0.59375</v>
      </c>
      <c r="S56" s="28" t="n">
        <f aca="false">IF($C56=0,"",G56/$C56)</f>
        <v>0.375</v>
      </c>
      <c r="T56" s="28" t="n">
        <f aca="false">IF($C56=0,"",H56/$C56)</f>
        <v>0.1875</v>
      </c>
      <c r="U56" s="28" t="n">
        <f aca="false">IF($C56=0,"",I56/$C56)</f>
        <v>0.09375</v>
      </c>
      <c r="V56" s="29" t="n">
        <f aca="false">IF($C56=0,"",K56/$C56)</f>
        <v>-0.26875</v>
      </c>
      <c r="W56" s="29" t="n">
        <f aca="false">IF($C56=0,"",M56/$C56)</f>
        <v>-0.28935625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320</v>
      </c>
      <c r="D57" s="30" t="n">
        <f aca="false">SUM(D45:D56)</f>
        <v>55</v>
      </c>
      <c r="E57" s="30" t="n">
        <f aca="false">SUM(E45:E56)</f>
        <v>163</v>
      </c>
      <c r="F57" s="30" t="n">
        <f aca="false">SUM(F45:F56)</f>
        <v>202</v>
      </c>
      <c r="G57" s="30" t="n">
        <f aca="false">SUM(G45:G56)</f>
        <v>163</v>
      </c>
      <c r="H57" s="30" t="n">
        <f aca="false">SUM(H45:H56)</f>
        <v>89</v>
      </c>
      <c r="I57" s="30" t="n">
        <f aca="false">SUM(I45:I56)</f>
        <v>55</v>
      </c>
      <c r="J57" s="30" t="n">
        <f aca="false">SUM(J45:J56)</f>
        <v>0</v>
      </c>
      <c r="K57" s="31" t="n">
        <f aca="false">SUM(K45:K56)</f>
        <v>17.8</v>
      </c>
      <c r="L57" s="31" t="n">
        <f aca="false">SUM(L45:L56)</f>
        <v>6.6003</v>
      </c>
      <c r="M57" s="31" t="n">
        <f aca="false">K57-L57</f>
        <v>11.1997</v>
      </c>
      <c r="N57" s="32" t="n">
        <v>7</v>
      </c>
      <c r="O57" s="32" t="n">
        <v>7</v>
      </c>
      <c r="P57" s="33" t="n">
        <f aca="false">IF($C57=0,"",D57/$C57)</f>
        <v>0.171875</v>
      </c>
      <c r="Q57" s="33" t="n">
        <f aca="false">IF($C57=0,"",E57/$C57)</f>
        <v>0.509375</v>
      </c>
      <c r="R57" s="33" t="n">
        <f aca="false">IF($C57=0,"",F57/$C57)</f>
        <v>0.63125</v>
      </c>
      <c r="S57" s="33" t="n">
        <f aca="false">IF($C57=0,"",G57/$C57)</f>
        <v>0.509375</v>
      </c>
      <c r="T57" s="33" t="n">
        <f aca="false">IF($C57=0,"",H57/$C57)</f>
        <v>0.278125</v>
      </c>
      <c r="U57" s="33" t="n">
        <f aca="false">IF($C57=0,"",I57/$C57)</f>
        <v>0.171875</v>
      </c>
      <c r="V57" s="34" t="n">
        <f aca="false">IF($C57=0,"",K57/$C57)</f>
        <v>0.055625</v>
      </c>
      <c r="W57" s="34" t="n">
        <f aca="false">IF($C57=0,"",M57/$C57)</f>
        <v>0.0349990625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31</v>
      </c>
      <c r="D58" s="26" t="n">
        <v>6</v>
      </c>
      <c r="E58" s="26" t="n">
        <v>16</v>
      </c>
      <c r="F58" s="26" t="n">
        <v>18</v>
      </c>
      <c r="G58" s="26" t="n">
        <v>16</v>
      </c>
      <c r="H58" s="26" t="n">
        <v>9</v>
      </c>
      <c r="I58" s="26" t="n">
        <v>6</v>
      </c>
      <c r="J58" s="26" t="n">
        <v>0</v>
      </c>
      <c r="K58" s="27" t="n">
        <v>3</v>
      </c>
      <c r="L58" s="27" t="n">
        <v>0.6437</v>
      </c>
      <c r="M58" s="19" t="n">
        <f aca="false">K58-L58</f>
        <v>2.3563</v>
      </c>
      <c r="N58" s="26" t="n">
        <v>3</v>
      </c>
      <c r="O58" s="26" t="n">
        <v>5</v>
      </c>
      <c r="P58" s="28" t="n">
        <f aca="false">IF($C58=0,"",D58/$C58)</f>
        <v>0.193548387096774</v>
      </c>
      <c r="Q58" s="28" t="n">
        <f aca="false">IF($C58=0,"",E58/$C58)</f>
        <v>0.516129032258065</v>
      </c>
      <c r="R58" s="28" t="n">
        <f aca="false">IF($C58=0,"",F58/$C58)</f>
        <v>0.580645161290323</v>
      </c>
      <c r="S58" s="28" t="n">
        <f aca="false">IF($C58=0,"",G58/$C58)</f>
        <v>0.516129032258065</v>
      </c>
      <c r="T58" s="28" t="n">
        <f aca="false">IF($C58=0,"",H58/$C58)</f>
        <v>0.290322580645161</v>
      </c>
      <c r="U58" s="28" t="n">
        <f aca="false">IF($C58=0,"",I58/$C58)</f>
        <v>0.193548387096774</v>
      </c>
      <c r="V58" s="29" t="n">
        <f aca="false">IF($C58=0,"",K58/$C58)</f>
        <v>0.0967741935483871</v>
      </c>
      <c r="W58" s="29" t="n">
        <f aca="false">IF($C58=0,"",M58/$C58)</f>
        <v>0.0760096774193548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26</v>
      </c>
      <c r="D59" s="26" t="n">
        <v>3</v>
      </c>
      <c r="E59" s="26" t="n">
        <v>10</v>
      </c>
      <c r="F59" s="26" t="n">
        <v>14</v>
      </c>
      <c r="G59" s="26" t="n">
        <v>10</v>
      </c>
      <c r="H59" s="26" t="n">
        <v>4</v>
      </c>
      <c r="I59" s="26" t="n">
        <v>3</v>
      </c>
      <c r="J59" s="26" t="n">
        <v>0</v>
      </c>
      <c r="K59" s="27" t="n">
        <v>-5.8</v>
      </c>
      <c r="L59" s="27" t="n">
        <v>0.3988</v>
      </c>
      <c r="M59" s="19" t="n">
        <f aca="false">K59-L59</f>
        <v>-6.1988</v>
      </c>
      <c r="N59" s="26" t="n">
        <v>2</v>
      </c>
      <c r="O59" s="26" t="n">
        <v>4</v>
      </c>
      <c r="P59" s="28" t="n">
        <f aca="false">IF($C59=0,"",D59/$C59)</f>
        <v>0.115384615384615</v>
      </c>
      <c r="Q59" s="28" t="n">
        <f aca="false">IF($C59=0,"",E59/$C59)</f>
        <v>0.384615384615385</v>
      </c>
      <c r="R59" s="28" t="n">
        <f aca="false">IF($C59=0,"",F59/$C59)</f>
        <v>0.538461538461538</v>
      </c>
      <c r="S59" s="28" t="n">
        <f aca="false">IF($C59=0,"",G59/$C59)</f>
        <v>0.384615384615385</v>
      </c>
      <c r="T59" s="28" t="n">
        <f aca="false">IF($C59=0,"",H59/$C59)</f>
        <v>0.153846153846154</v>
      </c>
      <c r="U59" s="28" t="n">
        <f aca="false">IF($C59=0,"",I59/$C59)</f>
        <v>0.115384615384615</v>
      </c>
      <c r="V59" s="29" t="n">
        <f aca="false">IF($C59=0,"",K59/$C59)</f>
        <v>-0.223076923076923</v>
      </c>
      <c r="W59" s="29" t="n">
        <f aca="false">IF($C59=0,"",M59/$C59)</f>
        <v>-0.238415384615385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26</v>
      </c>
      <c r="D60" s="26" t="n">
        <v>3</v>
      </c>
      <c r="E60" s="26" t="n">
        <v>17</v>
      </c>
      <c r="F60" s="26" t="n">
        <v>18</v>
      </c>
      <c r="G60" s="26" t="n">
        <v>17</v>
      </c>
      <c r="H60" s="26" t="n">
        <v>5</v>
      </c>
      <c r="I60" s="26" t="n">
        <v>3</v>
      </c>
      <c r="J60" s="26" t="n">
        <v>0</v>
      </c>
      <c r="K60" s="27" t="n">
        <v>5.4</v>
      </c>
      <c r="L60" s="27" t="n">
        <v>0.3531</v>
      </c>
      <c r="M60" s="19" t="n">
        <f aca="false">K60-L60</f>
        <v>5.0469</v>
      </c>
      <c r="N60" s="26" t="n">
        <v>11</v>
      </c>
      <c r="O60" s="26" t="n">
        <v>4</v>
      </c>
      <c r="P60" s="28" t="n">
        <f aca="false">IF($C60=0,"",D60/$C60)</f>
        <v>0.115384615384615</v>
      </c>
      <c r="Q60" s="28" t="n">
        <f aca="false">IF($C60=0,"",E60/$C60)</f>
        <v>0.653846153846154</v>
      </c>
      <c r="R60" s="28" t="n">
        <f aca="false">IF($C60=0,"",F60/$C60)</f>
        <v>0.692307692307692</v>
      </c>
      <c r="S60" s="28" t="n">
        <f aca="false">IF($C60=0,"",G60/$C60)</f>
        <v>0.653846153846154</v>
      </c>
      <c r="T60" s="28" t="n">
        <f aca="false">IF($C60=0,"",H60/$C60)</f>
        <v>0.192307692307692</v>
      </c>
      <c r="U60" s="28" t="n">
        <f aca="false">IF($C60=0,"",I60/$C60)</f>
        <v>0.115384615384615</v>
      </c>
      <c r="V60" s="29" t="n">
        <f aca="false">IF($C60=0,"",K60/$C60)</f>
        <v>0.207692307692308</v>
      </c>
      <c r="W60" s="29" t="n">
        <f aca="false">IF($C60=0,"",M60/$C60)</f>
        <v>0.194111538461538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22</v>
      </c>
      <c r="D61" s="26" t="n">
        <v>6</v>
      </c>
      <c r="E61" s="26" t="n">
        <v>13</v>
      </c>
      <c r="F61" s="26" t="n">
        <v>14</v>
      </c>
      <c r="G61" s="26" t="n">
        <v>13</v>
      </c>
      <c r="H61" s="26" t="n">
        <v>7</v>
      </c>
      <c r="I61" s="26" t="n">
        <v>6</v>
      </c>
      <c r="J61" s="26" t="n">
        <v>0</v>
      </c>
      <c r="K61" s="27" t="n">
        <v>7.2</v>
      </c>
      <c r="L61" s="27" t="n">
        <v>0.1794</v>
      </c>
      <c r="M61" s="19" t="n">
        <f aca="false">K61-L61</f>
        <v>7.0206</v>
      </c>
      <c r="N61" s="26" t="n">
        <v>5</v>
      </c>
      <c r="O61" s="26" t="n">
        <v>3</v>
      </c>
      <c r="P61" s="28" t="n">
        <f aca="false">IF($C61=0,"",D61/$C61)</f>
        <v>0.272727272727273</v>
      </c>
      <c r="Q61" s="28" t="n">
        <f aca="false">IF($C61=0,"",E61/$C61)</f>
        <v>0.590909090909091</v>
      </c>
      <c r="R61" s="28" t="n">
        <f aca="false">IF($C61=0,"",F61/$C61)</f>
        <v>0.636363636363636</v>
      </c>
      <c r="S61" s="28" t="n">
        <f aca="false">IF($C61=0,"",G61/$C61)</f>
        <v>0.590909090909091</v>
      </c>
      <c r="T61" s="28" t="n">
        <f aca="false">IF($C61=0,"",H61/$C61)</f>
        <v>0.318181818181818</v>
      </c>
      <c r="U61" s="28" t="n">
        <f aca="false">IF($C61=0,"",I61/$C61)</f>
        <v>0.272727272727273</v>
      </c>
      <c r="V61" s="29" t="n">
        <f aca="false">IF($C61=0,"",K61/$C61)</f>
        <v>0.327272727272727</v>
      </c>
      <c r="W61" s="29" t="n">
        <f aca="false">IF($C61=0,"",M61/$C61)</f>
        <v>0.319118181818182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20</v>
      </c>
      <c r="D62" s="26" t="n">
        <v>1</v>
      </c>
      <c r="E62" s="26" t="n">
        <v>8</v>
      </c>
      <c r="F62" s="26" t="n">
        <v>12</v>
      </c>
      <c r="G62" s="26" t="n">
        <v>8</v>
      </c>
      <c r="H62" s="26" t="n">
        <v>1</v>
      </c>
      <c r="I62" s="26" t="n">
        <v>1</v>
      </c>
      <c r="J62" s="26" t="n">
        <v>0</v>
      </c>
      <c r="K62" s="27" t="n">
        <v>-5.8</v>
      </c>
      <c r="L62" s="27" t="n">
        <v>0.2073</v>
      </c>
      <c r="M62" s="19" t="n">
        <f aca="false">K62-L62</f>
        <v>-6.0073</v>
      </c>
      <c r="N62" s="26" t="n">
        <v>4</v>
      </c>
      <c r="O62" s="26" t="n">
        <v>5</v>
      </c>
      <c r="P62" s="28" t="n">
        <f aca="false">IF($C62=0,"",D62/$C62)</f>
        <v>0.05</v>
      </c>
      <c r="Q62" s="28" t="n">
        <f aca="false">IF($C62=0,"",E62/$C62)</f>
        <v>0.4</v>
      </c>
      <c r="R62" s="28" t="n">
        <f aca="false">IF($C62=0,"",F62/$C62)</f>
        <v>0.6</v>
      </c>
      <c r="S62" s="28" t="n">
        <f aca="false">IF($C62=0,"",G62/$C62)</f>
        <v>0.4</v>
      </c>
      <c r="T62" s="28" t="n">
        <f aca="false">IF($C62=0,"",H62/$C62)</f>
        <v>0.05</v>
      </c>
      <c r="U62" s="28" t="n">
        <f aca="false">IF($C62=0,"",I62/$C62)</f>
        <v>0.05</v>
      </c>
      <c r="V62" s="29" t="n">
        <f aca="false">IF($C62=0,"",K62/$C62)</f>
        <v>-0.29</v>
      </c>
      <c r="W62" s="29" t="n">
        <f aca="false">IF($C62=0,"",M62/$C62)</f>
        <v>-0.300365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24</v>
      </c>
      <c r="D63" s="26" t="n">
        <v>3</v>
      </c>
      <c r="E63" s="26" t="n">
        <v>12</v>
      </c>
      <c r="F63" s="26" t="n">
        <v>16</v>
      </c>
      <c r="G63" s="26" t="n">
        <v>12</v>
      </c>
      <c r="H63" s="26" t="n">
        <v>6</v>
      </c>
      <c r="I63" s="26" t="n">
        <v>3</v>
      </c>
      <c r="J63" s="26" t="n">
        <v>0</v>
      </c>
      <c r="K63" s="27" t="n">
        <v>-0.6</v>
      </c>
      <c r="L63" s="27" t="n">
        <v>0.2653</v>
      </c>
      <c r="M63" s="19" t="n">
        <f aca="false">K63-L63</f>
        <v>-0.8653</v>
      </c>
      <c r="N63" s="26" t="n">
        <v>5</v>
      </c>
      <c r="O63" s="26" t="n">
        <v>5</v>
      </c>
      <c r="P63" s="28" t="n">
        <f aca="false">IF($C63=0,"",D63/$C63)</f>
        <v>0.125</v>
      </c>
      <c r="Q63" s="28" t="n">
        <f aca="false">IF($C63=0,"",E63/$C63)</f>
        <v>0.5</v>
      </c>
      <c r="R63" s="28" t="n">
        <f aca="false">IF($C63=0,"",F63/$C63)</f>
        <v>0.666666666666667</v>
      </c>
      <c r="S63" s="28" t="n">
        <f aca="false">IF($C63=0,"",G63/$C63)</f>
        <v>0.5</v>
      </c>
      <c r="T63" s="28" t="n">
        <f aca="false">IF($C63=0,"",H63/$C63)</f>
        <v>0.25</v>
      </c>
      <c r="U63" s="28" t="n">
        <f aca="false">IF($C63=0,"",I63/$C63)</f>
        <v>0.125</v>
      </c>
      <c r="V63" s="29" t="n">
        <f aca="false">IF($C63=0,"",K63/$C63)</f>
        <v>-0.025</v>
      </c>
      <c r="W63" s="29" t="n">
        <f aca="false">IF($C63=0,"",M63/$C63)</f>
        <v>-0.0360541666666667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27</v>
      </c>
      <c r="D64" s="26" t="n">
        <v>5</v>
      </c>
      <c r="E64" s="26" t="n">
        <v>10</v>
      </c>
      <c r="F64" s="26" t="n">
        <v>11</v>
      </c>
      <c r="G64" s="26" t="n">
        <v>10</v>
      </c>
      <c r="H64" s="26" t="n">
        <v>7</v>
      </c>
      <c r="I64" s="26" t="n">
        <v>5</v>
      </c>
      <c r="J64" s="26" t="n">
        <v>0</v>
      </c>
      <c r="K64" s="27" t="n">
        <v>-4</v>
      </c>
      <c r="L64" s="27" t="n">
        <v>0.358</v>
      </c>
      <c r="M64" s="19" t="n">
        <f aca="false">K64-L64</f>
        <v>-4.358</v>
      </c>
      <c r="N64" s="26" t="n">
        <v>2</v>
      </c>
      <c r="O64" s="26" t="n">
        <v>4</v>
      </c>
      <c r="P64" s="28" t="n">
        <f aca="false">IF($C64=0,"",D64/$C64)</f>
        <v>0.185185185185185</v>
      </c>
      <c r="Q64" s="28" t="n">
        <f aca="false">IF($C64=0,"",E64/$C64)</f>
        <v>0.37037037037037</v>
      </c>
      <c r="R64" s="28" t="n">
        <f aca="false">IF($C64=0,"",F64/$C64)</f>
        <v>0.407407407407407</v>
      </c>
      <c r="S64" s="28" t="n">
        <f aca="false">IF($C64=0,"",G64/$C64)</f>
        <v>0.37037037037037</v>
      </c>
      <c r="T64" s="28" t="n">
        <f aca="false">IF($C64=0,"",H64/$C64)</f>
        <v>0.259259259259259</v>
      </c>
      <c r="U64" s="28" t="n">
        <f aca="false">IF($C64=0,"",I64/$C64)</f>
        <v>0.185185185185185</v>
      </c>
      <c r="V64" s="29" t="n">
        <f aca="false">IF($C64=0,"",K64/$C64)</f>
        <v>-0.148148148148148</v>
      </c>
      <c r="W64" s="29" t="n">
        <f aca="false">IF($C64=0,"",M64/$C64)</f>
        <v>-0.161407407407407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27</v>
      </c>
      <c r="D65" s="26" t="n">
        <v>2</v>
      </c>
      <c r="E65" s="26" t="n">
        <v>16</v>
      </c>
      <c r="F65" s="26" t="n">
        <v>18</v>
      </c>
      <c r="G65" s="26" t="n">
        <v>16</v>
      </c>
      <c r="H65" s="26" t="n">
        <v>7</v>
      </c>
      <c r="I65" s="26" t="n">
        <v>2</v>
      </c>
      <c r="J65" s="26" t="n">
        <v>0</v>
      </c>
      <c r="K65" s="27" t="n">
        <v>1.4</v>
      </c>
      <c r="L65" s="27" t="n">
        <v>0.444</v>
      </c>
      <c r="M65" s="19" t="n">
        <f aca="false">K65-L65</f>
        <v>0.956</v>
      </c>
      <c r="N65" s="26" t="n">
        <v>4</v>
      </c>
      <c r="O65" s="26" t="n">
        <v>5</v>
      </c>
      <c r="P65" s="28" t="n">
        <f aca="false">IF($C65=0,"",D65/$C65)</f>
        <v>0.0740740740740741</v>
      </c>
      <c r="Q65" s="28" t="n">
        <f aca="false">IF($C65=0,"",E65/$C65)</f>
        <v>0.592592592592593</v>
      </c>
      <c r="R65" s="28" t="n">
        <f aca="false">IF($C65=0,"",F65/$C65)</f>
        <v>0.666666666666667</v>
      </c>
      <c r="S65" s="28" t="n">
        <f aca="false">IF($C65=0,"",G65/$C65)</f>
        <v>0.592592592592593</v>
      </c>
      <c r="T65" s="28" t="n">
        <f aca="false">IF($C65=0,"",H65/$C65)</f>
        <v>0.259259259259259</v>
      </c>
      <c r="U65" s="28" t="n">
        <f aca="false">IF($C65=0,"",I65/$C65)</f>
        <v>0.0740740740740741</v>
      </c>
      <c r="V65" s="29" t="n">
        <f aca="false">IF($C65=0,"",K65/$C65)</f>
        <v>0.0518518518518519</v>
      </c>
      <c r="W65" s="29" t="n">
        <f aca="false">IF($C65=0,"",M65/$C65)</f>
        <v>0.0354074074074074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26</v>
      </c>
      <c r="D66" s="26" t="n">
        <v>4</v>
      </c>
      <c r="E66" s="26" t="n">
        <v>17</v>
      </c>
      <c r="F66" s="26" t="n">
        <v>18</v>
      </c>
      <c r="G66" s="26" t="n">
        <v>17</v>
      </c>
      <c r="H66" s="26" t="n">
        <v>7</v>
      </c>
      <c r="I66" s="26" t="n">
        <v>4</v>
      </c>
      <c r="J66" s="26" t="n">
        <v>0</v>
      </c>
      <c r="K66" s="27" t="n">
        <v>6.8</v>
      </c>
      <c r="L66" s="27" t="n">
        <v>0.3861</v>
      </c>
      <c r="M66" s="19" t="n">
        <f aca="false">K66-L66</f>
        <v>6.4139</v>
      </c>
      <c r="N66" s="26" t="n">
        <v>6</v>
      </c>
      <c r="O66" s="26" t="n">
        <v>3</v>
      </c>
      <c r="P66" s="28" t="n">
        <f aca="false">IF($C66=0,"",D66/$C66)</f>
        <v>0.153846153846154</v>
      </c>
      <c r="Q66" s="28" t="n">
        <f aca="false">IF($C66=0,"",E66/$C66)</f>
        <v>0.653846153846154</v>
      </c>
      <c r="R66" s="28" t="n">
        <f aca="false">IF($C66=0,"",F66/$C66)</f>
        <v>0.692307692307692</v>
      </c>
      <c r="S66" s="28" t="n">
        <f aca="false">IF($C66=0,"",G66/$C66)</f>
        <v>0.653846153846154</v>
      </c>
      <c r="T66" s="28" t="n">
        <f aca="false">IF($C66=0,"",H66/$C66)</f>
        <v>0.269230769230769</v>
      </c>
      <c r="U66" s="28" t="n">
        <f aca="false">IF($C66=0,"",I66/$C66)</f>
        <v>0.153846153846154</v>
      </c>
      <c r="V66" s="29" t="n">
        <f aca="false">IF($C66=0,"",K66/$C66)</f>
        <v>0.261538461538462</v>
      </c>
      <c r="W66" s="29" t="n">
        <f aca="false">IF($C66=0,"",M66/$C66)</f>
        <v>0.246688461538462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26</v>
      </c>
      <c r="D67" s="26" t="n">
        <v>3</v>
      </c>
      <c r="E67" s="26" t="n">
        <v>19</v>
      </c>
      <c r="F67" s="26" t="n">
        <v>22</v>
      </c>
      <c r="G67" s="26" t="n">
        <v>19</v>
      </c>
      <c r="H67" s="26" t="n">
        <v>7</v>
      </c>
      <c r="I67" s="26" t="n">
        <v>3</v>
      </c>
      <c r="J67" s="26" t="n">
        <v>0</v>
      </c>
      <c r="K67" s="27" t="n">
        <v>8.6</v>
      </c>
      <c r="L67" s="27" t="n">
        <v>0.2308</v>
      </c>
      <c r="M67" s="19" t="n">
        <f aca="false">K67-L67</f>
        <v>8.3692</v>
      </c>
      <c r="N67" s="26" t="n">
        <v>9</v>
      </c>
      <c r="O67" s="26" t="n">
        <v>2</v>
      </c>
      <c r="P67" s="28" t="n">
        <f aca="false">IF($C67=0,"",D67/$C67)</f>
        <v>0.115384615384615</v>
      </c>
      <c r="Q67" s="28" t="n">
        <f aca="false">IF($C67=0,"",E67/$C67)</f>
        <v>0.730769230769231</v>
      </c>
      <c r="R67" s="28" t="n">
        <f aca="false">IF($C67=0,"",F67/$C67)</f>
        <v>0.846153846153846</v>
      </c>
      <c r="S67" s="28" t="n">
        <f aca="false">IF($C67=0,"",G67/$C67)</f>
        <v>0.730769230769231</v>
      </c>
      <c r="T67" s="28" t="n">
        <f aca="false">IF($C67=0,"",H67/$C67)</f>
        <v>0.269230769230769</v>
      </c>
      <c r="U67" s="28" t="n">
        <f aca="false">IF($C67=0,"",I67/$C67)</f>
        <v>0.115384615384615</v>
      </c>
      <c r="V67" s="29" t="n">
        <f aca="false">IF($C67=0,"",K67/$C67)</f>
        <v>0.330769230769231</v>
      </c>
      <c r="W67" s="29" t="n">
        <f aca="false">IF($C67=0,"",M67/$C67)</f>
        <v>0.321892307692308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20</v>
      </c>
      <c r="D68" s="26" t="n">
        <v>5</v>
      </c>
      <c r="E68" s="26" t="n">
        <v>8</v>
      </c>
      <c r="F68" s="26" t="n">
        <v>11</v>
      </c>
      <c r="G68" s="26" t="n">
        <v>8</v>
      </c>
      <c r="H68" s="26" t="n">
        <v>5</v>
      </c>
      <c r="I68" s="26" t="n">
        <v>5</v>
      </c>
      <c r="J68" s="26" t="n">
        <v>0</v>
      </c>
      <c r="K68" s="27" t="n">
        <v>-0.2</v>
      </c>
      <c r="L68" s="27" t="n">
        <v>0.237</v>
      </c>
      <c r="M68" s="19" t="n">
        <f aca="false">K68-L68</f>
        <v>-0.437</v>
      </c>
      <c r="N68" s="26" t="n">
        <v>3</v>
      </c>
      <c r="O68" s="26" t="n">
        <v>9</v>
      </c>
      <c r="P68" s="28" t="n">
        <f aca="false">IF($C68=0,"",D68/$C68)</f>
        <v>0.25</v>
      </c>
      <c r="Q68" s="28" t="n">
        <f aca="false">IF($C68=0,"",E68/$C68)</f>
        <v>0.4</v>
      </c>
      <c r="R68" s="28" t="n">
        <f aca="false">IF($C68=0,"",F68/$C68)</f>
        <v>0.55</v>
      </c>
      <c r="S68" s="28" t="n">
        <f aca="false">IF($C68=0,"",G68/$C68)</f>
        <v>0.4</v>
      </c>
      <c r="T68" s="28" t="n">
        <f aca="false">IF($C68=0,"",H68/$C68)</f>
        <v>0.25</v>
      </c>
      <c r="U68" s="28" t="n">
        <f aca="false">IF($C68=0,"",I68/$C68)</f>
        <v>0.25</v>
      </c>
      <c r="V68" s="29" t="n">
        <f aca="false">IF($C68=0,"",K68/$C68)</f>
        <v>-0.01</v>
      </c>
      <c r="W68" s="29" t="n">
        <f aca="false">IF($C68=0,"",M68/$C68)</f>
        <v>-0.02185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30</v>
      </c>
      <c r="D69" s="26" t="n">
        <v>7</v>
      </c>
      <c r="E69" s="26" t="n">
        <v>20</v>
      </c>
      <c r="F69" s="26" t="n">
        <v>22</v>
      </c>
      <c r="G69" s="26" t="n">
        <v>20</v>
      </c>
      <c r="H69" s="26" t="n">
        <v>11</v>
      </c>
      <c r="I69" s="26" t="n">
        <v>7</v>
      </c>
      <c r="J69" s="26" t="n">
        <v>0</v>
      </c>
      <c r="K69" s="27" t="n">
        <v>11.8</v>
      </c>
      <c r="L69" s="27" t="n">
        <v>0.3228</v>
      </c>
      <c r="M69" s="19" t="n">
        <f aca="false">K69-L69</f>
        <v>11.4772</v>
      </c>
      <c r="N69" s="26" t="n">
        <v>9</v>
      </c>
      <c r="O69" s="26" t="n">
        <v>3</v>
      </c>
      <c r="P69" s="28" t="n">
        <f aca="false">IF($C69=0,"",D69/$C69)</f>
        <v>0.233333333333333</v>
      </c>
      <c r="Q69" s="28" t="n">
        <f aca="false">IF($C69=0,"",E69/$C69)</f>
        <v>0.666666666666667</v>
      </c>
      <c r="R69" s="28" t="n">
        <f aca="false">IF($C69=0,"",F69/$C69)</f>
        <v>0.733333333333333</v>
      </c>
      <c r="S69" s="28" t="n">
        <f aca="false">IF($C69=0,"",G69/$C69)</f>
        <v>0.666666666666667</v>
      </c>
      <c r="T69" s="28" t="n">
        <f aca="false">IF($C69=0,"",H69/$C69)</f>
        <v>0.366666666666667</v>
      </c>
      <c r="U69" s="28" t="n">
        <f aca="false">IF($C69=0,"",I69/$C69)</f>
        <v>0.233333333333333</v>
      </c>
      <c r="V69" s="29" t="n">
        <f aca="false">IF($C69=0,"",K69/$C69)</f>
        <v>0.393333333333333</v>
      </c>
      <c r="W69" s="29" t="n">
        <f aca="false">IF($C69=0,"",M69/$C69)</f>
        <v>0.382573333333333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305</v>
      </c>
      <c r="D70" s="30" t="n">
        <f aca="false">SUM(D58:D69)</f>
        <v>48</v>
      </c>
      <c r="E70" s="30" t="n">
        <f aca="false">SUM(E58:E69)</f>
        <v>166</v>
      </c>
      <c r="F70" s="30" t="n">
        <f aca="false">SUM(F58:F69)</f>
        <v>194</v>
      </c>
      <c r="G70" s="30" t="n">
        <f aca="false">SUM(G58:G69)</f>
        <v>166</v>
      </c>
      <c r="H70" s="30" t="n">
        <f aca="false">SUM(H58:H69)</f>
        <v>76</v>
      </c>
      <c r="I70" s="30" t="n">
        <f aca="false">SUM(I58:I69)</f>
        <v>48</v>
      </c>
      <c r="J70" s="30" t="n">
        <f aca="false">SUM(J58:J69)</f>
        <v>0</v>
      </c>
      <c r="K70" s="31" t="n">
        <f aca="false">SUM(K58:K69)</f>
        <v>27.8</v>
      </c>
      <c r="L70" s="31" t="n">
        <f aca="false">SUM(L58:L69)</f>
        <v>4.0263</v>
      </c>
      <c r="M70" s="31" t="n">
        <f aca="false">K70-L70</f>
        <v>23.7737</v>
      </c>
      <c r="N70" s="32" t="n">
        <v>11</v>
      </c>
      <c r="O70" s="32" t="n">
        <v>9</v>
      </c>
      <c r="P70" s="33" t="n">
        <f aca="false">IF($C70=0,"",D70/$C70)</f>
        <v>0.157377049180328</v>
      </c>
      <c r="Q70" s="33" t="n">
        <f aca="false">IF($C70=0,"",E70/$C70)</f>
        <v>0.544262295081967</v>
      </c>
      <c r="R70" s="33" t="n">
        <f aca="false">IF($C70=0,"",F70/$C70)</f>
        <v>0.636065573770492</v>
      </c>
      <c r="S70" s="33" t="n">
        <f aca="false">IF($C70=0,"",G70/$C70)</f>
        <v>0.544262295081967</v>
      </c>
      <c r="T70" s="33" t="n">
        <f aca="false">IF($C70=0,"",H70/$C70)</f>
        <v>0.249180327868852</v>
      </c>
      <c r="U70" s="33" t="n">
        <f aca="false">IF($C70=0,"",I70/$C70)</f>
        <v>0.157377049180328</v>
      </c>
      <c r="V70" s="34" t="n">
        <f aca="false">IF($C70=0,"",K70/$C70)</f>
        <v>0.0911475409836066</v>
      </c>
      <c r="W70" s="34" t="n">
        <f aca="false">IF($C70=0,"",M70/$C70)</f>
        <v>0.0779465573770492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28</v>
      </c>
      <c r="D71" s="26" t="n">
        <v>7</v>
      </c>
      <c r="E71" s="26" t="n">
        <v>13</v>
      </c>
      <c r="F71" s="26" t="n">
        <v>19</v>
      </c>
      <c r="G71" s="26" t="n">
        <v>13</v>
      </c>
      <c r="H71" s="26" t="n">
        <v>7</v>
      </c>
      <c r="I71" s="26" t="n">
        <v>7</v>
      </c>
      <c r="J71" s="26" t="n">
        <v>0</v>
      </c>
      <c r="K71" s="27" t="n">
        <v>2.6</v>
      </c>
      <c r="L71" s="27" t="n">
        <v>0.2259</v>
      </c>
      <c r="M71" s="19" t="n">
        <f aca="false">K71-L71</f>
        <v>2.3741</v>
      </c>
      <c r="N71" s="26" t="n">
        <v>5</v>
      </c>
      <c r="O71" s="26" t="n">
        <v>5</v>
      </c>
      <c r="P71" s="28" t="n">
        <f aca="false">IF($C71=0,"",D71/$C71)</f>
        <v>0.25</v>
      </c>
      <c r="Q71" s="28" t="n">
        <f aca="false">IF($C71=0,"",E71/$C71)</f>
        <v>0.464285714285714</v>
      </c>
      <c r="R71" s="28" t="n">
        <f aca="false">IF($C71=0,"",F71/$C71)</f>
        <v>0.678571428571429</v>
      </c>
      <c r="S71" s="28" t="n">
        <f aca="false">IF($C71=0,"",G71/$C71)</f>
        <v>0.464285714285714</v>
      </c>
      <c r="T71" s="28" t="n">
        <f aca="false">IF($C71=0,"",H71/$C71)</f>
        <v>0.25</v>
      </c>
      <c r="U71" s="28" t="n">
        <f aca="false">IF($C71=0,"",I71/$C71)</f>
        <v>0.25</v>
      </c>
      <c r="V71" s="29" t="n">
        <f aca="false">IF($C71=0,"",K71/$C71)</f>
        <v>0.0928571428571429</v>
      </c>
      <c r="W71" s="29" t="n">
        <f aca="false">IF($C71=0,"",M71/$C71)</f>
        <v>0.0847892857142857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32</v>
      </c>
      <c r="D72" s="26" t="n">
        <v>4</v>
      </c>
      <c r="E72" s="26" t="n">
        <v>11</v>
      </c>
      <c r="F72" s="26" t="n">
        <v>14</v>
      </c>
      <c r="G72" s="26" t="n">
        <v>11</v>
      </c>
      <c r="H72" s="26" t="n">
        <v>6</v>
      </c>
      <c r="I72" s="26" t="n">
        <v>4</v>
      </c>
      <c r="J72" s="26" t="n">
        <v>0</v>
      </c>
      <c r="K72" s="27" t="n">
        <v>-8.8</v>
      </c>
      <c r="L72" s="27" t="n">
        <v>0.2038</v>
      </c>
      <c r="M72" s="19" t="n">
        <f aca="false">K72-L72</f>
        <v>-9.0038</v>
      </c>
      <c r="N72" s="26" t="n">
        <v>4</v>
      </c>
      <c r="O72" s="26" t="n">
        <v>4</v>
      </c>
      <c r="P72" s="28" t="n">
        <f aca="false">IF($C72=0,"",D72/$C72)</f>
        <v>0.125</v>
      </c>
      <c r="Q72" s="28" t="n">
        <f aca="false">IF($C72=0,"",E72/$C72)</f>
        <v>0.34375</v>
      </c>
      <c r="R72" s="28" t="n">
        <f aca="false">IF($C72=0,"",F72/$C72)</f>
        <v>0.4375</v>
      </c>
      <c r="S72" s="28" t="n">
        <f aca="false">IF($C72=0,"",G72/$C72)</f>
        <v>0.34375</v>
      </c>
      <c r="T72" s="28" t="n">
        <f aca="false">IF($C72=0,"",H72/$C72)</f>
        <v>0.1875</v>
      </c>
      <c r="U72" s="28" t="n">
        <f aca="false">IF($C72=0,"",I72/$C72)</f>
        <v>0.125</v>
      </c>
      <c r="V72" s="29" t="n">
        <f aca="false">IF($C72=0,"",K72/$C72)</f>
        <v>-0.275</v>
      </c>
      <c r="W72" s="29" t="n">
        <f aca="false">IF($C72=0,"",M72/$C72)</f>
        <v>-0.28136875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22</v>
      </c>
      <c r="D73" s="26" t="n">
        <v>6</v>
      </c>
      <c r="E73" s="26" t="n">
        <v>12</v>
      </c>
      <c r="F73" s="26" t="n">
        <v>16</v>
      </c>
      <c r="G73" s="26" t="n">
        <v>12</v>
      </c>
      <c r="H73" s="26" t="n">
        <v>7</v>
      </c>
      <c r="I73" s="26" t="n">
        <v>6</v>
      </c>
      <c r="J73" s="26" t="n">
        <v>0</v>
      </c>
      <c r="K73" s="27" t="n">
        <v>5.6</v>
      </c>
      <c r="L73" s="27" t="n">
        <v>0.1432</v>
      </c>
      <c r="M73" s="19" t="n">
        <f aca="false">K73-L73</f>
        <v>5.4568</v>
      </c>
      <c r="N73" s="26" t="n">
        <v>3</v>
      </c>
      <c r="O73" s="26" t="n">
        <v>5</v>
      </c>
      <c r="P73" s="28" t="n">
        <f aca="false">IF($C73=0,"",D73/$C73)</f>
        <v>0.272727272727273</v>
      </c>
      <c r="Q73" s="28" t="n">
        <f aca="false">IF($C73=0,"",E73/$C73)</f>
        <v>0.545454545454545</v>
      </c>
      <c r="R73" s="28" t="n">
        <f aca="false">IF($C73=0,"",F73/$C73)</f>
        <v>0.727272727272727</v>
      </c>
      <c r="S73" s="28" t="n">
        <f aca="false">IF($C73=0,"",G73/$C73)</f>
        <v>0.545454545454545</v>
      </c>
      <c r="T73" s="28" t="n">
        <f aca="false">IF($C73=0,"",H73/$C73)</f>
        <v>0.318181818181818</v>
      </c>
      <c r="U73" s="28" t="n">
        <f aca="false">IF($C73=0,"",I73/$C73)</f>
        <v>0.272727272727273</v>
      </c>
      <c r="V73" s="29" t="n">
        <f aca="false">IF($C73=0,"",K73/$C73)</f>
        <v>0.254545454545455</v>
      </c>
      <c r="W73" s="29" t="n">
        <f aca="false">IF($C73=0,"",M73/$C73)</f>
        <v>0.248036363636364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22</v>
      </c>
      <c r="D74" s="26" t="n">
        <v>4</v>
      </c>
      <c r="E74" s="26" t="n">
        <v>10</v>
      </c>
      <c r="F74" s="26" t="n">
        <v>14</v>
      </c>
      <c r="G74" s="26" t="n">
        <v>10</v>
      </c>
      <c r="H74" s="26" t="n">
        <v>6</v>
      </c>
      <c r="I74" s="26" t="n">
        <v>4</v>
      </c>
      <c r="J74" s="26" t="n">
        <v>0</v>
      </c>
      <c r="K74" s="27" t="n">
        <v>-0.4</v>
      </c>
      <c r="L74" s="27" t="n">
        <v>0.1921</v>
      </c>
      <c r="M74" s="19" t="n">
        <f aca="false">K74-L74</f>
        <v>-0.5921</v>
      </c>
      <c r="N74" s="26" t="n">
        <v>3</v>
      </c>
      <c r="O74" s="26" t="n">
        <v>3</v>
      </c>
      <c r="P74" s="28" t="n">
        <f aca="false">IF($C74=0,"",D74/$C74)</f>
        <v>0.181818181818182</v>
      </c>
      <c r="Q74" s="28" t="n">
        <f aca="false">IF($C74=0,"",E74/$C74)</f>
        <v>0.454545454545455</v>
      </c>
      <c r="R74" s="28" t="n">
        <f aca="false">IF($C74=0,"",F74/$C74)</f>
        <v>0.636363636363636</v>
      </c>
      <c r="S74" s="28" t="n">
        <f aca="false">IF($C74=0,"",G74/$C74)</f>
        <v>0.454545454545455</v>
      </c>
      <c r="T74" s="28" t="n">
        <f aca="false">IF($C74=0,"",H74/$C74)</f>
        <v>0.272727272727273</v>
      </c>
      <c r="U74" s="28" t="n">
        <f aca="false">IF($C74=0,"",I74/$C74)</f>
        <v>0.181818181818182</v>
      </c>
      <c r="V74" s="29" t="n">
        <f aca="false">IF($C74=0,"",K74/$C74)</f>
        <v>-0.0181818181818182</v>
      </c>
      <c r="W74" s="29" t="n">
        <f aca="false">IF($C74=0,"",M74/$C74)</f>
        <v>-0.0269136363636364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19</v>
      </c>
      <c r="D75" s="26" t="n">
        <v>3</v>
      </c>
      <c r="E75" s="26" t="n">
        <v>10</v>
      </c>
      <c r="F75" s="26" t="n">
        <v>12</v>
      </c>
      <c r="G75" s="26" t="n">
        <v>10</v>
      </c>
      <c r="H75" s="26" t="n">
        <v>5</v>
      </c>
      <c r="I75" s="26" t="n">
        <v>3</v>
      </c>
      <c r="J75" s="26" t="n">
        <v>0</v>
      </c>
      <c r="K75" s="27" t="n">
        <v>1.2</v>
      </c>
      <c r="L75" s="27" t="n">
        <v>0.1671</v>
      </c>
      <c r="M75" s="19" t="n">
        <f aca="false">K75-L75</f>
        <v>1.0329</v>
      </c>
      <c r="N75" s="26" t="n">
        <v>3</v>
      </c>
      <c r="O75" s="26" t="n">
        <v>2</v>
      </c>
      <c r="P75" s="28" t="n">
        <f aca="false">IF($C75=0,"",D75/$C75)</f>
        <v>0.157894736842105</v>
      </c>
      <c r="Q75" s="28" t="n">
        <f aca="false">IF($C75=0,"",E75/$C75)</f>
        <v>0.526315789473684</v>
      </c>
      <c r="R75" s="28" t="n">
        <f aca="false">IF($C75=0,"",F75/$C75)</f>
        <v>0.631578947368421</v>
      </c>
      <c r="S75" s="28" t="n">
        <f aca="false">IF($C75=0,"",G75/$C75)</f>
        <v>0.526315789473684</v>
      </c>
      <c r="T75" s="28" t="n">
        <f aca="false">IF($C75=0,"",H75/$C75)</f>
        <v>0.263157894736842</v>
      </c>
      <c r="U75" s="28" t="n">
        <f aca="false">IF($C75=0,"",I75/$C75)</f>
        <v>0.157894736842105</v>
      </c>
      <c r="V75" s="29" t="n">
        <f aca="false">IF($C75=0,"",K75/$C75)</f>
        <v>0.0631578947368421</v>
      </c>
      <c r="W75" s="29" t="n">
        <f aca="false">IF($C75=0,"",M75/$C75)</f>
        <v>0.0543631578947368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22</v>
      </c>
      <c r="D76" s="26" t="n">
        <v>3</v>
      </c>
      <c r="E76" s="26" t="n">
        <v>13</v>
      </c>
      <c r="F76" s="26" t="n">
        <v>15</v>
      </c>
      <c r="G76" s="26" t="n">
        <v>13</v>
      </c>
      <c r="H76" s="26" t="n">
        <v>5</v>
      </c>
      <c r="I76" s="26" t="n">
        <v>3</v>
      </c>
      <c r="J76" s="26" t="n">
        <v>0</v>
      </c>
      <c r="K76" s="27" t="n">
        <v>3</v>
      </c>
      <c r="L76" s="27" t="n">
        <v>0.2</v>
      </c>
      <c r="M76" s="19" t="n">
        <f aca="false">K76-L76</f>
        <v>2.8</v>
      </c>
      <c r="N76" s="26" t="n">
        <v>4</v>
      </c>
      <c r="O76" s="26" t="n">
        <v>3</v>
      </c>
      <c r="P76" s="28" t="n">
        <f aca="false">IF($C76=0,"",D76/$C76)</f>
        <v>0.136363636363636</v>
      </c>
      <c r="Q76" s="28" t="n">
        <f aca="false">IF($C76=0,"",E76/$C76)</f>
        <v>0.590909090909091</v>
      </c>
      <c r="R76" s="28" t="n">
        <f aca="false">IF($C76=0,"",F76/$C76)</f>
        <v>0.681818181818182</v>
      </c>
      <c r="S76" s="28" t="n">
        <f aca="false">IF($C76=0,"",G76/$C76)</f>
        <v>0.590909090909091</v>
      </c>
      <c r="T76" s="28" t="n">
        <f aca="false">IF($C76=0,"",H76/$C76)</f>
        <v>0.227272727272727</v>
      </c>
      <c r="U76" s="28" t="n">
        <f aca="false">IF($C76=0,"",I76/$C76)</f>
        <v>0.136363636363636</v>
      </c>
      <c r="V76" s="29" t="n">
        <f aca="false">IF($C76=0,"",K76/$C76)</f>
        <v>0.136363636363636</v>
      </c>
      <c r="W76" s="29" t="n">
        <f aca="false">IF($C76=0,"",M76/$C76)</f>
        <v>0.127272727272727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28</v>
      </c>
      <c r="D77" s="26" t="n">
        <v>2</v>
      </c>
      <c r="E77" s="26" t="n">
        <v>11</v>
      </c>
      <c r="F77" s="26" t="n">
        <v>19</v>
      </c>
      <c r="G77" s="26" t="n">
        <v>11</v>
      </c>
      <c r="H77" s="26" t="n">
        <v>4</v>
      </c>
      <c r="I77" s="26" t="n">
        <v>2</v>
      </c>
      <c r="J77" s="26" t="n">
        <v>0</v>
      </c>
      <c r="K77" s="27" t="n">
        <v>-7.6</v>
      </c>
      <c r="L77" s="27" t="n">
        <v>0.4251</v>
      </c>
      <c r="M77" s="19" t="n">
        <f aca="false">K77-L77</f>
        <v>-8.0251</v>
      </c>
      <c r="N77" s="26" t="n">
        <v>2</v>
      </c>
      <c r="O77" s="26" t="n">
        <v>3</v>
      </c>
      <c r="P77" s="28" t="n">
        <f aca="false">IF($C77=0,"",D77/$C77)</f>
        <v>0.0714285714285714</v>
      </c>
      <c r="Q77" s="28" t="n">
        <f aca="false">IF($C77=0,"",E77/$C77)</f>
        <v>0.392857142857143</v>
      </c>
      <c r="R77" s="28" t="n">
        <f aca="false">IF($C77=0,"",F77/$C77)</f>
        <v>0.678571428571429</v>
      </c>
      <c r="S77" s="28" t="n">
        <f aca="false">IF($C77=0,"",G77/$C77)</f>
        <v>0.392857142857143</v>
      </c>
      <c r="T77" s="28" t="n">
        <f aca="false">IF($C77=0,"",H77/$C77)</f>
        <v>0.142857142857143</v>
      </c>
      <c r="U77" s="28" t="n">
        <f aca="false">IF($C77=0,"",I77/$C77)</f>
        <v>0.0714285714285714</v>
      </c>
      <c r="V77" s="29" t="n">
        <f aca="false">IF($C77=0,"",K77/$C77)</f>
        <v>-0.271428571428571</v>
      </c>
      <c r="W77" s="29" t="n">
        <f aca="false">IF($C77=0,"",M77/$C77)</f>
        <v>-0.286610714285714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20</v>
      </c>
      <c r="D78" s="26" t="n">
        <v>5</v>
      </c>
      <c r="E78" s="26" t="n">
        <v>12</v>
      </c>
      <c r="F78" s="26" t="n">
        <v>12</v>
      </c>
      <c r="G78" s="26" t="n">
        <v>12</v>
      </c>
      <c r="H78" s="26" t="n">
        <v>7</v>
      </c>
      <c r="I78" s="26" t="n">
        <v>5</v>
      </c>
      <c r="J78" s="26" t="n">
        <v>0</v>
      </c>
      <c r="K78" s="27" t="n">
        <v>6.2</v>
      </c>
      <c r="L78" s="27" t="n">
        <v>0.1923</v>
      </c>
      <c r="M78" s="19" t="n">
        <f aca="false">K78-L78</f>
        <v>6.0077</v>
      </c>
      <c r="N78" s="26" t="n">
        <v>4</v>
      </c>
      <c r="O78" s="26" t="n">
        <v>2</v>
      </c>
      <c r="P78" s="28" t="n">
        <f aca="false">IF($C78=0,"",D78/$C78)</f>
        <v>0.25</v>
      </c>
      <c r="Q78" s="28" t="n">
        <f aca="false">IF($C78=0,"",E78/$C78)</f>
        <v>0.6</v>
      </c>
      <c r="R78" s="28" t="n">
        <f aca="false">IF($C78=0,"",F78/$C78)</f>
        <v>0.6</v>
      </c>
      <c r="S78" s="28" t="n">
        <f aca="false">IF($C78=0,"",G78/$C78)</f>
        <v>0.6</v>
      </c>
      <c r="T78" s="28" t="n">
        <f aca="false">IF($C78=0,"",H78/$C78)</f>
        <v>0.35</v>
      </c>
      <c r="U78" s="28" t="n">
        <f aca="false">IF($C78=0,"",I78/$C78)</f>
        <v>0.25</v>
      </c>
      <c r="V78" s="29" t="n">
        <f aca="false">IF($C78=0,"",K78/$C78)</f>
        <v>0.31</v>
      </c>
      <c r="W78" s="29" t="n">
        <f aca="false">IF($C78=0,"",M78/$C78)</f>
        <v>0.300385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23</v>
      </c>
      <c r="D79" s="26" t="n">
        <v>2</v>
      </c>
      <c r="E79" s="26" t="n">
        <v>14</v>
      </c>
      <c r="F79" s="26" t="n">
        <v>15</v>
      </c>
      <c r="G79" s="26" t="n">
        <v>14</v>
      </c>
      <c r="H79" s="26" t="n">
        <v>6</v>
      </c>
      <c r="I79" s="26" t="n">
        <v>2</v>
      </c>
      <c r="J79" s="26" t="n">
        <v>0</v>
      </c>
      <c r="K79" s="27" t="n">
        <v>2.2</v>
      </c>
      <c r="L79" s="27" t="n">
        <v>0.2373</v>
      </c>
      <c r="M79" s="19" t="n">
        <f aca="false">K79-L79</f>
        <v>1.9627</v>
      </c>
      <c r="N79" s="26" t="n">
        <v>5</v>
      </c>
      <c r="O79" s="26" t="n">
        <v>2</v>
      </c>
      <c r="P79" s="28" t="n">
        <f aca="false">IF($C79=0,"",D79/$C79)</f>
        <v>0.0869565217391304</v>
      </c>
      <c r="Q79" s="28" t="n">
        <f aca="false">IF($C79=0,"",E79/$C79)</f>
        <v>0.608695652173913</v>
      </c>
      <c r="R79" s="28" t="n">
        <f aca="false">IF($C79=0,"",F79/$C79)</f>
        <v>0.652173913043478</v>
      </c>
      <c r="S79" s="28" t="n">
        <f aca="false">IF($C79=0,"",G79/$C79)</f>
        <v>0.608695652173913</v>
      </c>
      <c r="T79" s="28" t="n">
        <f aca="false">IF($C79=0,"",H79/$C79)</f>
        <v>0.260869565217391</v>
      </c>
      <c r="U79" s="28" t="n">
        <f aca="false">IF($C79=0,"",I79/$C79)</f>
        <v>0.0869565217391304</v>
      </c>
      <c r="V79" s="29" t="n">
        <f aca="false">IF($C79=0,"",K79/$C79)</f>
        <v>0.0956521739130435</v>
      </c>
      <c r="W79" s="29" t="n">
        <f aca="false">IF($C79=0,"",M79/$C79)</f>
        <v>0.0853347826086957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1</v>
      </c>
      <c r="F80" s="26" t="n">
        <v>1</v>
      </c>
      <c r="G80" s="26" t="n">
        <v>1</v>
      </c>
      <c r="H80" s="26" t="n">
        <v>0</v>
      </c>
      <c r="I80" s="26" t="n">
        <v>0</v>
      </c>
      <c r="J80" s="26" t="n">
        <v>0</v>
      </c>
      <c r="K80" s="27" t="n">
        <v>-0.4</v>
      </c>
      <c r="L80" s="27" t="n">
        <v>0.019</v>
      </c>
      <c r="M80" s="19" t="n">
        <f aca="false">K80-L80</f>
        <v>-0.419</v>
      </c>
      <c r="N80" s="26" t="n">
        <v>1</v>
      </c>
      <c r="O80" s="26" t="n">
        <v>1</v>
      </c>
      <c r="P80" s="28" t="n">
        <f aca="false">IF($C80=0,"",D80/$C80)</f>
        <v>0</v>
      </c>
      <c r="Q80" s="28" t="n">
        <f aca="false">IF($C80=0,"",E80/$C80)</f>
        <v>0.5</v>
      </c>
      <c r="R80" s="28" t="n">
        <f aca="false">IF($C80=0,"",F80/$C80)</f>
        <v>0.5</v>
      </c>
      <c r="S80" s="28" t="n">
        <f aca="false">IF($C80=0,"",G80/$C80)</f>
        <v>0.5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-0.2</v>
      </c>
      <c r="W80" s="29" t="n">
        <f aca="false">IF($C80=0,"",M80/$C80)</f>
        <v>-0.2095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218</v>
      </c>
      <c r="D81" s="30" t="n">
        <f aca="false">SUM(D71:D80)</f>
        <v>36</v>
      </c>
      <c r="E81" s="30" t="n">
        <f aca="false">SUM(E71:E80)</f>
        <v>107</v>
      </c>
      <c r="F81" s="30" t="n">
        <f aca="false">SUM(F71:F80)</f>
        <v>137</v>
      </c>
      <c r="G81" s="30" t="n">
        <f aca="false">SUM(G71:G80)</f>
        <v>107</v>
      </c>
      <c r="H81" s="30" t="n">
        <f aca="false">SUM(H71:H80)</f>
        <v>53</v>
      </c>
      <c r="I81" s="30" t="n">
        <f aca="false">SUM(I71:I80)</f>
        <v>36</v>
      </c>
      <c r="J81" s="30" t="n">
        <f aca="false">SUM(J71:J80)</f>
        <v>0</v>
      </c>
      <c r="K81" s="31" t="n">
        <f aca="false">SUM(K71:K80)</f>
        <v>3.6</v>
      </c>
      <c r="L81" s="31" t="n">
        <f aca="false">SUM(L71:L80)</f>
        <v>2.0058</v>
      </c>
      <c r="M81" s="31" t="n">
        <f aca="false">K81-L81</f>
        <v>1.5942</v>
      </c>
      <c r="N81" s="32" t="n">
        <v>5</v>
      </c>
      <c r="O81" s="32" t="n">
        <v>8</v>
      </c>
      <c r="P81" s="33" t="n">
        <f aca="false">IF($C81=0,"",D81/$C81)</f>
        <v>0.165137614678899</v>
      </c>
      <c r="Q81" s="33" t="n">
        <f aca="false">IF($C81=0,"",E81/$C81)</f>
        <v>0.490825688073395</v>
      </c>
      <c r="R81" s="33" t="n">
        <f aca="false">IF($C81=0,"",F81/$C81)</f>
        <v>0.628440366972477</v>
      </c>
      <c r="S81" s="33" t="n">
        <f aca="false">IF($C81=0,"",G81/$C81)</f>
        <v>0.490825688073395</v>
      </c>
      <c r="T81" s="33" t="n">
        <f aca="false">IF($C81=0,"",H81/$C81)</f>
        <v>0.243119266055046</v>
      </c>
      <c r="U81" s="33" t="n">
        <f aca="false">IF($C81=0,"",I81/$C81)</f>
        <v>0.165137614678899</v>
      </c>
      <c r="V81" s="34" t="n">
        <f aca="false">IF($C81=0,"",K81/$C81)</f>
        <v>0.0165137614678899</v>
      </c>
      <c r="W81" s="34" t="n">
        <f aca="false">IF($C81=0,"",M81/$C81)</f>
        <v>0.00731284403669725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1692</v>
      </c>
      <c r="D82" s="5" t="n">
        <f aca="false">D18+D31+D44+D57+D70+D81</f>
        <v>293</v>
      </c>
      <c r="E82" s="5" t="n">
        <f aca="false">E18+E31+E44+E57+E70+E81</f>
        <v>886</v>
      </c>
      <c r="F82" s="5" t="n">
        <f aca="false">F18+F31+F44+F57+F70+F81</f>
        <v>1062</v>
      </c>
      <c r="G82" s="5" t="n">
        <f aca="false">G18+G31+G44+G57+G70+G81</f>
        <v>886</v>
      </c>
      <c r="H82" s="5" t="n">
        <f aca="false">H18+H31+H44+H57+H70+H81</f>
        <v>444</v>
      </c>
      <c r="I82" s="5" t="n">
        <f aca="false">I18+I31+I44+I57+I70+I81</f>
        <v>293</v>
      </c>
      <c r="J82" s="5" t="n">
        <f aca="false">J18+J31+J44+J57+J70+J81</f>
        <v>0</v>
      </c>
      <c r="K82" s="21" t="n">
        <f aca="false">K18+K31+K44+K57+K70+K81</f>
        <v>135.8</v>
      </c>
      <c r="L82" s="21" t="n">
        <f aca="false">L18+L31+L44+L57+L70+L81</f>
        <v>59.7127</v>
      </c>
      <c r="M82" s="21" t="n">
        <f aca="false">K82-L82</f>
        <v>76.0873</v>
      </c>
      <c r="N82" s="35" t="n">
        <v>11</v>
      </c>
      <c r="O82" s="35" t="n">
        <v>9</v>
      </c>
      <c r="P82" s="36" t="n">
        <f aca="false">IF($C82=0,"",D82/$C82)</f>
        <v>0.173167848699764</v>
      </c>
      <c r="Q82" s="36" t="n">
        <f aca="false">IF($C82=0,"",E82/$C82)</f>
        <v>0.523640661938534</v>
      </c>
      <c r="R82" s="36" t="n">
        <f aca="false">IF($C82=0,"",F82/$C82)</f>
        <v>0.627659574468085</v>
      </c>
      <c r="S82" s="36" t="n">
        <f aca="false">IF($C82=0,"",G82/$C82)</f>
        <v>0.523640661938534</v>
      </c>
      <c r="T82" s="36" t="n">
        <f aca="false">IF($C82=0,"",H82/$C82)</f>
        <v>0.262411347517731</v>
      </c>
      <c r="U82" s="36" t="n">
        <f aca="false">IF($C82=0,"",I82/$C82)</f>
        <v>0.173167848699764</v>
      </c>
      <c r="V82" s="37" t="n">
        <f aca="false">IF($C82=0,"",K82/$C82)</f>
        <v>0.0802600472813239</v>
      </c>
      <c r="W82" s="37" t="n">
        <f aca="false">IF($C82=0,"",M82/$C82)</f>
        <v>0.044968853427896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196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40</v>
      </c>
      <c r="D6" s="26" t="n">
        <v>16</v>
      </c>
      <c r="E6" s="26" t="n">
        <v>16</v>
      </c>
      <c r="F6" s="26" t="n">
        <v>27</v>
      </c>
      <c r="G6" s="26" t="n">
        <v>25</v>
      </c>
      <c r="H6" s="26" t="n">
        <v>19</v>
      </c>
      <c r="I6" s="26" t="n">
        <v>16</v>
      </c>
      <c r="J6" s="26" t="n">
        <v>0</v>
      </c>
      <c r="K6" s="27" t="n">
        <v>8</v>
      </c>
      <c r="L6" s="27" t="n">
        <v>2.325</v>
      </c>
      <c r="M6" s="19" t="n">
        <f aca="false">K6-L6</f>
        <v>5.675</v>
      </c>
      <c r="N6" s="26" t="n">
        <v>4</v>
      </c>
      <c r="O6" s="26" t="n">
        <v>6</v>
      </c>
      <c r="P6" s="28" t="n">
        <f aca="false">IF($C6=0,"",D6/$C6)</f>
        <v>0.4</v>
      </c>
      <c r="Q6" s="28" t="n">
        <f aca="false">IF($C6=0,"",E6/$C6)</f>
        <v>0.4</v>
      </c>
      <c r="R6" s="28" t="n">
        <f aca="false">IF($C6=0,"",F6/$C6)</f>
        <v>0.675</v>
      </c>
      <c r="S6" s="28" t="n">
        <f aca="false">IF($C6=0,"",G6/$C6)</f>
        <v>0.625</v>
      </c>
      <c r="T6" s="28" t="n">
        <f aca="false">IF($C6=0,"",H6/$C6)</f>
        <v>0.475</v>
      </c>
      <c r="U6" s="28" t="n">
        <f aca="false">IF($C6=0,"",I6/$C6)</f>
        <v>0.4</v>
      </c>
      <c r="V6" s="29" t="n">
        <f aca="false">IF($C6=0,"",K6/$C6)</f>
        <v>0.2</v>
      </c>
      <c r="W6" s="29" t="n">
        <f aca="false">IF($C6=0,"",M6/$C6)</f>
        <v>0.141875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40</v>
      </c>
      <c r="D7" s="26" t="n">
        <v>13</v>
      </c>
      <c r="E7" s="26" t="n">
        <v>13</v>
      </c>
      <c r="F7" s="26" t="n">
        <v>21</v>
      </c>
      <c r="G7" s="26" t="n">
        <v>21</v>
      </c>
      <c r="H7" s="26" t="n">
        <v>16</v>
      </c>
      <c r="I7" s="26" t="n">
        <v>13</v>
      </c>
      <c r="J7" s="26" t="n">
        <v>0</v>
      </c>
      <c r="K7" s="27" t="n">
        <v>-1</v>
      </c>
      <c r="L7" s="27" t="n">
        <v>2.2849</v>
      </c>
      <c r="M7" s="19" t="n">
        <f aca="false">K7-L7</f>
        <v>-3.2849</v>
      </c>
      <c r="N7" s="26" t="n">
        <v>3</v>
      </c>
      <c r="O7" s="26" t="n">
        <v>5</v>
      </c>
      <c r="P7" s="28" t="n">
        <f aca="false">IF($C7=0,"",D7/$C7)</f>
        <v>0.325</v>
      </c>
      <c r="Q7" s="28" t="n">
        <f aca="false">IF($C7=0,"",E7/$C7)</f>
        <v>0.325</v>
      </c>
      <c r="R7" s="28" t="n">
        <f aca="false">IF($C7=0,"",F7/$C7)</f>
        <v>0.525</v>
      </c>
      <c r="S7" s="28" t="n">
        <f aca="false">IF($C7=0,"",G7/$C7)</f>
        <v>0.525</v>
      </c>
      <c r="T7" s="28" t="n">
        <f aca="false">IF($C7=0,"",H7/$C7)</f>
        <v>0.4</v>
      </c>
      <c r="U7" s="28" t="n">
        <f aca="false">IF($C7=0,"",I7/$C7)</f>
        <v>0.325</v>
      </c>
      <c r="V7" s="29" t="n">
        <f aca="false">IF($C7=0,"",K7/$C7)</f>
        <v>-0.025</v>
      </c>
      <c r="W7" s="29" t="n">
        <f aca="false">IF($C7=0,"",M7/$C7)</f>
        <v>-0.0821225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56</v>
      </c>
      <c r="D8" s="26" t="n">
        <v>19</v>
      </c>
      <c r="E8" s="26" t="n">
        <v>19</v>
      </c>
      <c r="F8" s="26" t="n">
        <v>35</v>
      </c>
      <c r="G8" s="26" t="n">
        <v>31</v>
      </c>
      <c r="H8" s="26" t="n">
        <v>23</v>
      </c>
      <c r="I8" s="26" t="n">
        <v>19</v>
      </c>
      <c r="J8" s="26" t="n">
        <v>0</v>
      </c>
      <c r="K8" s="27" t="n">
        <v>1</v>
      </c>
      <c r="L8" s="27" t="n">
        <v>3.286</v>
      </c>
      <c r="M8" s="19" t="n">
        <f aca="false">K8-L8</f>
        <v>-2.286</v>
      </c>
      <c r="N8" s="26" t="n">
        <v>4</v>
      </c>
      <c r="O8" s="26" t="n">
        <v>8</v>
      </c>
      <c r="P8" s="28" t="n">
        <f aca="false">IF($C8=0,"",D8/$C8)</f>
        <v>0.339285714285714</v>
      </c>
      <c r="Q8" s="28" t="n">
        <f aca="false">IF($C8=0,"",E8/$C8)</f>
        <v>0.339285714285714</v>
      </c>
      <c r="R8" s="28" t="n">
        <f aca="false">IF($C8=0,"",F8/$C8)</f>
        <v>0.625</v>
      </c>
      <c r="S8" s="28" t="n">
        <f aca="false">IF($C8=0,"",G8/$C8)</f>
        <v>0.553571428571429</v>
      </c>
      <c r="T8" s="28" t="n">
        <f aca="false">IF($C8=0,"",H8/$C8)</f>
        <v>0.410714285714286</v>
      </c>
      <c r="U8" s="28" t="n">
        <f aca="false">IF($C8=0,"",I8/$C8)</f>
        <v>0.339285714285714</v>
      </c>
      <c r="V8" s="29" t="n">
        <f aca="false">IF($C8=0,"",K8/$C8)</f>
        <v>0.0178571428571429</v>
      </c>
      <c r="W8" s="29" t="n">
        <f aca="false">IF($C8=0,"",M8/$C8)</f>
        <v>-0.0408214285714286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48</v>
      </c>
      <c r="D9" s="26" t="n">
        <v>17</v>
      </c>
      <c r="E9" s="26" t="n">
        <v>17</v>
      </c>
      <c r="F9" s="26" t="n">
        <v>30</v>
      </c>
      <c r="G9" s="26" t="n">
        <v>23</v>
      </c>
      <c r="H9" s="26" t="n">
        <v>19</v>
      </c>
      <c r="I9" s="26" t="n">
        <v>17</v>
      </c>
      <c r="J9" s="26" t="n">
        <v>0</v>
      </c>
      <c r="K9" s="27" t="n">
        <v>3</v>
      </c>
      <c r="L9" s="27" t="n">
        <v>3.8809</v>
      </c>
      <c r="M9" s="19" t="n">
        <f aca="false">K9-L9</f>
        <v>-0.8809</v>
      </c>
      <c r="N9" s="26" t="n">
        <v>3</v>
      </c>
      <c r="O9" s="26" t="n">
        <v>8</v>
      </c>
      <c r="P9" s="28" t="n">
        <f aca="false">IF($C9=0,"",D9/$C9)</f>
        <v>0.354166666666667</v>
      </c>
      <c r="Q9" s="28" t="n">
        <f aca="false">IF($C9=0,"",E9/$C9)</f>
        <v>0.354166666666667</v>
      </c>
      <c r="R9" s="28" t="n">
        <f aca="false">IF($C9=0,"",F9/$C9)</f>
        <v>0.625</v>
      </c>
      <c r="S9" s="28" t="n">
        <f aca="false">IF($C9=0,"",G9/$C9)</f>
        <v>0.479166666666667</v>
      </c>
      <c r="T9" s="28" t="n">
        <f aca="false">IF($C9=0,"",H9/$C9)</f>
        <v>0.395833333333333</v>
      </c>
      <c r="U9" s="28" t="n">
        <f aca="false">IF($C9=0,"",I9/$C9)</f>
        <v>0.354166666666667</v>
      </c>
      <c r="V9" s="29" t="n">
        <f aca="false">IF($C9=0,"",K9/$C9)</f>
        <v>0.0625</v>
      </c>
      <c r="W9" s="29" t="n">
        <f aca="false">IF($C9=0,"",M9/$C9)</f>
        <v>-0.0183520833333333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47</v>
      </c>
      <c r="D10" s="26" t="n">
        <v>17</v>
      </c>
      <c r="E10" s="26" t="n">
        <v>17</v>
      </c>
      <c r="F10" s="26" t="n">
        <v>31</v>
      </c>
      <c r="G10" s="26" t="n">
        <v>27</v>
      </c>
      <c r="H10" s="26" t="n">
        <v>24</v>
      </c>
      <c r="I10" s="26" t="n">
        <v>17</v>
      </c>
      <c r="J10" s="26" t="n">
        <v>0</v>
      </c>
      <c r="K10" s="27" t="n">
        <v>4</v>
      </c>
      <c r="L10" s="27" t="n">
        <v>3.6621</v>
      </c>
      <c r="M10" s="19" t="n">
        <f aca="false">K10-L10</f>
        <v>0.3379</v>
      </c>
      <c r="N10" s="26" t="n">
        <v>4</v>
      </c>
      <c r="O10" s="26" t="n">
        <v>7</v>
      </c>
      <c r="P10" s="28" t="n">
        <f aca="false">IF($C10=0,"",D10/$C10)</f>
        <v>0.361702127659575</v>
      </c>
      <c r="Q10" s="28" t="n">
        <f aca="false">IF($C10=0,"",E10/$C10)</f>
        <v>0.361702127659575</v>
      </c>
      <c r="R10" s="28" t="n">
        <f aca="false">IF($C10=0,"",F10/$C10)</f>
        <v>0.659574468085106</v>
      </c>
      <c r="S10" s="28" t="n">
        <f aca="false">IF($C10=0,"",G10/$C10)</f>
        <v>0.574468085106383</v>
      </c>
      <c r="T10" s="28" t="n">
        <f aca="false">IF($C10=0,"",H10/$C10)</f>
        <v>0.51063829787234</v>
      </c>
      <c r="U10" s="28" t="n">
        <f aca="false">IF($C10=0,"",I10/$C10)</f>
        <v>0.361702127659575</v>
      </c>
      <c r="V10" s="29" t="n">
        <f aca="false">IF($C10=0,"",K10/$C10)</f>
        <v>0.0851063829787234</v>
      </c>
      <c r="W10" s="29" t="n">
        <f aca="false">IF($C10=0,"",M10/$C10)</f>
        <v>0.00718936170212766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47</v>
      </c>
      <c r="D11" s="26" t="n">
        <v>18</v>
      </c>
      <c r="E11" s="26" t="n">
        <v>18</v>
      </c>
      <c r="F11" s="26" t="n">
        <v>30</v>
      </c>
      <c r="G11" s="26" t="n">
        <v>27</v>
      </c>
      <c r="H11" s="26" t="n">
        <v>22</v>
      </c>
      <c r="I11" s="26" t="n">
        <v>18</v>
      </c>
      <c r="J11" s="26" t="n">
        <v>0</v>
      </c>
      <c r="K11" s="27" t="n">
        <v>7</v>
      </c>
      <c r="L11" s="27" t="n">
        <v>3.6017</v>
      </c>
      <c r="M11" s="19" t="n">
        <f aca="false">K11-L11</f>
        <v>3.3983</v>
      </c>
      <c r="N11" s="26" t="n">
        <v>5</v>
      </c>
      <c r="O11" s="26" t="n">
        <v>5</v>
      </c>
      <c r="P11" s="28" t="n">
        <f aca="false">IF($C11=0,"",D11/$C11)</f>
        <v>0.382978723404255</v>
      </c>
      <c r="Q11" s="28" t="n">
        <f aca="false">IF($C11=0,"",E11/$C11)</f>
        <v>0.382978723404255</v>
      </c>
      <c r="R11" s="28" t="n">
        <f aca="false">IF($C11=0,"",F11/$C11)</f>
        <v>0.638297872340426</v>
      </c>
      <c r="S11" s="28" t="n">
        <f aca="false">IF($C11=0,"",G11/$C11)</f>
        <v>0.574468085106383</v>
      </c>
      <c r="T11" s="28" t="n">
        <f aca="false">IF($C11=0,"",H11/$C11)</f>
        <v>0.468085106382979</v>
      </c>
      <c r="U11" s="28" t="n">
        <f aca="false">IF($C11=0,"",I11/$C11)</f>
        <v>0.382978723404255</v>
      </c>
      <c r="V11" s="29" t="n">
        <f aca="false">IF($C11=0,"",K11/$C11)</f>
        <v>0.148936170212766</v>
      </c>
      <c r="W11" s="29" t="n">
        <f aca="false">IF($C11=0,"",M11/$C11)</f>
        <v>0.0723042553191489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46</v>
      </c>
      <c r="D12" s="26" t="n">
        <v>13</v>
      </c>
      <c r="E12" s="26" t="n">
        <v>13</v>
      </c>
      <c r="F12" s="26" t="n">
        <v>26</v>
      </c>
      <c r="G12" s="26" t="n">
        <v>19</v>
      </c>
      <c r="H12" s="26" t="n">
        <v>15</v>
      </c>
      <c r="I12" s="26" t="n">
        <v>13</v>
      </c>
      <c r="J12" s="26" t="n">
        <v>0</v>
      </c>
      <c r="K12" s="27" t="n">
        <v>-7</v>
      </c>
      <c r="L12" s="27" t="n">
        <v>4.0121</v>
      </c>
      <c r="M12" s="19" t="n">
        <f aca="false">K12-L12</f>
        <v>-11.0121</v>
      </c>
      <c r="N12" s="26" t="n">
        <v>2</v>
      </c>
      <c r="O12" s="26" t="n">
        <v>7</v>
      </c>
      <c r="P12" s="28" t="n">
        <f aca="false">IF($C12=0,"",D12/$C12)</f>
        <v>0.282608695652174</v>
      </c>
      <c r="Q12" s="28" t="n">
        <f aca="false">IF($C12=0,"",E12/$C12)</f>
        <v>0.282608695652174</v>
      </c>
      <c r="R12" s="28" t="n">
        <f aca="false">IF($C12=0,"",F12/$C12)</f>
        <v>0.565217391304348</v>
      </c>
      <c r="S12" s="28" t="n">
        <f aca="false">IF($C12=0,"",G12/$C12)</f>
        <v>0.41304347826087</v>
      </c>
      <c r="T12" s="28" t="n">
        <f aca="false">IF($C12=0,"",H12/$C12)</f>
        <v>0.326086956521739</v>
      </c>
      <c r="U12" s="28" t="n">
        <f aca="false">IF($C12=0,"",I12/$C12)</f>
        <v>0.282608695652174</v>
      </c>
      <c r="V12" s="29" t="n">
        <f aca="false">IF($C12=0,"",K12/$C12)</f>
        <v>-0.152173913043478</v>
      </c>
      <c r="W12" s="29" t="n">
        <f aca="false">IF($C12=0,"",M12/$C12)</f>
        <v>-0.23939347826087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46</v>
      </c>
      <c r="D13" s="26" t="n">
        <v>13</v>
      </c>
      <c r="E13" s="26" t="n">
        <v>13</v>
      </c>
      <c r="F13" s="26" t="n">
        <v>31</v>
      </c>
      <c r="G13" s="26" t="n">
        <v>24</v>
      </c>
      <c r="H13" s="26" t="n">
        <v>19</v>
      </c>
      <c r="I13" s="26" t="n">
        <v>13</v>
      </c>
      <c r="J13" s="26" t="n">
        <v>0</v>
      </c>
      <c r="K13" s="27" t="n">
        <v>-7</v>
      </c>
      <c r="L13" s="27" t="n">
        <v>4.1605</v>
      </c>
      <c r="M13" s="19" t="n">
        <f aca="false">K13-L13</f>
        <v>-11.1605</v>
      </c>
      <c r="N13" s="26" t="n">
        <v>2</v>
      </c>
      <c r="O13" s="26" t="n">
        <v>12</v>
      </c>
      <c r="P13" s="28" t="n">
        <f aca="false">IF($C13=0,"",D13/$C13)</f>
        <v>0.282608695652174</v>
      </c>
      <c r="Q13" s="28" t="n">
        <f aca="false">IF($C13=0,"",E13/$C13)</f>
        <v>0.282608695652174</v>
      </c>
      <c r="R13" s="28" t="n">
        <f aca="false">IF($C13=0,"",F13/$C13)</f>
        <v>0.673913043478261</v>
      </c>
      <c r="S13" s="28" t="n">
        <f aca="false">IF($C13=0,"",G13/$C13)</f>
        <v>0.521739130434783</v>
      </c>
      <c r="T13" s="28" t="n">
        <f aca="false">IF($C13=0,"",H13/$C13)</f>
        <v>0.41304347826087</v>
      </c>
      <c r="U13" s="28" t="n">
        <f aca="false">IF($C13=0,"",I13/$C13)</f>
        <v>0.282608695652174</v>
      </c>
      <c r="V13" s="29" t="n">
        <f aca="false">IF($C13=0,"",K13/$C13)</f>
        <v>-0.152173913043478</v>
      </c>
      <c r="W13" s="29" t="n">
        <f aca="false">IF($C13=0,"",M13/$C13)</f>
        <v>-0.242619565217391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46</v>
      </c>
      <c r="D14" s="26" t="n">
        <v>18</v>
      </c>
      <c r="E14" s="26" t="n">
        <v>18</v>
      </c>
      <c r="F14" s="26" t="n">
        <v>29</v>
      </c>
      <c r="G14" s="26" t="n">
        <v>25</v>
      </c>
      <c r="H14" s="26" t="n">
        <v>20</v>
      </c>
      <c r="I14" s="26" t="n">
        <v>18</v>
      </c>
      <c r="J14" s="26" t="n">
        <v>0</v>
      </c>
      <c r="K14" s="27" t="n">
        <v>8</v>
      </c>
      <c r="L14" s="27" t="n">
        <v>3.9477</v>
      </c>
      <c r="M14" s="19" t="n">
        <f aca="false">K14-L14</f>
        <v>4.0523</v>
      </c>
      <c r="N14" s="26" t="n">
        <v>3</v>
      </c>
      <c r="O14" s="26" t="n">
        <v>5</v>
      </c>
      <c r="P14" s="28" t="n">
        <f aca="false">IF($C14=0,"",D14/$C14)</f>
        <v>0.391304347826087</v>
      </c>
      <c r="Q14" s="28" t="n">
        <f aca="false">IF($C14=0,"",E14/$C14)</f>
        <v>0.391304347826087</v>
      </c>
      <c r="R14" s="28" t="n">
        <f aca="false">IF($C14=0,"",F14/$C14)</f>
        <v>0.630434782608696</v>
      </c>
      <c r="S14" s="28" t="n">
        <f aca="false">IF($C14=0,"",G14/$C14)</f>
        <v>0.543478260869565</v>
      </c>
      <c r="T14" s="28" t="n">
        <f aca="false">IF($C14=0,"",H14/$C14)</f>
        <v>0.434782608695652</v>
      </c>
      <c r="U14" s="28" t="n">
        <f aca="false">IF($C14=0,"",I14/$C14)</f>
        <v>0.391304347826087</v>
      </c>
      <c r="V14" s="29" t="n">
        <f aca="false">IF($C14=0,"",K14/$C14)</f>
        <v>0.173913043478261</v>
      </c>
      <c r="W14" s="29" t="n">
        <f aca="false">IF($C14=0,"",M14/$C14)</f>
        <v>0.0880934782608696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48</v>
      </c>
      <c r="D15" s="26" t="n">
        <v>14</v>
      </c>
      <c r="E15" s="26" t="n">
        <v>14</v>
      </c>
      <c r="F15" s="26" t="n">
        <v>28</v>
      </c>
      <c r="G15" s="26" t="n">
        <v>22</v>
      </c>
      <c r="H15" s="26" t="n">
        <v>18</v>
      </c>
      <c r="I15" s="26" t="n">
        <v>14</v>
      </c>
      <c r="J15" s="26" t="n">
        <v>0</v>
      </c>
      <c r="K15" s="27" t="n">
        <v>-6</v>
      </c>
      <c r="L15" s="27" t="n">
        <v>4.2351</v>
      </c>
      <c r="M15" s="19" t="n">
        <f aca="false">K15-L15</f>
        <v>-10.2351</v>
      </c>
      <c r="N15" s="26" t="n">
        <v>2</v>
      </c>
      <c r="O15" s="26" t="n">
        <v>5</v>
      </c>
      <c r="P15" s="28" t="n">
        <f aca="false">IF($C15=0,"",D15/$C15)</f>
        <v>0.291666666666667</v>
      </c>
      <c r="Q15" s="28" t="n">
        <f aca="false">IF($C15=0,"",E15/$C15)</f>
        <v>0.291666666666667</v>
      </c>
      <c r="R15" s="28" t="n">
        <f aca="false">IF($C15=0,"",F15/$C15)</f>
        <v>0.583333333333333</v>
      </c>
      <c r="S15" s="28" t="n">
        <f aca="false">IF($C15=0,"",G15/$C15)</f>
        <v>0.458333333333333</v>
      </c>
      <c r="T15" s="28" t="n">
        <f aca="false">IF($C15=0,"",H15/$C15)</f>
        <v>0.375</v>
      </c>
      <c r="U15" s="28" t="n">
        <f aca="false">IF($C15=0,"",I15/$C15)</f>
        <v>0.291666666666667</v>
      </c>
      <c r="V15" s="29" t="n">
        <f aca="false">IF($C15=0,"",K15/$C15)</f>
        <v>-0.125</v>
      </c>
      <c r="W15" s="29" t="n">
        <f aca="false">IF($C15=0,"",M15/$C15)</f>
        <v>-0.21323125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42</v>
      </c>
      <c r="D16" s="26" t="n">
        <v>16</v>
      </c>
      <c r="E16" s="26" t="n">
        <v>16</v>
      </c>
      <c r="F16" s="26" t="n">
        <v>23</v>
      </c>
      <c r="G16" s="26" t="n">
        <v>21</v>
      </c>
      <c r="H16" s="26" t="n">
        <v>17</v>
      </c>
      <c r="I16" s="26" t="n">
        <v>16</v>
      </c>
      <c r="J16" s="26" t="n">
        <v>0</v>
      </c>
      <c r="K16" s="27" t="n">
        <v>6</v>
      </c>
      <c r="L16" s="27" t="n">
        <v>2.9677</v>
      </c>
      <c r="M16" s="19" t="n">
        <f aca="false">K16-L16</f>
        <v>3.0323</v>
      </c>
      <c r="N16" s="26" t="n">
        <v>6</v>
      </c>
      <c r="O16" s="26" t="n">
        <v>6</v>
      </c>
      <c r="P16" s="28" t="n">
        <f aca="false">IF($C16=0,"",D16/$C16)</f>
        <v>0.380952380952381</v>
      </c>
      <c r="Q16" s="28" t="n">
        <f aca="false">IF($C16=0,"",E16/$C16)</f>
        <v>0.380952380952381</v>
      </c>
      <c r="R16" s="28" t="n">
        <f aca="false">IF($C16=0,"",F16/$C16)</f>
        <v>0.547619047619048</v>
      </c>
      <c r="S16" s="28" t="n">
        <f aca="false">IF($C16=0,"",G16/$C16)</f>
        <v>0.5</v>
      </c>
      <c r="T16" s="28" t="n">
        <f aca="false">IF($C16=0,"",H16/$C16)</f>
        <v>0.404761904761905</v>
      </c>
      <c r="U16" s="28" t="n">
        <f aca="false">IF($C16=0,"",I16/$C16)</f>
        <v>0.380952380952381</v>
      </c>
      <c r="V16" s="29" t="n">
        <f aca="false">IF($C16=0,"",K16/$C16)</f>
        <v>0.142857142857143</v>
      </c>
      <c r="W16" s="29" t="n">
        <f aca="false">IF($C16=0,"",M16/$C16)</f>
        <v>0.0721976190476191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46</v>
      </c>
      <c r="D17" s="26" t="n">
        <v>14</v>
      </c>
      <c r="E17" s="26" t="n">
        <v>14</v>
      </c>
      <c r="F17" s="26" t="n">
        <v>26</v>
      </c>
      <c r="G17" s="26" t="n">
        <v>21</v>
      </c>
      <c r="H17" s="26" t="n">
        <v>17</v>
      </c>
      <c r="I17" s="26" t="n">
        <v>14</v>
      </c>
      <c r="J17" s="26" t="n">
        <v>0</v>
      </c>
      <c r="K17" s="27" t="n">
        <v>-4</v>
      </c>
      <c r="L17" s="27" t="n">
        <v>4.4253</v>
      </c>
      <c r="M17" s="19" t="n">
        <f aca="false">K17-L17</f>
        <v>-8.4253</v>
      </c>
      <c r="N17" s="26" t="n">
        <v>4</v>
      </c>
      <c r="O17" s="26" t="n">
        <v>12</v>
      </c>
      <c r="P17" s="28" t="n">
        <f aca="false">IF($C17=0,"",D17/$C17)</f>
        <v>0.304347826086957</v>
      </c>
      <c r="Q17" s="28" t="n">
        <f aca="false">IF($C17=0,"",E17/$C17)</f>
        <v>0.304347826086957</v>
      </c>
      <c r="R17" s="28" t="n">
        <f aca="false">IF($C17=0,"",F17/$C17)</f>
        <v>0.565217391304348</v>
      </c>
      <c r="S17" s="28" t="n">
        <f aca="false">IF($C17=0,"",G17/$C17)</f>
        <v>0.456521739130435</v>
      </c>
      <c r="T17" s="28" t="n">
        <f aca="false">IF($C17=0,"",H17/$C17)</f>
        <v>0.369565217391304</v>
      </c>
      <c r="U17" s="28" t="n">
        <f aca="false">IF($C17=0,"",I17/$C17)</f>
        <v>0.304347826086957</v>
      </c>
      <c r="V17" s="29" t="n">
        <f aca="false">IF($C17=0,"",K17/$C17)</f>
        <v>-0.0869565217391304</v>
      </c>
      <c r="W17" s="29" t="n">
        <f aca="false">IF($C17=0,"",M17/$C17)</f>
        <v>-0.183158695652174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552</v>
      </c>
      <c r="D18" s="30" t="n">
        <f aca="false">SUM(D6:D17)</f>
        <v>188</v>
      </c>
      <c r="E18" s="30" t="n">
        <f aca="false">SUM(E6:E17)</f>
        <v>188</v>
      </c>
      <c r="F18" s="30" t="n">
        <f aca="false">SUM(F6:F17)</f>
        <v>337</v>
      </c>
      <c r="G18" s="30" t="n">
        <f aca="false">SUM(G6:G17)</f>
        <v>286</v>
      </c>
      <c r="H18" s="30" t="n">
        <f aca="false">SUM(H6:H17)</f>
        <v>229</v>
      </c>
      <c r="I18" s="30" t="n">
        <f aca="false">SUM(I6:I17)</f>
        <v>188</v>
      </c>
      <c r="J18" s="30" t="n">
        <f aca="false">SUM(J6:J17)</f>
        <v>0</v>
      </c>
      <c r="K18" s="31" t="n">
        <f aca="false">SUM(K6:K17)</f>
        <v>12</v>
      </c>
      <c r="L18" s="31" t="n">
        <f aca="false">SUM(L6:L17)</f>
        <v>42.789</v>
      </c>
      <c r="M18" s="31" t="n">
        <f aca="false">K18-L18</f>
        <v>-30.789</v>
      </c>
      <c r="N18" s="32" t="n">
        <v>6</v>
      </c>
      <c r="O18" s="32" t="n">
        <v>12</v>
      </c>
      <c r="P18" s="33" t="n">
        <f aca="false">IF($C18=0,"",D18/$C18)</f>
        <v>0.340579710144928</v>
      </c>
      <c r="Q18" s="33" t="n">
        <f aca="false">IF($C18=0,"",E18/$C18)</f>
        <v>0.340579710144928</v>
      </c>
      <c r="R18" s="33" t="n">
        <f aca="false">IF($C18=0,"",F18/$C18)</f>
        <v>0.610507246376812</v>
      </c>
      <c r="S18" s="33" t="n">
        <f aca="false">IF($C18=0,"",G18/$C18)</f>
        <v>0.518115942028986</v>
      </c>
      <c r="T18" s="33" t="n">
        <f aca="false">IF($C18=0,"",H18/$C18)</f>
        <v>0.414855072463768</v>
      </c>
      <c r="U18" s="33" t="n">
        <f aca="false">IF($C18=0,"",I18/$C18)</f>
        <v>0.340579710144928</v>
      </c>
      <c r="V18" s="34" t="n">
        <f aca="false">IF($C18=0,"",K18/$C18)</f>
        <v>0.0217391304347826</v>
      </c>
      <c r="W18" s="34" t="n">
        <f aca="false">IF($C18=0,"",M18/$C18)</f>
        <v>-0.0557771739130435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39</v>
      </c>
      <c r="D19" s="26" t="n">
        <v>11</v>
      </c>
      <c r="E19" s="26" t="n">
        <v>11</v>
      </c>
      <c r="F19" s="26" t="n">
        <v>25</v>
      </c>
      <c r="G19" s="26" t="n">
        <v>20</v>
      </c>
      <c r="H19" s="26" t="n">
        <v>15</v>
      </c>
      <c r="I19" s="26" t="n">
        <v>11</v>
      </c>
      <c r="J19" s="26" t="n">
        <v>0</v>
      </c>
      <c r="K19" s="27" t="n">
        <v>-6</v>
      </c>
      <c r="L19" s="27" t="n">
        <v>3.7137</v>
      </c>
      <c r="M19" s="19" t="n">
        <f aca="false">K19-L19</f>
        <v>-9.7137</v>
      </c>
      <c r="N19" s="26" t="n">
        <v>2</v>
      </c>
      <c r="O19" s="26" t="n">
        <v>8</v>
      </c>
      <c r="P19" s="28" t="n">
        <f aca="false">IF($C19=0,"",D19/$C19)</f>
        <v>0.282051282051282</v>
      </c>
      <c r="Q19" s="28" t="n">
        <f aca="false">IF($C19=0,"",E19/$C19)</f>
        <v>0.282051282051282</v>
      </c>
      <c r="R19" s="28" t="n">
        <f aca="false">IF($C19=0,"",F19/$C19)</f>
        <v>0.641025641025641</v>
      </c>
      <c r="S19" s="28" t="n">
        <f aca="false">IF($C19=0,"",G19/$C19)</f>
        <v>0.512820512820513</v>
      </c>
      <c r="T19" s="28" t="n">
        <f aca="false">IF($C19=0,"",H19/$C19)</f>
        <v>0.384615384615385</v>
      </c>
      <c r="U19" s="28" t="n">
        <f aca="false">IF($C19=0,"",I19/$C19)</f>
        <v>0.282051282051282</v>
      </c>
      <c r="V19" s="29" t="n">
        <f aca="false">IF($C19=0,"",K19/$C19)</f>
        <v>-0.153846153846154</v>
      </c>
      <c r="W19" s="29" t="n">
        <f aca="false">IF($C19=0,"",M19/$C19)</f>
        <v>-0.249069230769231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39</v>
      </c>
      <c r="D20" s="26" t="n">
        <v>12</v>
      </c>
      <c r="E20" s="26" t="n">
        <v>12</v>
      </c>
      <c r="F20" s="26" t="n">
        <v>23</v>
      </c>
      <c r="G20" s="26" t="n">
        <v>17</v>
      </c>
      <c r="H20" s="26" t="n">
        <v>13</v>
      </c>
      <c r="I20" s="26" t="n">
        <v>12</v>
      </c>
      <c r="J20" s="26" t="n">
        <v>0</v>
      </c>
      <c r="K20" s="27" t="n">
        <v>-3</v>
      </c>
      <c r="L20" s="27" t="n">
        <v>2.6437</v>
      </c>
      <c r="M20" s="19" t="n">
        <f aca="false">K20-L20</f>
        <v>-5.6437</v>
      </c>
      <c r="N20" s="26" t="n">
        <v>3</v>
      </c>
      <c r="O20" s="26" t="n">
        <v>5</v>
      </c>
      <c r="P20" s="28" t="n">
        <f aca="false">IF($C20=0,"",D20/$C20)</f>
        <v>0.307692307692308</v>
      </c>
      <c r="Q20" s="28" t="n">
        <f aca="false">IF($C20=0,"",E20/$C20)</f>
        <v>0.307692307692308</v>
      </c>
      <c r="R20" s="28" t="n">
        <f aca="false">IF($C20=0,"",F20/$C20)</f>
        <v>0.58974358974359</v>
      </c>
      <c r="S20" s="28" t="n">
        <f aca="false">IF($C20=0,"",G20/$C20)</f>
        <v>0.435897435897436</v>
      </c>
      <c r="T20" s="28" t="n">
        <f aca="false">IF($C20=0,"",H20/$C20)</f>
        <v>0.333333333333333</v>
      </c>
      <c r="U20" s="28" t="n">
        <f aca="false">IF($C20=0,"",I20/$C20)</f>
        <v>0.307692307692308</v>
      </c>
      <c r="V20" s="29" t="n">
        <f aca="false">IF($C20=0,"",K20/$C20)</f>
        <v>-0.0769230769230769</v>
      </c>
      <c r="W20" s="29" t="n">
        <f aca="false">IF($C20=0,"",M20/$C20)</f>
        <v>-0.144710256410256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47</v>
      </c>
      <c r="D21" s="26" t="n">
        <v>20</v>
      </c>
      <c r="E21" s="26" t="n">
        <v>20</v>
      </c>
      <c r="F21" s="26" t="n">
        <v>35</v>
      </c>
      <c r="G21" s="26" t="n">
        <v>27</v>
      </c>
      <c r="H21" s="26" t="n">
        <v>23</v>
      </c>
      <c r="I21" s="26" t="n">
        <v>20</v>
      </c>
      <c r="J21" s="26" t="n">
        <v>0</v>
      </c>
      <c r="K21" s="27" t="n">
        <v>13</v>
      </c>
      <c r="L21" s="27" t="n">
        <v>2.282</v>
      </c>
      <c r="M21" s="19" t="n">
        <f aca="false">K21-L21</f>
        <v>10.718</v>
      </c>
      <c r="N21" s="26" t="n">
        <v>3</v>
      </c>
      <c r="O21" s="26" t="n">
        <v>5</v>
      </c>
      <c r="P21" s="28" t="n">
        <f aca="false">IF($C21=0,"",D21/$C21)</f>
        <v>0.425531914893617</v>
      </c>
      <c r="Q21" s="28" t="n">
        <f aca="false">IF($C21=0,"",E21/$C21)</f>
        <v>0.425531914893617</v>
      </c>
      <c r="R21" s="28" t="n">
        <f aca="false">IF($C21=0,"",F21/$C21)</f>
        <v>0.74468085106383</v>
      </c>
      <c r="S21" s="28" t="n">
        <f aca="false">IF($C21=0,"",G21/$C21)</f>
        <v>0.574468085106383</v>
      </c>
      <c r="T21" s="28" t="n">
        <f aca="false">IF($C21=0,"",H21/$C21)</f>
        <v>0.48936170212766</v>
      </c>
      <c r="U21" s="28" t="n">
        <f aca="false">IF($C21=0,"",I21/$C21)</f>
        <v>0.425531914893617</v>
      </c>
      <c r="V21" s="29" t="n">
        <f aca="false">IF($C21=0,"",K21/$C21)</f>
        <v>0.276595744680851</v>
      </c>
      <c r="W21" s="29" t="n">
        <f aca="false">IF($C21=0,"",M21/$C21)</f>
        <v>0.228042553191489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43</v>
      </c>
      <c r="D22" s="26" t="n">
        <v>12</v>
      </c>
      <c r="E22" s="26" t="n">
        <v>12</v>
      </c>
      <c r="F22" s="26" t="n">
        <v>28</v>
      </c>
      <c r="G22" s="26" t="n">
        <v>19</v>
      </c>
      <c r="H22" s="26" t="n">
        <v>15</v>
      </c>
      <c r="I22" s="26" t="n">
        <v>12</v>
      </c>
      <c r="J22" s="26" t="n">
        <v>0</v>
      </c>
      <c r="K22" s="27" t="n">
        <v>-7</v>
      </c>
      <c r="L22" s="27" t="n">
        <v>3.2202</v>
      </c>
      <c r="M22" s="19" t="n">
        <f aca="false">K22-L22</f>
        <v>-10.2202</v>
      </c>
      <c r="N22" s="26" t="n">
        <v>2</v>
      </c>
      <c r="O22" s="26" t="n">
        <v>7</v>
      </c>
      <c r="P22" s="28" t="n">
        <f aca="false">IF($C22=0,"",D22/$C22)</f>
        <v>0.27906976744186</v>
      </c>
      <c r="Q22" s="28" t="n">
        <f aca="false">IF($C22=0,"",E22/$C22)</f>
        <v>0.27906976744186</v>
      </c>
      <c r="R22" s="28" t="n">
        <f aca="false">IF($C22=0,"",F22/$C22)</f>
        <v>0.651162790697675</v>
      </c>
      <c r="S22" s="28" t="n">
        <f aca="false">IF($C22=0,"",G22/$C22)</f>
        <v>0.441860465116279</v>
      </c>
      <c r="T22" s="28" t="n">
        <f aca="false">IF($C22=0,"",H22/$C22)</f>
        <v>0.348837209302326</v>
      </c>
      <c r="U22" s="28" t="n">
        <f aca="false">IF($C22=0,"",I22/$C22)</f>
        <v>0.27906976744186</v>
      </c>
      <c r="V22" s="29" t="n">
        <f aca="false">IF($C22=0,"",K22/$C22)</f>
        <v>-0.162790697674419</v>
      </c>
      <c r="W22" s="29" t="n">
        <f aca="false">IF($C22=0,"",M22/$C22)</f>
        <v>-0.237679069767442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46</v>
      </c>
      <c r="D23" s="26" t="n">
        <v>19</v>
      </c>
      <c r="E23" s="26" t="n">
        <v>19</v>
      </c>
      <c r="F23" s="26" t="n">
        <v>33</v>
      </c>
      <c r="G23" s="26" t="n">
        <v>28</v>
      </c>
      <c r="H23" s="26" t="n">
        <v>21</v>
      </c>
      <c r="I23" s="26" t="n">
        <v>19</v>
      </c>
      <c r="J23" s="26" t="n">
        <v>0</v>
      </c>
      <c r="K23" s="27" t="n">
        <v>11</v>
      </c>
      <c r="L23" s="27" t="n">
        <v>2.8614</v>
      </c>
      <c r="M23" s="19" t="n">
        <f aca="false">K23-L23</f>
        <v>8.1386</v>
      </c>
      <c r="N23" s="26" t="n">
        <v>3</v>
      </c>
      <c r="O23" s="26" t="n">
        <v>5</v>
      </c>
      <c r="P23" s="28" t="n">
        <f aca="false">IF($C23=0,"",D23/$C23)</f>
        <v>0.41304347826087</v>
      </c>
      <c r="Q23" s="28" t="n">
        <f aca="false">IF($C23=0,"",E23/$C23)</f>
        <v>0.41304347826087</v>
      </c>
      <c r="R23" s="28" t="n">
        <f aca="false">IF($C23=0,"",F23/$C23)</f>
        <v>0.717391304347826</v>
      </c>
      <c r="S23" s="28" t="n">
        <f aca="false">IF($C23=0,"",G23/$C23)</f>
        <v>0.608695652173913</v>
      </c>
      <c r="T23" s="28" t="n">
        <f aca="false">IF($C23=0,"",H23/$C23)</f>
        <v>0.456521739130435</v>
      </c>
      <c r="U23" s="28" t="n">
        <f aca="false">IF($C23=0,"",I23/$C23)</f>
        <v>0.41304347826087</v>
      </c>
      <c r="V23" s="29" t="n">
        <f aca="false">IF($C23=0,"",K23/$C23)</f>
        <v>0.239130434782609</v>
      </c>
      <c r="W23" s="29" t="n">
        <f aca="false">IF($C23=0,"",M23/$C23)</f>
        <v>0.176926086956522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45</v>
      </c>
      <c r="D24" s="26" t="n">
        <v>18</v>
      </c>
      <c r="E24" s="26" t="n">
        <v>18</v>
      </c>
      <c r="F24" s="26" t="n">
        <v>31</v>
      </c>
      <c r="G24" s="26" t="n">
        <v>26</v>
      </c>
      <c r="H24" s="26" t="n">
        <v>20</v>
      </c>
      <c r="I24" s="26" t="n">
        <v>18</v>
      </c>
      <c r="J24" s="26" t="n">
        <v>0</v>
      </c>
      <c r="K24" s="27" t="n">
        <v>9</v>
      </c>
      <c r="L24" s="27" t="n">
        <v>3.4207</v>
      </c>
      <c r="M24" s="19" t="n">
        <f aca="false">K24-L24</f>
        <v>5.5793</v>
      </c>
      <c r="N24" s="26" t="n">
        <v>5</v>
      </c>
      <c r="O24" s="26" t="n">
        <v>7</v>
      </c>
      <c r="P24" s="28" t="n">
        <f aca="false">IF($C24=0,"",D24/$C24)</f>
        <v>0.4</v>
      </c>
      <c r="Q24" s="28" t="n">
        <f aca="false">IF($C24=0,"",E24/$C24)</f>
        <v>0.4</v>
      </c>
      <c r="R24" s="28" t="n">
        <f aca="false">IF($C24=0,"",F24/$C24)</f>
        <v>0.688888888888889</v>
      </c>
      <c r="S24" s="28" t="n">
        <f aca="false">IF($C24=0,"",G24/$C24)</f>
        <v>0.577777777777778</v>
      </c>
      <c r="T24" s="28" t="n">
        <f aca="false">IF($C24=0,"",H24/$C24)</f>
        <v>0.444444444444444</v>
      </c>
      <c r="U24" s="28" t="n">
        <f aca="false">IF($C24=0,"",I24/$C24)</f>
        <v>0.4</v>
      </c>
      <c r="V24" s="29" t="n">
        <f aca="false">IF($C24=0,"",K24/$C24)</f>
        <v>0.2</v>
      </c>
      <c r="W24" s="29" t="n">
        <f aca="false">IF($C24=0,"",M24/$C24)</f>
        <v>0.123984444444444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49</v>
      </c>
      <c r="D25" s="26" t="n">
        <v>16</v>
      </c>
      <c r="E25" s="26" t="n">
        <v>16</v>
      </c>
      <c r="F25" s="26" t="n">
        <v>30</v>
      </c>
      <c r="G25" s="26" t="n">
        <v>23</v>
      </c>
      <c r="H25" s="26" t="n">
        <v>19</v>
      </c>
      <c r="I25" s="26" t="n">
        <v>16</v>
      </c>
      <c r="J25" s="26" t="n">
        <v>0</v>
      </c>
      <c r="K25" s="27" t="n">
        <v>-1</v>
      </c>
      <c r="L25" s="27" t="n">
        <v>4.3873</v>
      </c>
      <c r="M25" s="19" t="n">
        <f aca="false">K25-L25</f>
        <v>-5.3873</v>
      </c>
      <c r="N25" s="26" t="n">
        <v>3</v>
      </c>
      <c r="O25" s="26" t="n">
        <v>5</v>
      </c>
      <c r="P25" s="28" t="n">
        <f aca="false">IF($C25=0,"",D25/$C25)</f>
        <v>0.326530612244898</v>
      </c>
      <c r="Q25" s="28" t="n">
        <f aca="false">IF($C25=0,"",E25/$C25)</f>
        <v>0.326530612244898</v>
      </c>
      <c r="R25" s="28" t="n">
        <f aca="false">IF($C25=0,"",F25/$C25)</f>
        <v>0.612244897959184</v>
      </c>
      <c r="S25" s="28" t="n">
        <f aca="false">IF($C25=0,"",G25/$C25)</f>
        <v>0.469387755102041</v>
      </c>
      <c r="T25" s="28" t="n">
        <f aca="false">IF($C25=0,"",H25/$C25)</f>
        <v>0.387755102040816</v>
      </c>
      <c r="U25" s="28" t="n">
        <f aca="false">IF($C25=0,"",I25/$C25)</f>
        <v>0.326530612244898</v>
      </c>
      <c r="V25" s="29" t="n">
        <f aca="false">IF($C25=0,"",K25/$C25)</f>
        <v>-0.0204081632653061</v>
      </c>
      <c r="W25" s="29" t="n">
        <f aca="false">IF($C25=0,"",M25/$C25)</f>
        <v>-0.109944897959184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46</v>
      </c>
      <c r="D26" s="26" t="n">
        <v>10</v>
      </c>
      <c r="E26" s="26" t="n">
        <v>10</v>
      </c>
      <c r="F26" s="26" t="n">
        <v>25</v>
      </c>
      <c r="G26" s="26" t="n">
        <v>17</v>
      </c>
      <c r="H26" s="26" t="n">
        <v>13</v>
      </c>
      <c r="I26" s="26" t="n">
        <v>10</v>
      </c>
      <c r="J26" s="26" t="n">
        <v>0</v>
      </c>
      <c r="K26" s="27" t="n">
        <v>-16</v>
      </c>
      <c r="L26" s="27" t="n">
        <v>3.6366</v>
      </c>
      <c r="M26" s="19" t="n">
        <f aca="false">K26-L26</f>
        <v>-19.6366</v>
      </c>
      <c r="N26" s="26" t="n">
        <v>2</v>
      </c>
      <c r="O26" s="26" t="n">
        <v>10</v>
      </c>
      <c r="P26" s="28" t="n">
        <f aca="false">IF($C26=0,"",D26/$C26)</f>
        <v>0.217391304347826</v>
      </c>
      <c r="Q26" s="28" t="n">
        <f aca="false">IF($C26=0,"",E26/$C26)</f>
        <v>0.217391304347826</v>
      </c>
      <c r="R26" s="28" t="n">
        <f aca="false">IF($C26=0,"",F26/$C26)</f>
        <v>0.543478260869565</v>
      </c>
      <c r="S26" s="28" t="n">
        <f aca="false">IF($C26=0,"",G26/$C26)</f>
        <v>0.369565217391304</v>
      </c>
      <c r="T26" s="28" t="n">
        <f aca="false">IF($C26=0,"",H26/$C26)</f>
        <v>0.282608695652174</v>
      </c>
      <c r="U26" s="28" t="n">
        <f aca="false">IF($C26=0,"",I26/$C26)</f>
        <v>0.217391304347826</v>
      </c>
      <c r="V26" s="29" t="n">
        <f aca="false">IF($C26=0,"",K26/$C26)</f>
        <v>-0.347826086956522</v>
      </c>
      <c r="W26" s="29" t="n">
        <f aca="false">IF($C26=0,"",M26/$C26)</f>
        <v>-0.426882608695652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42</v>
      </c>
      <c r="D27" s="26" t="n">
        <v>15</v>
      </c>
      <c r="E27" s="26" t="n">
        <v>15</v>
      </c>
      <c r="F27" s="26" t="n">
        <v>28</v>
      </c>
      <c r="G27" s="26" t="n">
        <v>24</v>
      </c>
      <c r="H27" s="26" t="n">
        <v>19</v>
      </c>
      <c r="I27" s="26" t="n">
        <v>15</v>
      </c>
      <c r="J27" s="26" t="n">
        <v>0</v>
      </c>
      <c r="K27" s="27" t="n">
        <v>3</v>
      </c>
      <c r="L27" s="27" t="n">
        <v>3.0686</v>
      </c>
      <c r="M27" s="19" t="n">
        <f aca="false">K27-L27</f>
        <v>-0.0686</v>
      </c>
      <c r="N27" s="26" t="n">
        <v>2</v>
      </c>
      <c r="O27" s="26" t="n">
        <v>8</v>
      </c>
      <c r="P27" s="28" t="n">
        <f aca="false">IF($C27=0,"",D27/$C27)</f>
        <v>0.357142857142857</v>
      </c>
      <c r="Q27" s="28" t="n">
        <f aca="false">IF($C27=0,"",E27/$C27)</f>
        <v>0.357142857142857</v>
      </c>
      <c r="R27" s="28" t="n">
        <f aca="false">IF($C27=0,"",F27/$C27)</f>
        <v>0.666666666666667</v>
      </c>
      <c r="S27" s="28" t="n">
        <f aca="false">IF($C27=0,"",G27/$C27)</f>
        <v>0.571428571428571</v>
      </c>
      <c r="T27" s="28" t="n">
        <f aca="false">IF($C27=0,"",H27/$C27)</f>
        <v>0.452380952380952</v>
      </c>
      <c r="U27" s="28" t="n">
        <f aca="false">IF($C27=0,"",I27/$C27)</f>
        <v>0.357142857142857</v>
      </c>
      <c r="V27" s="29" t="n">
        <f aca="false">IF($C27=0,"",K27/$C27)</f>
        <v>0.0714285714285714</v>
      </c>
      <c r="W27" s="29" t="n">
        <f aca="false">IF($C27=0,"",M27/$C27)</f>
        <v>-0.00163333333333333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46</v>
      </c>
      <c r="D28" s="26" t="n">
        <v>12</v>
      </c>
      <c r="E28" s="26" t="n">
        <v>12</v>
      </c>
      <c r="F28" s="26" t="n">
        <v>26</v>
      </c>
      <c r="G28" s="26" t="n">
        <v>21</v>
      </c>
      <c r="H28" s="26" t="n">
        <v>16</v>
      </c>
      <c r="I28" s="26" t="n">
        <v>12</v>
      </c>
      <c r="J28" s="26" t="n">
        <v>0</v>
      </c>
      <c r="K28" s="27" t="n">
        <v>-10</v>
      </c>
      <c r="L28" s="27" t="n">
        <v>3.6747</v>
      </c>
      <c r="M28" s="19" t="n">
        <f aca="false">K28-L28</f>
        <v>-13.6747</v>
      </c>
      <c r="N28" s="26" t="n">
        <v>3</v>
      </c>
      <c r="O28" s="26" t="n">
        <v>9</v>
      </c>
      <c r="P28" s="28" t="n">
        <f aca="false">IF($C28=0,"",D28/$C28)</f>
        <v>0.260869565217391</v>
      </c>
      <c r="Q28" s="28" t="n">
        <f aca="false">IF($C28=0,"",E28/$C28)</f>
        <v>0.260869565217391</v>
      </c>
      <c r="R28" s="28" t="n">
        <f aca="false">IF($C28=0,"",F28/$C28)</f>
        <v>0.565217391304348</v>
      </c>
      <c r="S28" s="28" t="n">
        <f aca="false">IF($C28=0,"",G28/$C28)</f>
        <v>0.456521739130435</v>
      </c>
      <c r="T28" s="28" t="n">
        <f aca="false">IF($C28=0,"",H28/$C28)</f>
        <v>0.347826086956522</v>
      </c>
      <c r="U28" s="28" t="n">
        <f aca="false">IF($C28=0,"",I28/$C28)</f>
        <v>0.260869565217391</v>
      </c>
      <c r="V28" s="29" t="n">
        <f aca="false">IF($C28=0,"",K28/$C28)</f>
        <v>-0.217391304347826</v>
      </c>
      <c r="W28" s="29" t="n">
        <f aca="false">IF($C28=0,"",M28/$C28)</f>
        <v>-0.297276086956522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41</v>
      </c>
      <c r="D29" s="26" t="n">
        <v>12</v>
      </c>
      <c r="E29" s="26" t="n">
        <v>12</v>
      </c>
      <c r="F29" s="26" t="n">
        <v>25</v>
      </c>
      <c r="G29" s="26" t="n">
        <v>17</v>
      </c>
      <c r="H29" s="26" t="n">
        <v>13</v>
      </c>
      <c r="I29" s="26" t="n">
        <v>12</v>
      </c>
      <c r="J29" s="26" t="n">
        <v>0</v>
      </c>
      <c r="K29" s="27" t="n">
        <v>-5</v>
      </c>
      <c r="L29" s="27" t="n">
        <v>3.352</v>
      </c>
      <c r="M29" s="19" t="n">
        <f aca="false">K29-L29</f>
        <v>-8.352</v>
      </c>
      <c r="N29" s="26" t="n">
        <v>2</v>
      </c>
      <c r="O29" s="26" t="n">
        <v>6</v>
      </c>
      <c r="P29" s="28" t="n">
        <f aca="false">IF($C29=0,"",D29/$C29)</f>
        <v>0.292682926829268</v>
      </c>
      <c r="Q29" s="28" t="n">
        <f aca="false">IF($C29=0,"",E29/$C29)</f>
        <v>0.292682926829268</v>
      </c>
      <c r="R29" s="28" t="n">
        <f aca="false">IF($C29=0,"",F29/$C29)</f>
        <v>0.609756097560976</v>
      </c>
      <c r="S29" s="28" t="n">
        <f aca="false">IF($C29=0,"",G29/$C29)</f>
        <v>0.414634146341463</v>
      </c>
      <c r="T29" s="28" t="n">
        <f aca="false">IF($C29=0,"",H29/$C29)</f>
        <v>0.317073170731707</v>
      </c>
      <c r="U29" s="28" t="n">
        <f aca="false">IF($C29=0,"",I29/$C29)</f>
        <v>0.292682926829268</v>
      </c>
      <c r="V29" s="29" t="n">
        <f aca="false">IF($C29=0,"",K29/$C29)</f>
        <v>-0.121951219512195</v>
      </c>
      <c r="W29" s="29" t="n">
        <f aca="false">IF($C29=0,"",M29/$C29)</f>
        <v>-0.203707317073171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44</v>
      </c>
      <c r="D30" s="26" t="n">
        <v>14</v>
      </c>
      <c r="E30" s="26" t="n">
        <v>14</v>
      </c>
      <c r="F30" s="26" t="n">
        <v>24</v>
      </c>
      <c r="G30" s="26" t="n">
        <v>22</v>
      </c>
      <c r="H30" s="26" t="n">
        <v>17</v>
      </c>
      <c r="I30" s="26" t="n">
        <v>14</v>
      </c>
      <c r="J30" s="26" t="n">
        <v>0</v>
      </c>
      <c r="K30" s="27" t="n">
        <v>-2</v>
      </c>
      <c r="L30" s="27" t="n">
        <v>3.7583</v>
      </c>
      <c r="M30" s="19" t="n">
        <f aca="false">K30-L30</f>
        <v>-5.7583</v>
      </c>
      <c r="N30" s="26" t="n">
        <v>4</v>
      </c>
      <c r="O30" s="26" t="n">
        <v>6</v>
      </c>
      <c r="P30" s="28" t="n">
        <f aca="false">IF($C30=0,"",D30/$C30)</f>
        <v>0.318181818181818</v>
      </c>
      <c r="Q30" s="28" t="n">
        <f aca="false">IF($C30=0,"",E30/$C30)</f>
        <v>0.318181818181818</v>
      </c>
      <c r="R30" s="28" t="n">
        <f aca="false">IF($C30=0,"",F30/$C30)</f>
        <v>0.545454545454545</v>
      </c>
      <c r="S30" s="28" t="n">
        <f aca="false">IF($C30=0,"",G30/$C30)</f>
        <v>0.5</v>
      </c>
      <c r="T30" s="28" t="n">
        <f aca="false">IF($C30=0,"",H30/$C30)</f>
        <v>0.386363636363636</v>
      </c>
      <c r="U30" s="28" t="n">
        <f aca="false">IF($C30=0,"",I30/$C30)</f>
        <v>0.318181818181818</v>
      </c>
      <c r="V30" s="29" t="n">
        <f aca="false">IF($C30=0,"",K30/$C30)</f>
        <v>-0.0454545454545455</v>
      </c>
      <c r="W30" s="29" t="n">
        <f aca="false">IF($C30=0,"",M30/$C30)</f>
        <v>-0.130870454545455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527</v>
      </c>
      <c r="D31" s="30" t="n">
        <f aca="false">SUM(D19:D30)</f>
        <v>171</v>
      </c>
      <c r="E31" s="30" t="n">
        <f aca="false">SUM(E19:E30)</f>
        <v>171</v>
      </c>
      <c r="F31" s="30" t="n">
        <f aca="false">SUM(F19:F30)</f>
        <v>333</v>
      </c>
      <c r="G31" s="30" t="n">
        <f aca="false">SUM(G19:G30)</f>
        <v>261</v>
      </c>
      <c r="H31" s="30" t="n">
        <f aca="false">SUM(H19:H30)</f>
        <v>204</v>
      </c>
      <c r="I31" s="30" t="n">
        <f aca="false">SUM(I19:I30)</f>
        <v>171</v>
      </c>
      <c r="J31" s="30" t="n">
        <f aca="false">SUM(J19:J30)</f>
        <v>0</v>
      </c>
      <c r="K31" s="31" t="n">
        <f aca="false">SUM(K19:K30)</f>
        <v>-14</v>
      </c>
      <c r="L31" s="31" t="n">
        <f aca="false">SUM(L19:L30)</f>
        <v>40.0192</v>
      </c>
      <c r="M31" s="31" t="n">
        <f aca="false">K31-L31</f>
        <v>-54.0192</v>
      </c>
      <c r="N31" s="32" t="n">
        <v>5</v>
      </c>
      <c r="O31" s="32" t="n">
        <v>11</v>
      </c>
      <c r="P31" s="33" t="n">
        <f aca="false">IF($C31=0,"",D31/$C31)</f>
        <v>0.324478178368121</v>
      </c>
      <c r="Q31" s="33" t="n">
        <f aca="false">IF($C31=0,"",E31/$C31)</f>
        <v>0.324478178368121</v>
      </c>
      <c r="R31" s="33" t="n">
        <f aca="false">IF($C31=0,"",F31/$C31)</f>
        <v>0.631878557874763</v>
      </c>
      <c r="S31" s="33" t="n">
        <f aca="false">IF($C31=0,"",G31/$C31)</f>
        <v>0.495256166982922</v>
      </c>
      <c r="T31" s="33" t="n">
        <f aca="false">IF($C31=0,"",H31/$C31)</f>
        <v>0.387096774193548</v>
      </c>
      <c r="U31" s="33" t="n">
        <f aca="false">IF($C31=0,"",I31/$C31)</f>
        <v>0.324478178368121</v>
      </c>
      <c r="V31" s="34" t="n">
        <f aca="false">IF($C31=0,"",K31/$C31)</f>
        <v>-0.0265654648956357</v>
      </c>
      <c r="W31" s="34" t="n">
        <f aca="false">IF($C31=0,"",M31/$C31)</f>
        <v>-0.102503225806452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53</v>
      </c>
      <c r="D32" s="26" t="n">
        <v>14</v>
      </c>
      <c r="E32" s="26" t="n">
        <v>14</v>
      </c>
      <c r="F32" s="26" t="n">
        <v>26</v>
      </c>
      <c r="G32" s="26" t="n">
        <v>21</v>
      </c>
      <c r="H32" s="26" t="n">
        <v>17</v>
      </c>
      <c r="I32" s="26" t="n">
        <v>14</v>
      </c>
      <c r="J32" s="26" t="n">
        <v>0</v>
      </c>
      <c r="K32" s="27" t="n">
        <v>-11</v>
      </c>
      <c r="L32" s="27" t="n">
        <v>4.1158</v>
      </c>
      <c r="M32" s="19" t="n">
        <f aca="false">K32-L32</f>
        <v>-15.1158</v>
      </c>
      <c r="N32" s="26" t="n">
        <v>3</v>
      </c>
      <c r="O32" s="26" t="n">
        <v>11</v>
      </c>
      <c r="P32" s="28" t="n">
        <f aca="false">IF($C32=0,"",D32/$C32)</f>
        <v>0.264150943396226</v>
      </c>
      <c r="Q32" s="28" t="n">
        <f aca="false">IF($C32=0,"",E32/$C32)</f>
        <v>0.264150943396226</v>
      </c>
      <c r="R32" s="28" t="n">
        <f aca="false">IF($C32=0,"",F32/$C32)</f>
        <v>0.490566037735849</v>
      </c>
      <c r="S32" s="28" t="n">
        <f aca="false">IF($C32=0,"",G32/$C32)</f>
        <v>0.39622641509434</v>
      </c>
      <c r="T32" s="28" t="n">
        <f aca="false">IF($C32=0,"",H32/$C32)</f>
        <v>0.320754716981132</v>
      </c>
      <c r="U32" s="28" t="n">
        <f aca="false">IF($C32=0,"",I32/$C32)</f>
        <v>0.264150943396226</v>
      </c>
      <c r="V32" s="29" t="n">
        <f aca="false">IF($C32=0,"",K32/$C32)</f>
        <v>-0.207547169811321</v>
      </c>
      <c r="W32" s="29" t="n">
        <f aca="false">IF($C32=0,"",M32/$C32)</f>
        <v>-0.285203773584906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40</v>
      </c>
      <c r="D33" s="26" t="n">
        <v>9</v>
      </c>
      <c r="E33" s="26" t="n">
        <v>9</v>
      </c>
      <c r="F33" s="26" t="n">
        <v>20</v>
      </c>
      <c r="G33" s="26" t="n">
        <v>12</v>
      </c>
      <c r="H33" s="26" t="n">
        <v>9</v>
      </c>
      <c r="I33" s="26" t="n">
        <v>9</v>
      </c>
      <c r="J33" s="26" t="n">
        <v>0</v>
      </c>
      <c r="K33" s="27" t="n">
        <v>-13</v>
      </c>
      <c r="L33" s="27" t="n">
        <v>3.4415</v>
      </c>
      <c r="M33" s="19" t="n">
        <f aca="false">K33-L33</f>
        <v>-16.4415</v>
      </c>
      <c r="N33" s="26" t="n">
        <v>4</v>
      </c>
      <c r="O33" s="26" t="n">
        <v>9</v>
      </c>
      <c r="P33" s="28" t="n">
        <f aca="false">IF($C33=0,"",D33/$C33)</f>
        <v>0.225</v>
      </c>
      <c r="Q33" s="28" t="n">
        <f aca="false">IF($C33=0,"",E33/$C33)</f>
        <v>0.225</v>
      </c>
      <c r="R33" s="28" t="n">
        <f aca="false">IF($C33=0,"",F33/$C33)</f>
        <v>0.5</v>
      </c>
      <c r="S33" s="28" t="n">
        <f aca="false">IF($C33=0,"",G33/$C33)</f>
        <v>0.3</v>
      </c>
      <c r="T33" s="28" t="n">
        <f aca="false">IF($C33=0,"",H33/$C33)</f>
        <v>0.225</v>
      </c>
      <c r="U33" s="28" t="n">
        <f aca="false">IF($C33=0,"",I33/$C33)</f>
        <v>0.225</v>
      </c>
      <c r="V33" s="29" t="n">
        <f aca="false">IF($C33=0,"",K33/$C33)</f>
        <v>-0.325</v>
      </c>
      <c r="W33" s="29" t="n">
        <f aca="false">IF($C33=0,"",M33/$C33)</f>
        <v>-0.4110375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52</v>
      </c>
      <c r="D34" s="26" t="n">
        <v>21</v>
      </c>
      <c r="E34" s="26" t="n">
        <v>21</v>
      </c>
      <c r="F34" s="26" t="n">
        <v>34</v>
      </c>
      <c r="G34" s="26" t="n">
        <v>32</v>
      </c>
      <c r="H34" s="26" t="n">
        <v>25</v>
      </c>
      <c r="I34" s="26" t="n">
        <v>21</v>
      </c>
      <c r="J34" s="26" t="n">
        <v>0</v>
      </c>
      <c r="K34" s="27" t="n">
        <v>11</v>
      </c>
      <c r="L34" s="27" t="n">
        <v>3.6644</v>
      </c>
      <c r="M34" s="19" t="n">
        <f aca="false">K34-L34</f>
        <v>7.3356</v>
      </c>
      <c r="N34" s="26" t="n">
        <v>4</v>
      </c>
      <c r="O34" s="26" t="n">
        <v>5</v>
      </c>
      <c r="P34" s="28" t="n">
        <f aca="false">IF($C34=0,"",D34/$C34)</f>
        <v>0.403846153846154</v>
      </c>
      <c r="Q34" s="28" t="n">
        <f aca="false">IF($C34=0,"",E34/$C34)</f>
        <v>0.403846153846154</v>
      </c>
      <c r="R34" s="28" t="n">
        <f aca="false">IF($C34=0,"",F34/$C34)</f>
        <v>0.653846153846154</v>
      </c>
      <c r="S34" s="28" t="n">
        <f aca="false">IF($C34=0,"",G34/$C34)</f>
        <v>0.615384615384615</v>
      </c>
      <c r="T34" s="28" t="n">
        <f aca="false">IF($C34=0,"",H34/$C34)</f>
        <v>0.480769230769231</v>
      </c>
      <c r="U34" s="28" t="n">
        <f aca="false">IF($C34=0,"",I34/$C34)</f>
        <v>0.403846153846154</v>
      </c>
      <c r="V34" s="29" t="n">
        <f aca="false">IF($C34=0,"",K34/$C34)</f>
        <v>0.211538461538462</v>
      </c>
      <c r="W34" s="29" t="n">
        <f aca="false">IF($C34=0,"",M34/$C34)</f>
        <v>0.141069230769231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37</v>
      </c>
      <c r="D35" s="26" t="n">
        <v>10</v>
      </c>
      <c r="E35" s="26" t="n">
        <v>10</v>
      </c>
      <c r="F35" s="26" t="n">
        <v>23</v>
      </c>
      <c r="G35" s="26" t="n">
        <v>16</v>
      </c>
      <c r="H35" s="26" t="n">
        <v>12</v>
      </c>
      <c r="I35" s="26" t="n">
        <v>10</v>
      </c>
      <c r="J35" s="26" t="n">
        <v>0</v>
      </c>
      <c r="K35" s="27" t="n">
        <v>-7</v>
      </c>
      <c r="L35" s="27" t="n">
        <v>2.488</v>
      </c>
      <c r="M35" s="19" t="n">
        <f aca="false">K35-L35</f>
        <v>-9.488</v>
      </c>
      <c r="N35" s="26" t="n">
        <v>4</v>
      </c>
      <c r="O35" s="26" t="n">
        <v>6</v>
      </c>
      <c r="P35" s="28" t="n">
        <f aca="false">IF($C35=0,"",D35/$C35)</f>
        <v>0.27027027027027</v>
      </c>
      <c r="Q35" s="28" t="n">
        <f aca="false">IF($C35=0,"",E35/$C35)</f>
        <v>0.27027027027027</v>
      </c>
      <c r="R35" s="28" t="n">
        <f aca="false">IF($C35=0,"",F35/$C35)</f>
        <v>0.621621621621622</v>
      </c>
      <c r="S35" s="28" t="n">
        <f aca="false">IF($C35=0,"",G35/$C35)</f>
        <v>0.432432432432432</v>
      </c>
      <c r="T35" s="28" t="n">
        <f aca="false">IF($C35=0,"",H35/$C35)</f>
        <v>0.324324324324324</v>
      </c>
      <c r="U35" s="28" t="n">
        <f aca="false">IF($C35=0,"",I35/$C35)</f>
        <v>0.27027027027027</v>
      </c>
      <c r="V35" s="29" t="n">
        <f aca="false">IF($C35=0,"",K35/$C35)</f>
        <v>-0.189189189189189</v>
      </c>
      <c r="W35" s="29" t="n">
        <f aca="false">IF($C35=0,"",M35/$C35)</f>
        <v>-0.256432432432432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50</v>
      </c>
      <c r="D36" s="26" t="n">
        <v>18</v>
      </c>
      <c r="E36" s="26" t="n">
        <v>18</v>
      </c>
      <c r="F36" s="26" t="n">
        <v>28</v>
      </c>
      <c r="G36" s="26" t="n">
        <v>24</v>
      </c>
      <c r="H36" s="26" t="n">
        <v>21</v>
      </c>
      <c r="I36" s="26" t="n">
        <v>18</v>
      </c>
      <c r="J36" s="26" t="n">
        <v>0</v>
      </c>
      <c r="K36" s="27" t="n">
        <v>4</v>
      </c>
      <c r="L36" s="27" t="n">
        <v>4.2711</v>
      </c>
      <c r="M36" s="19" t="n">
        <f aca="false">K36-L36</f>
        <v>-0.2711</v>
      </c>
      <c r="N36" s="26" t="n">
        <v>2</v>
      </c>
      <c r="O36" s="26" t="n">
        <v>5</v>
      </c>
      <c r="P36" s="28" t="n">
        <f aca="false">IF($C36=0,"",D36/$C36)</f>
        <v>0.36</v>
      </c>
      <c r="Q36" s="28" t="n">
        <f aca="false">IF($C36=0,"",E36/$C36)</f>
        <v>0.36</v>
      </c>
      <c r="R36" s="28" t="n">
        <f aca="false">IF($C36=0,"",F36/$C36)</f>
        <v>0.56</v>
      </c>
      <c r="S36" s="28" t="n">
        <f aca="false">IF($C36=0,"",G36/$C36)</f>
        <v>0.48</v>
      </c>
      <c r="T36" s="28" t="n">
        <f aca="false">IF($C36=0,"",H36/$C36)</f>
        <v>0.42</v>
      </c>
      <c r="U36" s="28" t="n">
        <f aca="false">IF($C36=0,"",I36/$C36)</f>
        <v>0.36</v>
      </c>
      <c r="V36" s="29" t="n">
        <f aca="false">IF($C36=0,"",K36/$C36)</f>
        <v>0.08</v>
      </c>
      <c r="W36" s="29" t="n">
        <f aca="false">IF($C36=0,"",M36/$C36)</f>
        <v>-0.00542199999999999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41</v>
      </c>
      <c r="D37" s="26" t="n">
        <v>11</v>
      </c>
      <c r="E37" s="26" t="n">
        <v>11</v>
      </c>
      <c r="F37" s="26" t="n">
        <v>21</v>
      </c>
      <c r="G37" s="26" t="n">
        <v>16</v>
      </c>
      <c r="H37" s="26" t="n">
        <v>11</v>
      </c>
      <c r="I37" s="26" t="n">
        <v>11</v>
      </c>
      <c r="J37" s="26" t="n">
        <v>0</v>
      </c>
      <c r="K37" s="27" t="n">
        <v>-8</v>
      </c>
      <c r="L37" s="27" t="n">
        <v>3.5692</v>
      </c>
      <c r="M37" s="19" t="n">
        <f aca="false">K37-L37</f>
        <v>-11.5692</v>
      </c>
      <c r="N37" s="26" t="n">
        <v>2</v>
      </c>
      <c r="O37" s="26" t="n">
        <v>10</v>
      </c>
      <c r="P37" s="28" t="n">
        <f aca="false">IF($C37=0,"",D37/$C37)</f>
        <v>0.268292682926829</v>
      </c>
      <c r="Q37" s="28" t="n">
        <f aca="false">IF($C37=0,"",E37/$C37)</f>
        <v>0.268292682926829</v>
      </c>
      <c r="R37" s="28" t="n">
        <f aca="false">IF($C37=0,"",F37/$C37)</f>
        <v>0.51219512195122</v>
      </c>
      <c r="S37" s="28" t="n">
        <f aca="false">IF($C37=0,"",G37/$C37)</f>
        <v>0.390243902439024</v>
      </c>
      <c r="T37" s="28" t="n">
        <f aca="false">IF($C37=0,"",H37/$C37)</f>
        <v>0.268292682926829</v>
      </c>
      <c r="U37" s="28" t="n">
        <f aca="false">IF($C37=0,"",I37/$C37)</f>
        <v>0.268292682926829</v>
      </c>
      <c r="V37" s="29" t="n">
        <f aca="false">IF($C37=0,"",K37/$C37)</f>
        <v>-0.195121951219512</v>
      </c>
      <c r="W37" s="29" t="n">
        <f aca="false">IF($C37=0,"",M37/$C37)</f>
        <v>-0.282175609756098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40</v>
      </c>
      <c r="D38" s="26" t="n">
        <v>12</v>
      </c>
      <c r="E38" s="26" t="n">
        <v>12</v>
      </c>
      <c r="F38" s="26" t="n">
        <v>22</v>
      </c>
      <c r="G38" s="26" t="n">
        <v>19</v>
      </c>
      <c r="H38" s="26" t="n">
        <v>14</v>
      </c>
      <c r="I38" s="26" t="n">
        <v>12</v>
      </c>
      <c r="J38" s="26" t="n">
        <v>0</v>
      </c>
      <c r="K38" s="27" t="n">
        <v>-4</v>
      </c>
      <c r="L38" s="27" t="n">
        <v>4.5465</v>
      </c>
      <c r="M38" s="19" t="n">
        <f aca="false">K38-L38</f>
        <v>-8.5465</v>
      </c>
      <c r="N38" s="26" t="n">
        <v>3</v>
      </c>
      <c r="O38" s="26" t="n">
        <v>11</v>
      </c>
      <c r="P38" s="28" t="n">
        <f aca="false">IF($C38=0,"",D38/$C38)</f>
        <v>0.3</v>
      </c>
      <c r="Q38" s="28" t="n">
        <f aca="false">IF($C38=0,"",E38/$C38)</f>
        <v>0.3</v>
      </c>
      <c r="R38" s="28" t="n">
        <f aca="false">IF($C38=0,"",F38/$C38)</f>
        <v>0.55</v>
      </c>
      <c r="S38" s="28" t="n">
        <f aca="false">IF($C38=0,"",G38/$C38)</f>
        <v>0.475</v>
      </c>
      <c r="T38" s="28" t="n">
        <f aca="false">IF($C38=0,"",H38/$C38)</f>
        <v>0.35</v>
      </c>
      <c r="U38" s="28" t="n">
        <f aca="false">IF($C38=0,"",I38/$C38)</f>
        <v>0.3</v>
      </c>
      <c r="V38" s="29" t="n">
        <f aca="false">IF($C38=0,"",K38/$C38)</f>
        <v>-0.1</v>
      </c>
      <c r="W38" s="29" t="n">
        <f aca="false">IF($C38=0,"",M38/$C38)</f>
        <v>-0.2136625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44</v>
      </c>
      <c r="D39" s="26" t="n">
        <v>14</v>
      </c>
      <c r="E39" s="26" t="n">
        <v>14</v>
      </c>
      <c r="F39" s="26" t="n">
        <v>29</v>
      </c>
      <c r="G39" s="26" t="n">
        <v>22</v>
      </c>
      <c r="H39" s="26" t="n">
        <v>18</v>
      </c>
      <c r="I39" s="26" t="n">
        <v>14</v>
      </c>
      <c r="J39" s="26" t="n">
        <v>0</v>
      </c>
      <c r="K39" s="27" t="n">
        <v>-2</v>
      </c>
      <c r="L39" s="27" t="n">
        <v>5.7783</v>
      </c>
      <c r="M39" s="19" t="n">
        <f aca="false">K39-L39</f>
        <v>-7.7783</v>
      </c>
      <c r="N39" s="26" t="n">
        <v>4</v>
      </c>
      <c r="O39" s="26" t="n">
        <v>8</v>
      </c>
      <c r="P39" s="28" t="n">
        <f aca="false">IF($C39=0,"",D39/$C39)</f>
        <v>0.318181818181818</v>
      </c>
      <c r="Q39" s="28" t="n">
        <f aca="false">IF($C39=0,"",E39/$C39)</f>
        <v>0.318181818181818</v>
      </c>
      <c r="R39" s="28" t="n">
        <f aca="false">IF($C39=0,"",F39/$C39)</f>
        <v>0.659090909090909</v>
      </c>
      <c r="S39" s="28" t="n">
        <f aca="false">IF($C39=0,"",G39/$C39)</f>
        <v>0.5</v>
      </c>
      <c r="T39" s="28" t="n">
        <f aca="false">IF($C39=0,"",H39/$C39)</f>
        <v>0.409090909090909</v>
      </c>
      <c r="U39" s="28" t="n">
        <f aca="false">IF($C39=0,"",I39/$C39)</f>
        <v>0.318181818181818</v>
      </c>
      <c r="V39" s="29" t="n">
        <f aca="false">IF($C39=0,"",K39/$C39)</f>
        <v>-0.0454545454545455</v>
      </c>
      <c r="W39" s="29" t="n">
        <f aca="false">IF($C39=0,"",M39/$C39)</f>
        <v>-0.176779545454545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50</v>
      </c>
      <c r="D40" s="26" t="n">
        <v>17</v>
      </c>
      <c r="E40" s="26" t="n">
        <v>17</v>
      </c>
      <c r="F40" s="26" t="n">
        <v>29</v>
      </c>
      <c r="G40" s="26" t="n">
        <v>22</v>
      </c>
      <c r="H40" s="26" t="n">
        <v>19</v>
      </c>
      <c r="I40" s="26" t="n">
        <v>17</v>
      </c>
      <c r="J40" s="26" t="n">
        <v>0</v>
      </c>
      <c r="K40" s="27" t="n">
        <v>1</v>
      </c>
      <c r="L40" s="27" t="n">
        <v>7.8744</v>
      </c>
      <c r="M40" s="19" t="n">
        <f aca="false">K40-L40</f>
        <v>-6.8744</v>
      </c>
      <c r="N40" s="26" t="n">
        <v>3</v>
      </c>
      <c r="O40" s="26" t="n">
        <v>6</v>
      </c>
      <c r="P40" s="28" t="n">
        <f aca="false">IF($C40=0,"",D40/$C40)</f>
        <v>0.34</v>
      </c>
      <c r="Q40" s="28" t="n">
        <f aca="false">IF($C40=0,"",E40/$C40)</f>
        <v>0.34</v>
      </c>
      <c r="R40" s="28" t="n">
        <f aca="false">IF($C40=0,"",F40/$C40)</f>
        <v>0.58</v>
      </c>
      <c r="S40" s="28" t="n">
        <f aca="false">IF($C40=0,"",G40/$C40)</f>
        <v>0.44</v>
      </c>
      <c r="T40" s="28" t="n">
        <f aca="false">IF($C40=0,"",H40/$C40)</f>
        <v>0.38</v>
      </c>
      <c r="U40" s="28" t="n">
        <f aca="false">IF($C40=0,"",I40/$C40)</f>
        <v>0.34</v>
      </c>
      <c r="V40" s="29" t="n">
        <f aca="false">IF($C40=0,"",K40/$C40)</f>
        <v>0.02</v>
      </c>
      <c r="W40" s="29" t="n">
        <f aca="false">IF($C40=0,"",M40/$C40)</f>
        <v>-0.137488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45</v>
      </c>
      <c r="D41" s="26" t="n">
        <v>13</v>
      </c>
      <c r="E41" s="26" t="n">
        <v>13</v>
      </c>
      <c r="F41" s="26" t="n">
        <v>30</v>
      </c>
      <c r="G41" s="26" t="n">
        <v>25</v>
      </c>
      <c r="H41" s="26" t="n">
        <v>16</v>
      </c>
      <c r="I41" s="26" t="n">
        <v>13</v>
      </c>
      <c r="J41" s="26" t="n">
        <v>0</v>
      </c>
      <c r="K41" s="27" t="n">
        <v>-6</v>
      </c>
      <c r="L41" s="27" t="n">
        <v>2.5564</v>
      </c>
      <c r="M41" s="19" t="n">
        <f aca="false">K41-L41</f>
        <v>-8.5564</v>
      </c>
      <c r="N41" s="26" t="n">
        <v>5</v>
      </c>
      <c r="O41" s="26" t="n">
        <v>9</v>
      </c>
      <c r="P41" s="28" t="n">
        <f aca="false">IF($C41=0,"",D41/$C41)</f>
        <v>0.288888888888889</v>
      </c>
      <c r="Q41" s="28" t="n">
        <f aca="false">IF($C41=0,"",E41/$C41)</f>
        <v>0.288888888888889</v>
      </c>
      <c r="R41" s="28" t="n">
        <f aca="false">IF($C41=0,"",F41/$C41)</f>
        <v>0.666666666666667</v>
      </c>
      <c r="S41" s="28" t="n">
        <f aca="false">IF($C41=0,"",G41/$C41)</f>
        <v>0.555555555555556</v>
      </c>
      <c r="T41" s="28" t="n">
        <f aca="false">IF($C41=0,"",H41/$C41)</f>
        <v>0.355555555555556</v>
      </c>
      <c r="U41" s="28" t="n">
        <f aca="false">IF($C41=0,"",I41/$C41)</f>
        <v>0.288888888888889</v>
      </c>
      <c r="V41" s="29" t="n">
        <f aca="false">IF($C41=0,"",K41/$C41)</f>
        <v>-0.133333333333333</v>
      </c>
      <c r="W41" s="29" t="n">
        <f aca="false">IF($C41=0,"",M41/$C41)</f>
        <v>-0.190142222222222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42</v>
      </c>
      <c r="D42" s="26" t="n">
        <v>12</v>
      </c>
      <c r="E42" s="26" t="n">
        <v>12</v>
      </c>
      <c r="F42" s="26" t="n">
        <v>26</v>
      </c>
      <c r="G42" s="26" t="n">
        <v>22</v>
      </c>
      <c r="H42" s="26" t="n">
        <v>15</v>
      </c>
      <c r="I42" s="26" t="n">
        <v>12</v>
      </c>
      <c r="J42" s="26" t="n">
        <v>0</v>
      </c>
      <c r="K42" s="27" t="n">
        <v>-6</v>
      </c>
      <c r="L42" s="27" t="n">
        <v>2.3666</v>
      </c>
      <c r="M42" s="19" t="n">
        <f aca="false">K42-L42</f>
        <v>-8.3666</v>
      </c>
      <c r="N42" s="26" t="n">
        <v>2</v>
      </c>
      <c r="O42" s="26" t="n">
        <v>8</v>
      </c>
      <c r="P42" s="28" t="n">
        <f aca="false">IF($C42=0,"",D42/$C42)</f>
        <v>0.285714285714286</v>
      </c>
      <c r="Q42" s="28" t="n">
        <f aca="false">IF($C42=0,"",E42/$C42)</f>
        <v>0.285714285714286</v>
      </c>
      <c r="R42" s="28" t="n">
        <f aca="false">IF($C42=0,"",F42/$C42)</f>
        <v>0.619047619047619</v>
      </c>
      <c r="S42" s="28" t="n">
        <f aca="false">IF($C42=0,"",G42/$C42)</f>
        <v>0.523809523809524</v>
      </c>
      <c r="T42" s="28" t="n">
        <f aca="false">IF($C42=0,"",H42/$C42)</f>
        <v>0.357142857142857</v>
      </c>
      <c r="U42" s="28" t="n">
        <f aca="false">IF($C42=0,"",I42/$C42)</f>
        <v>0.285714285714286</v>
      </c>
      <c r="V42" s="29" t="n">
        <f aca="false">IF($C42=0,"",K42/$C42)</f>
        <v>-0.142857142857143</v>
      </c>
      <c r="W42" s="29" t="n">
        <f aca="false">IF($C42=0,"",M42/$C42)</f>
        <v>-0.199204761904762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37</v>
      </c>
      <c r="D43" s="26" t="n">
        <v>15</v>
      </c>
      <c r="E43" s="26" t="n">
        <v>15</v>
      </c>
      <c r="F43" s="26" t="n">
        <v>24</v>
      </c>
      <c r="G43" s="26" t="n">
        <v>19</v>
      </c>
      <c r="H43" s="26" t="n">
        <v>15</v>
      </c>
      <c r="I43" s="26" t="n">
        <v>15</v>
      </c>
      <c r="J43" s="26" t="n">
        <v>0</v>
      </c>
      <c r="K43" s="27" t="n">
        <v>8</v>
      </c>
      <c r="L43" s="27" t="n">
        <v>1.3985</v>
      </c>
      <c r="M43" s="19" t="n">
        <f aca="false">K43-L43</f>
        <v>6.6015</v>
      </c>
      <c r="N43" s="26" t="n">
        <v>4</v>
      </c>
      <c r="O43" s="26" t="n">
        <v>6</v>
      </c>
      <c r="P43" s="28" t="n">
        <f aca="false">IF($C43=0,"",D43/$C43)</f>
        <v>0.405405405405405</v>
      </c>
      <c r="Q43" s="28" t="n">
        <f aca="false">IF($C43=0,"",E43/$C43)</f>
        <v>0.405405405405405</v>
      </c>
      <c r="R43" s="28" t="n">
        <f aca="false">IF($C43=0,"",F43/$C43)</f>
        <v>0.648648648648649</v>
      </c>
      <c r="S43" s="28" t="n">
        <f aca="false">IF($C43=0,"",G43/$C43)</f>
        <v>0.513513513513514</v>
      </c>
      <c r="T43" s="28" t="n">
        <f aca="false">IF($C43=0,"",H43/$C43)</f>
        <v>0.405405405405405</v>
      </c>
      <c r="U43" s="28" t="n">
        <f aca="false">IF($C43=0,"",I43/$C43)</f>
        <v>0.405405405405405</v>
      </c>
      <c r="V43" s="29" t="n">
        <f aca="false">IF($C43=0,"",K43/$C43)</f>
        <v>0.216216216216216</v>
      </c>
      <c r="W43" s="29" t="n">
        <f aca="false">IF($C43=0,"",M43/$C43)</f>
        <v>0.178418918918919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531</v>
      </c>
      <c r="D44" s="30" t="n">
        <f aca="false">SUM(D32:D43)</f>
        <v>166</v>
      </c>
      <c r="E44" s="30" t="n">
        <f aca="false">SUM(E32:E43)</f>
        <v>166</v>
      </c>
      <c r="F44" s="30" t="n">
        <f aca="false">SUM(F32:F43)</f>
        <v>312</v>
      </c>
      <c r="G44" s="30" t="n">
        <f aca="false">SUM(G32:G43)</f>
        <v>250</v>
      </c>
      <c r="H44" s="30" t="n">
        <f aca="false">SUM(H32:H43)</f>
        <v>192</v>
      </c>
      <c r="I44" s="30" t="n">
        <f aca="false">SUM(I32:I43)</f>
        <v>166</v>
      </c>
      <c r="J44" s="30" t="n">
        <f aca="false">SUM(J32:J43)</f>
        <v>0</v>
      </c>
      <c r="K44" s="31" t="n">
        <f aca="false">SUM(K32:K43)</f>
        <v>-33</v>
      </c>
      <c r="L44" s="31" t="n">
        <f aca="false">SUM(L32:L43)</f>
        <v>46.0707</v>
      </c>
      <c r="M44" s="31" t="n">
        <f aca="false">K44-L44</f>
        <v>-79.0707</v>
      </c>
      <c r="N44" s="32" t="n">
        <v>5</v>
      </c>
      <c r="O44" s="32" t="n">
        <v>16</v>
      </c>
      <c r="P44" s="33" t="n">
        <f aca="false">IF($C44=0,"",D44/$C44)</f>
        <v>0.312617702448211</v>
      </c>
      <c r="Q44" s="33" t="n">
        <f aca="false">IF($C44=0,"",E44/$C44)</f>
        <v>0.312617702448211</v>
      </c>
      <c r="R44" s="33" t="n">
        <f aca="false">IF($C44=0,"",F44/$C44)</f>
        <v>0.587570621468927</v>
      </c>
      <c r="S44" s="33" t="n">
        <f aca="false">IF($C44=0,"",G44/$C44)</f>
        <v>0.470809792843691</v>
      </c>
      <c r="T44" s="33" t="n">
        <f aca="false">IF($C44=0,"",H44/$C44)</f>
        <v>0.361581920903955</v>
      </c>
      <c r="U44" s="33" t="n">
        <f aca="false">IF($C44=0,"",I44/$C44)</f>
        <v>0.312617702448211</v>
      </c>
      <c r="V44" s="34" t="n">
        <f aca="false">IF($C44=0,"",K44/$C44)</f>
        <v>-0.0621468926553672</v>
      </c>
      <c r="W44" s="34" t="n">
        <f aca="false">IF($C44=0,"",M44/$C44)</f>
        <v>-0.148909039548023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44</v>
      </c>
      <c r="D45" s="26" t="n">
        <v>17</v>
      </c>
      <c r="E45" s="26" t="n">
        <v>17</v>
      </c>
      <c r="F45" s="26" t="n">
        <v>26</v>
      </c>
      <c r="G45" s="26" t="n">
        <v>22</v>
      </c>
      <c r="H45" s="26" t="n">
        <v>20</v>
      </c>
      <c r="I45" s="26" t="n">
        <v>17</v>
      </c>
      <c r="J45" s="26" t="n">
        <v>0</v>
      </c>
      <c r="K45" s="27" t="n">
        <v>7</v>
      </c>
      <c r="L45" s="27" t="n">
        <v>1.4587</v>
      </c>
      <c r="M45" s="19" t="n">
        <f aca="false">K45-L45</f>
        <v>5.5413</v>
      </c>
      <c r="N45" s="26" t="n">
        <v>3</v>
      </c>
      <c r="O45" s="26" t="n">
        <v>5</v>
      </c>
      <c r="P45" s="28" t="n">
        <f aca="false">IF($C45=0,"",D45/$C45)</f>
        <v>0.386363636363636</v>
      </c>
      <c r="Q45" s="28" t="n">
        <f aca="false">IF($C45=0,"",E45/$C45)</f>
        <v>0.386363636363636</v>
      </c>
      <c r="R45" s="28" t="n">
        <f aca="false">IF($C45=0,"",F45/$C45)</f>
        <v>0.590909090909091</v>
      </c>
      <c r="S45" s="28" t="n">
        <f aca="false">IF($C45=0,"",G45/$C45)</f>
        <v>0.5</v>
      </c>
      <c r="T45" s="28" t="n">
        <f aca="false">IF($C45=0,"",H45/$C45)</f>
        <v>0.454545454545455</v>
      </c>
      <c r="U45" s="28" t="n">
        <f aca="false">IF($C45=0,"",I45/$C45)</f>
        <v>0.386363636363636</v>
      </c>
      <c r="V45" s="29" t="n">
        <f aca="false">IF($C45=0,"",K45/$C45)</f>
        <v>0.159090909090909</v>
      </c>
      <c r="W45" s="29" t="n">
        <f aca="false">IF($C45=0,"",M45/$C45)</f>
        <v>0.125938636363636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44</v>
      </c>
      <c r="D46" s="26" t="n">
        <v>10</v>
      </c>
      <c r="E46" s="26" t="n">
        <v>10</v>
      </c>
      <c r="F46" s="26" t="n">
        <v>27</v>
      </c>
      <c r="G46" s="26" t="n">
        <v>17</v>
      </c>
      <c r="H46" s="26" t="n">
        <v>13</v>
      </c>
      <c r="I46" s="26" t="n">
        <v>10</v>
      </c>
      <c r="J46" s="26" t="n">
        <v>0</v>
      </c>
      <c r="K46" s="27" t="n">
        <v>-14</v>
      </c>
      <c r="L46" s="27" t="n">
        <v>2.1756</v>
      </c>
      <c r="M46" s="19" t="n">
        <f aca="false">K46-L46</f>
        <v>-16.1756</v>
      </c>
      <c r="N46" s="26" t="n">
        <v>3</v>
      </c>
      <c r="O46" s="26" t="n">
        <v>9</v>
      </c>
      <c r="P46" s="28" t="n">
        <f aca="false">IF($C46=0,"",D46/$C46)</f>
        <v>0.227272727272727</v>
      </c>
      <c r="Q46" s="28" t="n">
        <f aca="false">IF($C46=0,"",E46/$C46)</f>
        <v>0.227272727272727</v>
      </c>
      <c r="R46" s="28" t="n">
        <f aca="false">IF($C46=0,"",F46/$C46)</f>
        <v>0.613636363636364</v>
      </c>
      <c r="S46" s="28" t="n">
        <f aca="false">IF($C46=0,"",G46/$C46)</f>
        <v>0.386363636363636</v>
      </c>
      <c r="T46" s="28" t="n">
        <f aca="false">IF($C46=0,"",H46/$C46)</f>
        <v>0.295454545454545</v>
      </c>
      <c r="U46" s="28" t="n">
        <f aca="false">IF($C46=0,"",I46/$C46)</f>
        <v>0.227272727272727</v>
      </c>
      <c r="V46" s="29" t="n">
        <f aca="false">IF($C46=0,"",K46/$C46)</f>
        <v>-0.318181818181818</v>
      </c>
      <c r="W46" s="29" t="n">
        <f aca="false">IF($C46=0,"",M46/$C46)</f>
        <v>-0.367627272727273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44</v>
      </c>
      <c r="D47" s="26" t="n">
        <v>14</v>
      </c>
      <c r="E47" s="26" t="n">
        <v>14</v>
      </c>
      <c r="F47" s="26" t="n">
        <v>21</v>
      </c>
      <c r="G47" s="26" t="n">
        <v>19</v>
      </c>
      <c r="H47" s="26" t="n">
        <v>16</v>
      </c>
      <c r="I47" s="26" t="n">
        <v>14</v>
      </c>
      <c r="J47" s="26" t="n">
        <v>0</v>
      </c>
      <c r="K47" s="27" t="n">
        <v>-2</v>
      </c>
      <c r="L47" s="27" t="n">
        <v>1.77</v>
      </c>
      <c r="M47" s="19" t="n">
        <f aca="false">K47-L47</f>
        <v>-3.77</v>
      </c>
      <c r="N47" s="26" t="n">
        <v>3</v>
      </c>
      <c r="O47" s="26" t="n">
        <v>12</v>
      </c>
      <c r="P47" s="28" t="n">
        <f aca="false">IF($C47=0,"",D47/$C47)</f>
        <v>0.318181818181818</v>
      </c>
      <c r="Q47" s="28" t="n">
        <f aca="false">IF($C47=0,"",E47/$C47)</f>
        <v>0.318181818181818</v>
      </c>
      <c r="R47" s="28" t="n">
        <f aca="false">IF($C47=0,"",F47/$C47)</f>
        <v>0.477272727272727</v>
      </c>
      <c r="S47" s="28" t="n">
        <f aca="false">IF($C47=0,"",G47/$C47)</f>
        <v>0.431818181818182</v>
      </c>
      <c r="T47" s="28" t="n">
        <f aca="false">IF($C47=0,"",H47/$C47)</f>
        <v>0.363636363636364</v>
      </c>
      <c r="U47" s="28" t="n">
        <f aca="false">IF($C47=0,"",I47/$C47)</f>
        <v>0.318181818181818</v>
      </c>
      <c r="V47" s="29" t="n">
        <f aca="false">IF($C47=0,"",K47/$C47)</f>
        <v>-0.0454545454545455</v>
      </c>
      <c r="W47" s="29" t="n">
        <f aca="false">IF($C47=0,"",M47/$C47)</f>
        <v>-0.0856818181818182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45</v>
      </c>
      <c r="D48" s="26" t="n">
        <v>16</v>
      </c>
      <c r="E48" s="26" t="n">
        <v>16</v>
      </c>
      <c r="F48" s="26" t="n">
        <v>26</v>
      </c>
      <c r="G48" s="26" t="n">
        <v>20</v>
      </c>
      <c r="H48" s="26" t="n">
        <v>18</v>
      </c>
      <c r="I48" s="26" t="n">
        <v>16</v>
      </c>
      <c r="J48" s="26" t="n">
        <v>0</v>
      </c>
      <c r="K48" s="27" t="n">
        <v>3</v>
      </c>
      <c r="L48" s="27" t="n">
        <v>0.8827</v>
      </c>
      <c r="M48" s="19" t="n">
        <f aca="false">K48-L48</f>
        <v>2.1173</v>
      </c>
      <c r="N48" s="26" t="n">
        <v>3</v>
      </c>
      <c r="O48" s="26" t="n">
        <v>8</v>
      </c>
      <c r="P48" s="28" t="n">
        <f aca="false">IF($C48=0,"",D48/$C48)</f>
        <v>0.355555555555556</v>
      </c>
      <c r="Q48" s="28" t="n">
        <f aca="false">IF($C48=0,"",E48/$C48)</f>
        <v>0.355555555555556</v>
      </c>
      <c r="R48" s="28" t="n">
        <f aca="false">IF($C48=0,"",F48/$C48)</f>
        <v>0.577777777777778</v>
      </c>
      <c r="S48" s="28" t="n">
        <f aca="false">IF($C48=0,"",G48/$C48)</f>
        <v>0.444444444444444</v>
      </c>
      <c r="T48" s="28" t="n">
        <f aca="false">IF($C48=0,"",H48/$C48)</f>
        <v>0.4</v>
      </c>
      <c r="U48" s="28" t="n">
        <f aca="false">IF($C48=0,"",I48/$C48)</f>
        <v>0.355555555555556</v>
      </c>
      <c r="V48" s="29" t="n">
        <f aca="false">IF($C48=0,"",K48/$C48)</f>
        <v>0.0666666666666667</v>
      </c>
      <c r="W48" s="29" t="n">
        <f aca="false">IF($C48=0,"",M48/$C48)</f>
        <v>0.0470511111111111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58</v>
      </c>
      <c r="D49" s="26" t="n">
        <v>19</v>
      </c>
      <c r="E49" s="26" t="n">
        <v>19</v>
      </c>
      <c r="F49" s="26" t="n">
        <v>33</v>
      </c>
      <c r="G49" s="26" t="n">
        <v>27</v>
      </c>
      <c r="H49" s="26" t="n">
        <v>21</v>
      </c>
      <c r="I49" s="26" t="n">
        <v>19</v>
      </c>
      <c r="J49" s="26" t="n">
        <v>0</v>
      </c>
      <c r="K49" s="27" t="n">
        <v>-1</v>
      </c>
      <c r="L49" s="27" t="n">
        <v>1.5995</v>
      </c>
      <c r="M49" s="19" t="n">
        <f aca="false">K49-L49</f>
        <v>-2.5995</v>
      </c>
      <c r="N49" s="26" t="n">
        <v>3</v>
      </c>
      <c r="O49" s="26" t="n">
        <v>8</v>
      </c>
      <c r="P49" s="28" t="n">
        <f aca="false">IF($C49=0,"",D49/$C49)</f>
        <v>0.327586206896552</v>
      </c>
      <c r="Q49" s="28" t="n">
        <f aca="false">IF($C49=0,"",E49/$C49)</f>
        <v>0.327586206896552</v>
      </c>
      <c r="R49" s="28" t="n">
        <f aca="false">IF($C49=0,"",F49/$C49)</f>
        <v>0.568965517241379</v>
      </c>
      <c r="S49" s="28" t="n">
        <f aca="false">IF($C49=0,"",G49/$C49)</f>
        <v>0.46551724137931</v>
      </c>
      <c r="T49" s="28" t="n">
        <f aca="false">IF($C49=0,"",H49/$C49)</f>
        <v>0.362068965517241</v>
      </c>
      <c r="U49" s="28" t="n">
        <f aca="false">IF($C49=0,"",I49/$C49)</f>
        <v>0.327586206896552</v>
      </c>
      <c r="V49" s="29" t="n">
        <f aca="false">IF($C49=0,"",K49/$C49)</f>
        <v>-0.0172413793103448</v>
      </c>
      <c r="W49" s="29" t="n">
        <f aca="false">IF($C49=0,"",M49/$C49)</f>
        <v>-0.0448189655172414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36</v>
      </c>
      <c r="D50" s="26" t="n">
        <v>13</v>
      </c>
      <c r="E50" s="26" t="n">
        <v>13</v>
      </c>
      <c r="F50" s="26" t="n">
        <v>23</v>
      </c>
      <c r="G50" s="26" t="n">
        <v>19</v>
      </c>
      <c r="H50" s="26" t="n">
        <v>15</v>
      </c>
      <c r="I50" s="26" t="n">
        <v>13</v>
      </c>
      <c r="J50" s="26" t="n">
        <v>0</v>
      </c>
      <c r="K50" s="27" t="n">
        <v>3</v>
      </c>
      <c r="L50" s="27" t="n">
        <v>1.4341</v>
      </c>
      <c r="M50" s="19" t="n">
        <f aca="false">K50-L50</f>
        <v>1.5659</v>
      </c>
      <c r="N50" s="26" t="n">
        <v>3</v>
      </c>
      <c r="O50" s="26" t="n">
        <v>5</v>
      </c>
      <c r="P50" s="28" t="n">
        <f aca="false">IF($C50=0,"",D50/$C50)</f>
        <v>0.361111111111111</v>
      </c>
      <c r="Q50" s="28" t="n">
        <f aca="false">IF($C50=0,"",E50/$C50)</f>
        <v>0.361111111111111</v>
      </c>
      <c r="R50" s="28" t="n">
        <f aca="false">IF($C50=0,"",F50/$C50)</f>
        <v>0.638888888888889</v>
      </c>
      <c r="S50" s="28" t="n">
        <f aca="false">IF($C50=0,"",G50/$C50)</f>
        <v>0.527777777777778</v>
      </c>
      <c r="T50" s="28" t="n">
        <f aca="false">IF($C50=0,"",H50/$C50)</f>
        <v>0.416666666666667</v>
      </c>
      <c r="U50" s="28" t="n">
        <f aca="false">IF($C50=0,"",I50/$C50)</f>
        <v>0.361111111111111</v>
      </c>
      <c r="V50" s="29" t="n">
        <f aca="false">IF($C50=0,"",K50/$C50)</f>
        <v>0.0833333333333333</v>
      </c>
      <c r="W50" s="29" t="n">
        <f aca="false">IF($C50=0,"",M50/$C50)</f>
        <v>0.0434972222222222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60</v>
      </c>
      <c r="D51" s="26" t="n">
        <v>21</v>
      </c>
      <c r="E51" s="26" t="n">
        <v>21</v>
      </c>
      <c r="F51" s="26" t="n">
        <v>39</v>
      </c>
      <c r="G51" s="26" t="n">
        <v>32</v>
      </c>
      <c r="H51" s="26" t="n">
        <v>24</v>
      </c>
      <c r="I51" s="26" t="n">
        <v>21</v>
      </c>
      <c r="J51" s="26" t="n">
        <v>0</v>
      </c>
      <c r="K51" s="27" t="n">
        <v>3</v>
      </c>
      <c r="L51" s="27" t="n">
        <v>1.8239</v>
      </c>
      <c r="M51" s="19" t="n">
        <f aca="false">K51-L51</f>
        <v>1.1761</v>
      </c>
      <c r="N51" s="26" t="n">
        <v>4</v>
      </c>
      <c r="O51" s="26" t="n">
        <v>10</v>
      </c>
      <c r="P51" s="28" t="n">
        <f aca="false">IF($C51=0,"",D51/$C51)</f>
        <v>0.35</v>
      </c>
      <c r="Q51" s="28" t="n">
        <f aca="false">IF($C51=0,"",E51/$C51)</f>
        <v>0.35</v>
      </c>
      <c r="R51" s="28" t="n">
        <f aca="false">IF($C51=0,"",F51/$C51)</f>
        <v>0.65</v>
      </c>
      <c r="S51" s="28" t="n">
        <f aca="false">IF($C51=0,"",G51/$C51)</f>
        <v>0.533333333333333</v>
      </c>
      <c r="T51" s="28" t="n">
        <f aca="false">IF($C51=0,"",H51/$C51)</f>
        <v>0.4</v>
      </c>
      <c r="U51" s="28" t="n">
        <f aca="false">IF($C51=0,"",I51/$C51)</f>
        <v>0.35</v>
      </c>
      <c r="V51" s="29" t="n">
        <f aca="false">IF($C51=0,"",K51/$C51)</f>
        <v>0.05</v>
      </c>
      <c r="W51" s="29" t="n">
        <f aca="false">IF($C51=0,"",M51/$C51)</f>
        <v>0.0196016666666667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48</v>
      </c>
      <c r="D52" s="26" t="n">
        <v>17</v>
      </c>
      <c r="E52" s="26" t="n">
        <v>17</v>
      </c>
      <c r="F52" s="26" t="n">
        <v>25</v>
      </c>
      <c r="G52" s="26" t="n">
        <v>22</v>
      </c>
      <c r="H52" s="26" t="n">
        <v>19</v>
      </c>
      <c r="I52" s="26" t="n">
        <v>17</v>
      </c>
      <c r="J52" s="26" t="n">
        <v>0</v>
      </c>
      <c r="K52" s="27" t="n">
        <v>3</v>
      </c>
      <c r="L52" s="27" t="n">
        <v>1.1882</v>
      </c>
      <c r="M52" s="19" t="n">
        <f aca="false">K52-L52</f>
        <v>1.8118</v>
      </c>
      <c r="N52" s="26" t="n">
        <v>3</v>
      </c>
      <c r="O52" s="26" t="n">
        <v>8</v>
      </c>
      <c r="P52" s="28" t="n">
        <f aca="false">IF($C52=0,"",D52/$C52)</f>
        <v>0.354166666666667</v>
      </c>
      <c r="Q52" s="28" t="n">
        <f aca="false">IF($C52=0,"",E52/$C52)</f>
        <v>0.354166666666667</v>
      </c>
      <c r="R52" s="28" t="n">
        <f aca="false">IF($C52=0,"",F52/$C52)</f>
        <v>0.520833333333333</v>
      </c>
      <c r="S52" s="28" t="n">
        <f aca="false">IF($C52=0,"",G52/$C52)</f>
        <v>0.458333333333333</v>
      </c>
      <c r="T52" s="28" t="n">
        <f aca="false">IF($C52=0,"",H52/$C52)</f>
        <v>0.395833333333333</v>
      </c>
      <c r="U52" s="28" t="n">
        <f aca="false">IF($C52=0,"",I52/$C52)</f>
        <v>0.354166666666667</v>
      </c>
      <c r="V52" s="29" t="n">
        <f aca="false">IF($C52=0,"",K52/$C52)</f>
        <v>0.0625</v>
      </c>
      <c r="W52" s="29" t="n">
        <f aca="false">IF($C52=0,"",M52/$C52)</f>
        <v>0.0377458333333333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42</v>
      </c>
      <c r="D53" s="26" t="n">
        <v>12</v>
      </c>
      <c r="E53" s="26" t="n">
        <v>12</v>
      </c>
      <c r="F53" s="26" t="n">
        <v>21</v>
      </c>
      <c r="G53" s="26" t="n">
        <v>18</v>
      </c>
      <c r="H53" s="26" t="n">
        <v>14</v>
      </c>
      <c r="I53" s="26" t="n">
        <v>12</v>
      </c>
      <c r="J53" s="26" t="n">
        <v>0</v>
      </c>
      <c r="K53" s="27" t="n">
        <v>-6</v>
      </c>
      <c r="L53" s="27" t="n">
        <v>1.2073</v>
      </c>
      <c r="M53" s="19" t="n">
        <f aca="false">K53-L53</f>
        <v>-7.2073</v>
      </c>
      <c r="N53" s="26" t="n">
        <v>3</v>
      </c>
      <c r="O53" s="26" t="n">
        <v>13</v>
      </c>
      <c r="P53" s="28" t="n">
        <f aca="false">IF($C53=0,"",D53/$C53)</f>
        <v>0.285714285714286</v>
      </c>
      <c r="Q53" s="28" t="n">
        <f aca="false">IF($C53=0,"",E53/$C53)</f>
        <v>0.285714285714286</v>
      </c>
      <c r="R53" s="28" t="n">
        <f aca="false">IF($C53=0,"",F53/$C53)</f>
        <v>0.5</v>
      </c>
      <c r="S53" s="28" t="n">
        <f aca="false">IF($C53=0,"",G53/$C53)</f>
        <v>0.428571428571429</v>
      </c>
      <c r="T53" s="28" t="n">
        <f aca="false">IF($C53=0,"",H53/$C53)</f>
        <v>0.333333333333333</v>
      </c>
      <c r="U53" s="28" t="n">
        <f aca="false">IF($C53=0,"",I53/$C53)</f>
        <v>0.285714285714286</v>
      </c>
      <c r="V53" s="29" t="n">
        <f aca="false">IF($C53=0,"",K53/$C53)</f>
        <v>-0.142857142857143</v>
      </c>
      <c r="W53" s="29" t="n">
        <f aca="false">IF($C53=0,"",M53/$C53)</f>
        <v>-0.171602380952381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61</v>
      </c>
      <c r="D54" s="26" t="n">
        <v>15</v>
      </c>
      <c r="E54" s="26" t="n">
        <v>15</v>
      </c>
      <c r="F54" s="26" t="n">
        <v>31</v>
      </c>
      <c r="G54" s="26" t="n">
        <v>24</v>
      </c>
      <c r="H54" s="26" t="n">
        <v>17</v>
      </c>
      <c r="I54" s="26" t="n">
        <v>15</v>
      </c>
      <c r="J54" s="26" t="n">
        <v>0</v>
      </c>
      <c r="K54" s="27" t="n">
        <v>-16</v>
      </c>
      <c r="L54" s="27" t="n">
        <v>1.7798</v>
      </c>
      <c r="M54" s="19" t="n">
        <f aca="false">K54-L54</f>
        <v>-17.7798</v>
      </c>
      <c r="N54" s="26" t="n">
        <v>2</v>
      </c>
      <c r="O54" s="26" t="n">
        <v>6</v>
      </c>
      <c r="P54" s="28" t="n">
        <f aca="false">IF($C54=0,"",D54/$C54)</f>
        <v>0.245901639344262</v>
      </c>
      <c r="Q54" s="28" t="n">
        <f aca="false">IF($C54=0,"",E54/$C54)</f>
        <v>0.245901639344262</v>
      </c>
      <c r="R54" s="28" t="n">
        <f aca="false">IF($C54=0,"",F54/$C54)</f>
        <v>0.508196721311475</v>
      </c>
      <c r="S54" s="28" t="n">
        <f aca="false">IF($C54=0,"",G54/$C54)</f>
        <v>0.39344262295082</v>
      </c>
      <c r="T54" s="28" t="n">
        <f aca="false">IF($C54=0,"",H54/$C54)</f>
        <v>0.278688524590164</v>
      </c>
      <c r="U54" s="28" t="n">
        <f aca="false">IF($C54=0,"",I54/$C54)</f>
        <v>0.245901639344262</v>
      </c>
      <c r="V54" s="29" t="n">
        <f aca="false">IF($C54=0,"",K54/$C54)</f>
        <v>-0.262295081967213</v>
      </c>
      <c r="W54" s="29" t="n">
        <f aca="false">IF($C54=0,"",M54/$C54)</f>
        <v>-0.291472131147541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45</v>
      </c>
      <c r="D55" s="26" t="n">
        <v>17</v>
      </c>
      <c r="E55" s="26" t="n">
        <v>17</v>
      </c>
      <c r="F55" s="26" t="n">
        <v>25</v>
      </c>
      <c r="G55" s="26" t="n">
        <v>22</v>
      </c>
      <c r="H55" s="26" t="n">
        <v>17</v>
      </c>
      <c r="I55" s="26" t="n">
        <v>17</v>
      </c>
      <c r="J55" s="26" t="n">
        <v>0</v>
      </c>
      <c r="K55" s="27" t="n">
        <v>6</v>
      </c>
      <c r="L55" s="27" t="n">
        <v>1.0584</v>
      </c>
      <c r="M55" s="19" t="n">
        <f aca="false">K55-L55</f>
        <v>4.9416</v>
      </c>
      <c r="N55" s="26" t="n">
        <v>4</v>
      </c>
      <c r="O55" s="26" t="n">
        <v>5</v>
      </c>
      <c r="P55" s="28" t="n">
        <f aca="false">IF($C55=0,"",D55/$C55)</f>
        <v>0.377777777777778</v>
      </c>
      <c r="Q55" s="28" t="n">
        <f aca="false">IF($C55=0,"",E55/$C55)</f>
        <v>0.377777777777778</v>
      </c>
      <c r="R55" s="28" t="n">
        <f aca="false">IF($C55=0,"",F55/$C55)</f>
        <v>0.555555555555556</v>
      </c>
      <c r="S55" s="28" t="n">
        <f aca="false">IF($C55=0,"",G55/$C55)</f>
        <v>0.488888888888889</v>
      </c>
      <c r="T55" s="28" t="n">
        <f aca="false">IF($C55=0,"",H55/$C55)</f>
        <v>0.377777777777778</v>
      </c>
      <c r="U55" s="28" t="n">
        <f aca="false">IF($C55=0,"",I55/$C55)</f>
        <v>0.377777777777778</v>
      </c>
      <c r="V55" s="29" t="n">
        <f aca="false">IF($C55=0,"",K55/$C55)</f>
        <v>0.133333333333333</v>
      </c>
      <c r="W55" s="29" t="n">
        <f aca="false">IF($C55=0,"",M55/$C55)</f>
        <v>0.109813333333333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44</v>
      </c>
      <c r="D56" s="26" t="n">
        <v>18</v>
      </c>
      <c r="E56" s="26" t="n">
        <v>18</v>
      </c>
      <c r="F56" s="26" t="n">
        <v>31</v>
      </c>
      <c r="G56" s="26" t="n">
        <v>23</v>
      </c>
      <c r="H56" s="26" t="n">
        <v>21</v>
      </c>
      <c r="I56" s="26" t="n">
        <v>18</v>
      </c>
      <c r="J56" s="26" t="n">
        <v>0</v>
      </c>
      <c r="K56" s="27" t="n">
        <v>10</v>
      </c>
      <c r="L56" s="27" t="n">
        <v>1.0161</v>
      </c>
      <c r="M56" s="19" t="n">
        <f aca="false">K56-L56</f>
        <v>8.9839</v>
      </c>
      <c r="N56" s="26" t="n">
        <v>4</v>
      </c>
      <c r="O56" s="26" t="n">
        <v>7</v>
      </c>
      <c r="P56" s="28" t="n">
        <f aca="false">IF($C56=0,"",D56/$C56)</f>
        <v>0.409090909090909</v>
      </c>
      <c r="Q56" s="28" t="n">
        <f aca="false">IF($C56=0,"",E56/$C56)</f>
        <v>0.409090909090909</v>
      </c>
      <c r="R56" s="28" t="n">
        <f aca="false">IF($C56=0,"",F56/$C56)</f>
        <v>0.704545454545455</v>
      </c>
      <c r="S56" s="28" t="n">
        <f aca="false">IF($C56=0,"",G56/$C56)</f>
        <v>0.522727272727273</v>
      </c>
      <c r="T56" s="28" t="n">
        <f aca="false">IF($C56=0,"",H56/$C56)</f>
        <v>0.477272727272727</v>
      </c>
      <c r="U56" s="28" t="n">
        <f aca="false">IF($C56=0,"",I56/$C56)</f>
        <v>0.409090909090909</v>
      </c>
      <c r="V56" s="29" t="n">
        <f aca="false">IF($C56=0,"",K56/$C56)</f>
        <v>0.227272727272727</v>
      </c>
      <c r="W56" s="29" t="n">
        <f aca="false">IF($C56=0,"",M56/$C56)</f>
        <v>0.204179545454545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571</v>
      </c>
      <c r="D57" s="30" t="n">
        <f aca="false">SUM(D45:D56)</f>
        <v>189</v>
      </c>
      <c r="E57" s="30" t="n">
        <f aca="false">SUM(E45:E56)</f>
        <v>189</v>
      </c>
      <c r="F57" s="30" t="n">
        <f aca="false">SUM(F45:F56)</f>
        <v>328</v>
      </c>
      <c r="G57" s="30" t="n">
        <f aca="false">SUM(G45:G56)</f>
        <v>265</v>
      </c>
      <c r="H57" s="30" t="n">
        <f aca="false">SUM(H45:H56)</f>
        <v>215</v>
      </c>
      <c r="I57" s="30" t="n">
        <f aca="false">SUM(I45:I56)</f>
        <v>189</v>
      </c>
      <c r="J57" s="30" t="n">
        <f aca="false">SUM(J45:J56)</f>
        <v>0</v>
      </c>
      <c r="K57" s="31" t="n">
        <f aca="false">SUM(K45:K56)</f>
        <v>-4</v>
      </c>
      <c r="L57" s="31" t="n">
        <f aca="false">SUM(L45:L56)</f>
        <v>17.3943</v>
      </c>
      <c r="M57" s="31" t="n">
        <f aca="false">K57-L57</f>
        <v>-21.3943</v>
      </c>
      <c r="N57" s="32" t="n">
        <v>4</v>
      </c>
      <c r="O57" s="32" t="n">
        <v>13</v>
      </c>
      <c r="P57" s="33" t="n">
        <f aca="false">IF($C57=0,"",D57/$C57)</f>
        <v>0.330998248686515</v>
      </c>
      <c r="Q57" s="33" t="n">
        <f aca="false">IF($C57=0,"",E57/$C57)</f>
        <v>0.330998248686515</v>
      </c>
      <c r="R57" s="33" t="n">
        <f aca="false">IF($C57=0,"",F57/$C57)</f>
        <v>0.574430823117338</v>
      </c>
      <c r="S57" s="33" t="n">
        <f aca="false">IF($C57=0,"",G57/$C57)</f>
        <v>0.464098073555166</v>
      </c>
      <c r="T57" s="33" t="n">
        <f aca="false">IF($C57=0,"",H57/$C57)</f>
        <v>0.376532399299475</v>
      </c>
      <c r="U57" s="33" t="n">
        <f aca="false">IF($C57=0,"",I57/$C57)</f>
        <v>0.330998248686515</v>
      </c>
      <c r="V57" s="34" t="n">
        <f aca="false">IF($C57=0,"",K57/$C57)</f>
        <v>-0.00700525394045534</v>
      </c>
      <c r="W57" s="34" t="n">
        <f aca="false">IF($C57=0,"",M57/$C57)</f>
        <v>-0.0374681260945709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42</v>
      </c>
      <c r="D58" s="26" t="n">
        <v>14</v>
      </c>
      <c r="E58" s="26" t="n">
        <v>14</v>
      </c>
      <c r="F58" s="26" t="n">
        <v>29</v>
      </c>
      <c r="G58" s="26" t="n">
        <v>22</v>
      </c>
      <c r="H58" s="26" t="n">
        <v>17</v>
      </c>
      <c r="I58" s="26" t="n">
        <v>14</v>
      </c>
      <c r="J58" s="26" t="n">
        <v>0</v>
      </c>
      <c r="K58" s="27" t="n">
        <v>0</v>
      </c>
      <c r="L58" s="27" t="n">
        <v>1.0014</v>
      </c>
      <c r="M58" s="19" t="n">
        <f aca="false">K58-L58</f>
        <v>-1.0014</v>
      </c>
      <c r="N58" s="26" t="n">
        <v>3</v>
      </c>
      <c r="O58" s="26" t="n">
        <v>7</v>
      </c>
      <c r="P58" s="28" t="n">
        <f aca="false">IF($C58=0,"",D58/$C58)</f>
        <v>0.333333333333333</v>
      </c>
      <c r="Q58" s="28" t="n">
        <f aca="false">IF($C58=0,"",E58/$C58)</f>
        <v>0.333333333333333</v>
      </c>
      <c r="R58" s="28" t="n">
        <f aca="false">IF($C58=0,"",F58/$C58)</f>
        <v>0.690476190476191</v>
      </c>
      <c r="S58" s="28" t="n">
        <f aca="false">IF($C58=0,"",G58/$C58)</f>
        <v>0.523809523809524</v>
      </c>
      <c r="T58" s="28" t="n">
        <f aca="false">IF($C58=0,"",H58/$C58)</f>
        <v>0.404761904761905</v>
      </c>
      <c r="U58" s="28" t="n">
        <f aca="false">IF($C58=0,"",I58/$C58)</f>
        <v>0.333333333333333</v>
      </c>
      <c r="V58" s="29" t="n">
        <f aca="false">IF($C58=0,"",K58/$C58)</f>
        <v>0</v>
      </c>
      <c r="W58" s="29" t="n">
        <f aca="false">IF($C58=0,"",M58/$C58)</f>
        <v>-0.0238428571428571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48</v>
      </c>
      <c r="D59" s="26" t="n">
        <v>20</v>
      </c>
      <c r="E59" s="26" t="n">
        <v>20</v>
      </c>
      <c r="F59" s="26" t="n">
        <v>31</v>
      </c>
      <c r="G59" s="26" t="n">
        <v>24</v>
      </c>
      <c r="H59" s="26" t="n">
        <v>20</v>
      </c>
      <c r="I59" s="26" t="n">
        <v>20</v>
      </c>
      <c r="J59" s="26" t="n">
        <v>0</v>
      </c>
      <c r="K59" s="27" t="n">
        <v>12</v>
      </c>
      <c r="L59" s="27" t="n">
        <v>1.1058</v>
      </c>
      <c r="M59" s="19" t="n">
        <f aca="false">K59-L59</f>
        <v>10.8942</v>
      </c>
      <c r="N59" s="26" t="n">
        <v>3</v>
      </c>
      <c r="O59" s="26" t="n">
        <v>8</v>
      </c>
      <c r="P59" s="28" t="n">
        <f aca="false">IF($C59=0,"",D59/$C59)</f>
        <v>0.416666666666667</v>
      </c>
      <c r="Q59" s="28" t="n">
        <f aca="false">IF($C59=0,"",E59/$C59)</f>
        <v>0.416666666666667</v>
      </c>
      <c r="R59" s="28" t="n">
        <f aca="false">IF($C59=0,"",F59/$C59)</f>
        <v>0.645833333333333</v>
      </c>
      <c r="S59" s="28" t="n">
        <f aca="false">IF($C59=0,"",G59/$C59)</f>
        <v>0.5</v>
      </c>
      <c r="T59" s="28" t="n">
        <f aca="false">IF($C59=0,"",H59/$C59)</f>
        <v>0.416666666666667</v>
      </c>
      <c r="U59" s="28" t="n">
        <f aca="false">IF($C59=0,"",I59/$C59)</f>
        <v>0.416666666666667</v>
      </c>
      <c r="V59" s="29" t="n">
        <f aca="false">IF($C59=0,"",K59/$C59)</f>
        <v>0.25</v>
      </c>
      <c r="W59" s="29" t="n">
        <f aca="false">IF($C59=0,"",M59/$C59)</f>
        <v>0.2269625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53</v>
      </c>
      <c r="D60" s="26" t="n">
        <v>11</v>
      </c>
      <c r="E60" s="26" t="n">
        <v>11</v>
      </c>
      <c r="F60" s="26" t="n">
        <v>29</v>
      </c>
      <c r="G60" s="26" t="n">
        <v>20</v>
      </c>
      <c r="H60" s="26" t="n">
        <v>14</v>
      </c>
      <c r="I60" s="26" t="n">
        <v>11</v>
      </c>
      <c r="J60" s="26" t="n">
        <v>0</v>
      </c>
      <c r="K60" s="27" t="n">
        <v>-20</v>
      </c>
      <c r="L60" s="27" t="n">
        <v>1.2698</v>
      </c>
      <c r="M60" s="19" t="n">
        <f aca="false">K60-L60</f>
        <v>-21.2698</v>
      </c>
      <c r="N60" s="26" t="n">
        <v>2</v>
      </c>
      <c r="O60" s="26" t="n">
        <v>18</v>
      </c>
      <c r="P60" s="28" t="n">
        <f aca="false">IF($C60=0,"",D60/$C60)</f>
        <v>0.207547169811321</v>
      </c>
      <c r="Q60" s="28" t="n">
        <f aca="false">IF($C60=0,"",E60/$C60)</f>
        <v>0.207547169811321</v>
      </c>
      <c r="R60" s="28" t="n">
        <f aca="false">IF($C60=0,"",F60/$C60)</f>
        <v>0.547169811320755</v>
      </c>
      <c r="S60" s="28" t="n">
        <f aca="false">IF($C60=0,"",G60/$C60)</f>
        <v>0.377358490566038</v>
      </c>
      <c r="T60" s="28" t="n">
        <f aca="false">IF($C60=0,"",H60/$C60)</f>
        <v>0.264150943396226</v>
      </c>
      <c r="U60" s="28" t="n">
        <f aca="false">IF($C60=0,"",I60/$C60)</f>
        <v>0.207547169811321</v>
      </c>
      <c r="V60" s="29" t="n">
        <f aca="false">IF($C60=0,"",K60/$C60)</f>
        <v>-0.377358490566038</v>
      </c>
      <c r="W60" s="29" t="n">
        <f aca="false">IF($C60=0,"",M60/$C60)</f>
        <v>-0.401316981132076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55</v>
      </c>
      <c r="D61" s="26" t="n">
        <v>21</v>
      </c>
      <c r="E61" s="26" t="n">
        <v>21</v>
      </c>
      <c r="F61" s="26" t="n">
        <v>34</v>
      </c>
      <c r="G61" s="26" t="n">
        <v>30</v>
      </c>
      <c r="H61" s="26" t="n">
        <v>23</v>
      </c>
      <c r="I61" s="26" t="n">
        <v>21</v>
      </c>
      <c r="J61" s="26" t="n">
        <v>0</v>
      </c>
      <c r="K61" s="27" t="n">
        <v>8</v>
      </c>
      <c r="L61" s="27" t="n">
        <v>0.6226</v>
      </c>
      <c r="M61" s="19" t="n">
        <f aca="false">K61-L61</f>
        <v>7.3774</v>
      </c>
      <c r="N61" s="26" t="n">
        <v>3</v>
      </c>
      <c r="O61" s="26" t="n">
        <v>6</v>
      </c>
      <c r="P61" s="28" t="n">
        <f aca="false">IF($C61=0,"",D61/$C61)</f>
        <v>0.381818181818182</v>
      </c>
      <c r="Q61" s="28" t="n">
        <f aca="false">IF($C61=0,"",E61/$C61)</f>
        <v>0.381818181818182</v>
      </c>
      <c r="R61" s="28" t="n">
        <f aca="false">IF($C61=0,"",F61/$C61)</f>
        <v>0.618181818181818</v>
      </c>
      <c r="S61" s="28" t="n">
        <f aca="false">IF($C61=0,"",G61/$C61)</f>
        <v>0.545454545454545</v>
      </c>
      <c r="T61" s="28" t="n">
        <f aca="false">IF($C61=0,"",H61/$C61)</f>
        <v>0.418181818181818</v>
      </c>
      <c r="U61" s="28" t="n">
        <f aca="false">IF($C61=0,"",I61/$C61)</f>
        <v>0.381818181818182</v>
      </c>
      <c r="V61" s="29" t="n">
        <f aca="false">IF($C61=0,"",K61/$C61)</f>
        <v>0.145454545454545</v>
      </c>
      <c r="W61" s="29" t="n">
        <f aca="false">IF($C61=0,"",M61/$C61)</f>
        <v>0.134134545454545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53</v>
      </c>
      <c r="D62" s="26" t="n">
        <v>12</v>
      </c>
      <c r="E62" s="26" t="n">
        <v>12</v>
      </c>
      <c r="F62" s="26" t="n">
        <v>31</v>
      </c>
      <c r="G62" s="26" t="n">
        <v>22</v>
      </c>
      <c r="H62" s="26" t="n">
        <v>16</v>
      </c>
      <c r="I62" s="26" t="n">
        <v>12</v>
      </c>
      <c r="J62" s="26" t="n">
        <v>0</v>
      </c>
      <c r="K62" s="27" t="n">
        <v>-17</v>
      </c>
      <c r="L62" s="27" t="n">
        <v>0.709</v>
      </c>
      <c r="M62" s="19" t="n">
        <f aca="false">K62-L62</f>
        <v>-17.709</v>
      </c>
      <c r="N62" s="26" t="n">
        <v>2</v>
      </c>
      <c r="O62" s="26" t="n">
        <v>12</v>
      </c>
      <c r="P62" s="28" t="n">
        <f aca="false">IF($C62=0,"",D62/$C62)</f>
        <v>0.226415094339623</v>
      </c>
      <c r="Q62" s="28" t="n">
        <f aca="false">IF($C62=0,"",E62/$C62)</f>
        <v>0.226415094339623</v>
      </c>
      <c r="R62" s="28" t="n">
        <f aca="false">IF($C62=0,"",F62/$C62)</f>
        <v>0.584905660377359</v>
      </c>
      <c r="S62" s="28" t="n">
        <f aca="false">IF($C62=0,"",G62/$C62)</f>
        <v>0.415094339622642</v>
      </c>
      <c r="T62" s="28" t="n">
        <f aca="false">IF($C62=0,"",H62/$C62)</f>
        <v>0.30188679245283</v>
      </c>
      <c r="U62" s="28" t="n">
        <f aca="false">IF($C62=0,"",I62/$C62)</f>
        <v>0.226415094339623</v>
      </c>
      <c r="V62" s="29" t="n">
        <f aca="false">IF($C62=0,"",K62/$C62)</f>
        <v>-0.320754716981132</v>
      </c>
      <c r="W62" s="29" t="n">
        <f aca="false">IF($C62=0,"",M62/$C62)</f>
        <v>-0.334132075471698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51</v>
      </c>
      <c r="D63" s="26" t="n">
        <v>16</v>
      </c>
      <c r="E63" s="26" t="n">
        <v>16</v>
      </c>
      <c r="F63" s="26" t="n">
        <v>28</v>
      </c>
      <c r="G63" s="26" t="n">
        <v>22</v>
      </c>
      <c r="H63" s="26" t="n">
        <v>18</v>
      </c>
      <c r="I63" s="26" t="n">
        <v>16</v>
      </c>
      <c r="J63" s="26" t="n">
        <v>0</v>
      </c>
      <c r="K63" s="27" t="n">
        <v>-3</v>
      </c>
      <c r="L63" s="27" t="n">
        <v>0.8845</v>
      </c>
      <c r="M63" s="19" t="n">
        <f aca="false">K63-L63</f>
        <v>-3.8845</v>
      </c>
      <c r="N63" s="26" t="n">
        <v>3</v>
      </c>
      <c r="O63" s="26" t="n">
        <v>8</v>
      </c>
      <c r="P63" s="28" t="n">
        <f aca="false">IF($C63=0,"",D63/$C63)</f>
        <v>0.313725490196078</v>
      </c>
      <c r="Q63" s="28" t="n">
        <f aca="false">IF($C63=0,"",E63/$C63)</f>
        <v>0.313725490196078</v>
      </c>
      <c r="R63" s="28" t="n">
        <f aca="false">IF($C63=0,"",F63/$C63)</f>
        <v>0.549019607843137</v>
      </c>
      <c r="S63" s="28" t="n">
        <f aca="false">IF($C63=0,"",G63/$C63)</f>
        <v>0.431372549019608</v>
      </c>
      <c r="T63" s="28" t="n">
        <f aca="false">IF($C63=0,"",H63/$C63)</f>
        <v>0.352941176470588</v>
      </c>
      <c r="U63" s="28" t="n">
        <f aca="false">IF($C63=0,"",I63/$C63)</f>
        <v>0.313725490196078</v>
      </c>
      <c r="V63" s="29" t="n">
        <f aca="false">IF($C63=0,"",K63/$C63)</f>
        <v>-0.0588235294117647</v>
      </c>
      <c r="W63" s="29" t="n">
        <f aca="false">IF($C63=0,"",M63/$C63)</f>
        <v>-0.0761666666666667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52</v>
      </c>
      <c r="D64" s="26" t="n">
        <v>19</v>
      </c>
      <c r="E64" s="26" t="n">
        <v>19</v>
      </c>
      <c r="F64" s="26" t="n">
        <v>38</v>
      </c>
      <c r="G64" s="26" t="n">
        <v>27</v>
      </c>
      <c r="H64" s="26" t="n">
        <v>21</v>
      </c>
      <c r="I64" s="26" t="n">
        <v>19</v>
      </c>
      <c r="J64" s="26" t="n">
        <v>0</v>
      </c>
      <c r="K64" s="27" t="n">
        <v>5</v>
      </c>
      <c r="L64" s="27" t="n">
        <v>1.1049</v>
      </c>
      <c r="M64" s="19" t="n">
        <f aca="false">K64-L64</f>
        <v>3.8951</v>
      </c>
      <c r="N64" s="26" t="n">
        <v>3</v>
      </c>
      <c r="O64" s="26" t="n">
        <v>7</v>
      </c>
      <c r="P64" s="28" t="n">
        <f aca="false">IF($C64=0,"",D64/$C64)</f>
        <v>0.365384615384615</v>
      </c>
      <c r="Q64" s="28" t="n">
        <f aca="false">IF($C64=0,"",E64/$C64)</f>
        <v>0.365384615384615</v>
      </c>
      <c r="R64" s="28" t="n">
        <f aca="false">IF($C64=0,"",F64/$C64)</f>
        <v>0.730769230769231</v>
      </c>
      <c r="S64" s="28" t="n">
        <f aca="false">IF($C64=0,"",G64/$C64)</f>
        <v>0.519230769230769</v>
      </c>
      <c r="T64" s="28" t="n">
        <f aca="false">IF($C64=0,"",H64/$C64)</f>
        <v>0.403846153846154</v>
      </c>
      <c r="U64" s="28" t="n">
        <f aca="false">IF($C64=0,"",I64/$C64)</f>
        <v>0.365384615384615</v>
      </c>
      <c r="V64" s="29" t="n">
        <f aca="false">IF($C64=0,"",K64/$C64)</f>
        <v>0.0961538461538462</v>
      </c>
      <c r="W64" s="29" t="n">
        <f aca="false">IF($C64=0,"",M64/$C64)</f>
        <v>0.0749057692307692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35</v>
      </c>
      <c r="D65" s="26" t="n">
        <v>10</v>
      </c>
      <c r="E65" s="26" t="n">
        <v>10</v>
      </c>
      <c r="F65" s="26" t="n">
        <v>25</v>
      </c>
      <c r="G65" s="26" t="n">
        <v>19</v>
      </c>
      <c r="H65" s="26" t="n">
        <v>11</v>
      </c>
      <c r="I65" s="26" t="n">
        <v>10</v>
      </c>
      <c r="J65" s="26" t="n">
        <v>0</v>
      </c>
      <c r="K65" s="27" t="n">
        <v>-5</v>
      </c>
      <c r="L65" s="27" t="n">
        <v>0.8267</v>
      </c>
      <c r="M65" s="19" t="n">
        <f aca="false">K65-L65</f>
        <v>-5.8267</v>
      </c>
      <c r="N65" s="26" t="n">
        <v>2</v>
      </c>
      <c r="O65" s="26" t="n">
        <v>7</v>
      </c>
      <c r="P65" s="28" t="n">
        <f aca="false">IF($C65=0,"",D65/$C65)</f>
        <v>0.285714285714286</v>
      </c>
      <c r="Q65" s="28" t="n">
        <f aca="false">IF($C65=0,"",E65/$C65)</f>
        <v>0.285714285714286</v>
      </c>
      <c r="R65" s="28" t="n">
        <f aca="false">IF($C65=0,"",F65/$C65)</f>
        <v>0.714285714285714</v>
      </c>
      <c r="S65" s="28" t="n">
        <f aca="false">IF($C65=0,"",G65/$C65)</f>
        <v>0.542857142857143</v>
      </c>
      <c r="T65" s="28" t="n">
        <f aca="false">IF($C65=0,"",H65/$C65)</f>
        <v>0.314285714285714</v>
      </c>
      <c r="U65" s="28" t="n">
        <f aca="false">IF($C65=0,"",I65/$C65)</f>
        <v>0.285714285714286</v>
      </c>
      <c r="V65" s="29" t="n">
        <f aca="false">IF($C65=0,"",K65/$C65)</f>
        <v>-0.142857142857143</v>
      </c>
      <c r="W65" s="29" t="n">
        <f aca="false">IF($C65=0,"",M65/$C65)</f>
        <v>-0.166477142857143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45</v>
      </c>
      <c r="D66" s="26" t="n">
        <v>18</v>
      </c>
      <c r="E66" s="26" t="n">
        <v>18</v>
      </c>
      <c r="F66" s="26" t="n">
        <v>29</v>
      </c>
      <c r="G66" s="26" t="n">
        <v>23</v>
      </c>
      <c r="H66" s="26" t="n">
        <v>21</v>
      </c>
      <c r="I66" s="26" t="n">
        <v>18</v>
      </c>
      <c r="J66" s="26" t="n">
        <v>0</v>
      </c>
      <c r="K66" s="27" t="n">
        <v>9</v>
      </c>
      <c r="L66" s="27" t="n">
        <v>0.8176</v>
      </c>
      <c r="M66" s="19" t="n">
        <f aca="false">K66-L66</f>
        <v>8.1824</v>
      </c>
      <c r="N66" s="26" t="n">
        <v>4</v>
      </c>
      <c r="O66" s="26" t="n">
        <v>6</v>
      </c>
      <c r="P66" s="28" t="n">
        <f aca="false">IF($C66=0,"",D66/$C66)</f>
        <v>0.4</v>
      </c>
      <c r="Q66" s="28" t="n">
        <f aca="false">IF($C66=0,"",E66/$C66)</f>
        <v>0.4</v>
      </c>
      <c r="R66" s="28" t="n">
        <f aca="false">IF($C66=0,"",F66/$C66)</f>
        <v>0.644444444444445</v>
      </c>
      <c r="S66" s="28" t="n">
        <f aca="false">IF($C66=0,"",G66/$C66)</f>
        <v>0.511111111111111</v>
      </c>
      <c r="T66" s="28" t="n">
        <f aca="false">IF($C66=0,"",H66/$C66)</f>
        <v>0.466666666666667</v>
      </c>
      <c r="U66" s="28" t="n">
        <f aca="false">IF($C66=0,"",I66/$C66)</f>
        <v>0.4</v>
      </c>
      <c r="V66" s="29" t="n">
        <f aca="false">IF($C66=0,"",K66/$C66)</f>
        <v>0.2</v>
      </c>
      <c r="W66" s="29" t="n">
        <f aca="false">IF($C66=0,"",M66/$C66)</f>
        <v>0.181831111111111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59</v>
      </c>
      <c r="D67" s="26" t="n">
        <v>23</v>
      </c>
      <c r="E67" s="26" t="n">
        <v>23</v>
      </c>
      <c r="F67" s="26" t="n">
        <v>36</v>
      </c>
      <c r="G67" s="26" t="n">
        <v>30</v>
      </c>
      <c r="H67" s="26" t="n">
        <v>25</v>
      </c>
      <c r="I67" s="26" t="n">
        <v>23</v>
      </c>
      <c r="J67" s="26" t="n">
        <v>0</v>
      </c>
      <c r="K67" s="27" t="n">
        <v>10</v>
      </c>
      <c r="L67" s="27" t="n">
        <v>0.5756</v>
      </c>
      <c r="M67" s="19" t="n">
        <f aca="false">K67-L67</f>
        <v>9.4244</v>
      </c>
      <c r="N67" s="26" t="n">
        <v>3</v>
      </c>
      <c r="O67" s="26" t="n">
        <v>7</v>
      </c>
      <c r="P67" s="28" t="n">
        <f aca="false">IF($C67=0,"",D67/$C67)</f>
        <v>0.389830508474576</v>
      </c>
      <c r="Q67" s="28" t="n">
        <f aca="false">IF($C67=0,"",E67/$C67)</f>
        <v>0.389830508474576</v>
      </c>
      <c r="R67" s="28" t="n">
        <f aca="false">IF($C67=0,"",F67/$C67)</f>
        <v>0.610169491525424</v>
      </c>
      <c r="S67" s="28" t="n">
        <f aca="false">IF($C67=0,"",G67/$C67)</f>
        <v>0.508474576271186</v>
      </c>
      <c r="T67" s="28" t="n">
        <f aca="false">IF($C67=0,"",H67/$C67)</f>
        <v>0.423728813559322</v>
      </c>
      <c r="U67" s="28" t="n">
        <f aca="false">IF($C67=0,"",I67/$C67)</f>
        <v>0.389830508474576</v>
      </c>
      <c r="V67" s="29" t="n">
        <f aca="false">IF($C67=0,"",K67/$C67)</f>
        <v>0.169491525423729</v>
      </c>
      <c r="W67" s="29" t="n">
        <f aca="false">IF($C67=0,"",M67/$C67)</f>
        <v>0.159735593220339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33</v>
      </c>
      <c r="D68" s="26" t="n">
        <v>15</v>
      </c>
      <c r="E68" s="26" t="n">
        <v>15</v>
      </c>
      <c r="F68" s="26" t="n">
        <v>21</v>
      </c>
      <c r="G68" s="26" t="n">
        <v>17</v>
      </c>
      <c r="H68" s="26" t="n">
        <v>17</v>
      </c>
      <c r="I68" s="26" t="n">
        <v>15</v>
      </c>
      <c r="J68" s="26" t="n">
        <v>0</v>
      </c>
      <c r="K68" s="27" t="n">
        <v>12</v>
      </c>
      <c r="L68" s="27" t="n">
        <v>0.653</v>
      </c>
      <c r="M68" s="19" t="n">
        <f aca="false">K68-L68</f>
        <v>11.347</v>
      </c>
      <c r="N68" s="26" t="n">
        <v>4</v>
      </c>
      <c r="O68" s="26" t="n">
        <v>6</v>
      </c>
      <c r="P68" s="28" t="n">
        <f aca="false">IF($C68=0,"",D68/$C68)</f>
        <v>0.454545454545455</v>
      </c>
      <c r="Q68" s="28" t="n">
        <f aca="false">IF($C68=0,"",E68/$C68)</f>
        <v>0.454545454545455</v>
      </c>
      <c r="R68" s="28" t="n">
        <f aca="false">IF($C68=0,"",F68/$C68)</f>
        <v>0.636363636363636</v>
      </c>
      <c r="S68" s="28" t="n">
        <f aca="false">IF($C68=0,"",G68/$C68)</f>
        <v>0.515151515151515</v>
      </c>
      <c r="T68" s="28" t="n">
        <f aca="false">IF($C68=0,"",H68/$C68)</f>
        <v>0.515151515151515</v>
      </c>
      <c r="U68" s="28" t="n">
        <f aca="false">IF($C68=0,"",I68/$C68)</f>
        <v>0.454545454545455</v>
      </c>
      <c r="V68" s="29" t="n">
        <f aca="false">IF($C68=0,"",K68/$C68)</f>
        <v>0.363636363636364</v>
      </c>
      <c r="W68" s="29" t="n">
        <f aca="false">IF($C68=0,"",M68/$C68)</f>
        <v>0.343848484848485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47</v>
      </c>
      <c r="D69" s="26" t="n">
        <v>14</v>
      </c>
      <c r="E69" s="26" t="n">
        <v>14</v>
      </c>
      <c r="F69" s="26" t="n">
        <v>27</v>
      </c>
      <c r="G69" s="26" t="n">
        <v>22</v>
      </c>
      <c r="H69" s="26" t="n">
        <v>17</v>
      </c>
      <c r="I69" s="26" t="n">
        <v>14</v>
      </c>
      <c r="J69" s="26" t="n">
        <v>0</v>
      </c>
      <c r="K69" s="27" t="n">
        <v>-5</v>
      </c>
      <c r="L69" s="27" t="n">
        <v>0.6158</v>
      </c>
      <c r="M69" s="19" t="n">
        <f aca="false">K69-L69</f>
        <v>-5.6158</v>
      </c>
      <c r="N69" s="26" t="n">
        <v>4</v>
      </c>
      <c r="O69" s="26" t="n">
        <v>9</v>
      </c>
      <c r="P69" s="28" t="n">
        <f aca="false">IF($C69=0,"",D69/$C69)</f>
        <v>0.297872340425532</v>
      </c>
      <c r="Q69" s="28" t="n">
        <f aca="false">IF($C69=0,"",E69/$C69)</f>
        <v>0.297872340425532</v>
      </c>
      <c r="R69" s="28" t="n">
        <f aca="false">IF($C69=0,"",F69/$C69)</f>
        <v>0.574468085106383</v>
      </c>
      <c r="S69" s="28" t="n">
        <f aca="false">IF($C69=0,"",G69/$C69)</f>
        <v>0.468085106382979</v>
      </c>
      <c r="T69" s="28" t="n">
        <f aca="false">IF($C69=0,"",H69/$C69)</f>
        <v>0.361702127659575</v>
      </c>
      <c r="U69" s="28" t="n">
        <f aca="false">IF($C69=0,"",I69/$C69)</f>
        <v>0.297872340425532</v>
      </c>
      <c r="V69" s="29" t="n">
        <f aca="false">IF($C69=0,"",K69/$C69)</f>
        <v>-0.106382978723404</v>
      </c>
      <c r="W69" s="29" t="n">
        <f aca="false">IF($C69=0,"",M69/$C69)</f>
        <v>-0.119485106382979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573</v>
      </c>
      <c r="D70" s="30" t="n">
        <f aca="false">SUM(D58:D69)</f>
        <v>193</v>
      </c>
      <c r="E70" s="30" t="n">
        <f aca="false">SUM(E58:E69)</f>
        <v>193</v>
      </c>
      <c r="F70" s="30" t="n">
        <f aca="false">SUM(F58:F69)</f>
        <v>358</v>
      </c>
      <c r="G70" s="30" t="n">
        <f aca="false">SUM(G58:G69)</f>
        <v>278</v>
      </c>
      <c r="H70" s="30" t="n">
        <f aca="false">SUM(H58:H69)</f>
        <v>220</v>
      </c>
      <c r="I70" s="30" t="n">
        <f aca="false">SUM(I58:I69)</f>
        <v>193</v>
      </c>
      <c r="J70" s="30" t="n">
        <f aca="false">SUM(J58:J69)</f>
        <v>0</v>
      </c>
      <c r="K70" s="31" t="n">
        <f aca="false">SUM(K58:K69)</f>
        <v>6</v>
      </c>
      <c r="L70" s="31" t="n">
        <f aca="false">SUM(L58:L69)</f>
        <v>10.1867</v>
      </c>
      <c r="M70" s="31" t="n">
        <f aca="false">K70-L70</f>
        <v>-4.1867</v>
      </c>
      <c r="N70" s="32" t="n">
        <v>4</v>
      </c>
      <c r="O70" s="32" t="n">
        <v>18</v>
      </c>
      <c r="P70" s="33" t="n">
        <f aca="false">IF($C70=0,"",D70/$C70)</f>
        <v>0.336823734729494</v>
      </c>
      <c r="Q70" s="33" t="n">
        <f aca="false">IF($C70=0,"",E70/$C70)</f>
        <v>0.336823734729494</v>
      </c>
      <c r="R70" s="33" t="n">
        <f aca="false">IF($C70=0,"",F70/$C70)</f>
        <v>0.62478184991274</v>
      </c>
      <c r="S70" s="33" t="n">
        <f aca="false">IF($C70=0,"",G70/$C70)</f>
        <v>0.485165794066318</v>
      </c>
      <c r="T70" s="33" t="n">
        <f aca="false">IF($C70=0,"",H70/$C70)</f>
        <v>0.383944153577661</v>
      </c>
      <c r="U70" s="33" t="n">
        <f aca="false">IF($C70=0,"",I70/$C70)</f>
        <v>0.336823734729494</v>
      </c>
      <c r="V70" s="34" t="n">
        <f aca="false">IF($C70=0,"",K70/$C70)</f>
        <v>0.0104712041884817</v>
      </c>
      <c r="W70" s="34" t="n">
        <f aca="false">IF($C70=0,"",M70/$C70)</f>
        <v>-0.00730663176265271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51</v>
      </c>
      <c r="D71" s="26" t="n">
        <v>14</v>
      </c>
      <c r="E71" s="26" t="n">
        <v>14</v>
      </c>
      <c r="F71" s="26" t="n">
        <v>26</v>
      </c>
      <c r="G71" s="26" t="n">
        <v>21</v>
      </c>
      <c r="H71" s="26" t="n">
        <v>17</v>
      </c>
      <c r="I71" s="26" t="n">
        <v>14</v>
      </c>
      <c r="J71" s="26" t="n">
        <v>0</v>
      </c>
      <c r="K71" s="27" t="n">
        <v>-9</v>
      </c>
      <c r="L71" s="27" t="n">
        <v>0.4359</v>
      </c>
      <c r="M71" s="19" t="n">
        <f aca="false">K71-L71</f>
        <v>-9.4359</v>
      </c>
      <c r="N71" s="26" t="n">
        <v>2</v>
      </c>
      <c r="O71" s="26" t="n">
        <v>9</v>
      </c>
      <c r="P71" s="28" t="n">
        <f aca="false">IF($C71=0,"",D71/$C71)</f>
        <v>0.274509803921569</v>
      </c>
      <c r="Q71" s="28" t="n">
        <f aca="false">IF($C71=0,"",E71/$C71)</f>
        <v>0.274509803921569</v>
      </c>
      <c r="R71" s="28" t="n">
        <f aca="false">IF($C71=0,"",F71/$C71)</f>
        <v>0.509803921568627</v>
      </c>
      <c r="S71" s="28" t="n">
        <f aca="false">IF($C71=0,"",G71/$C71)</f>
        <v>0.411764705882353</v>
      </c>
      <c r="T71" s="28" t="n">
        <f aca="false">IF($C71=0,"",H71/$C71)</f>
        <v>0.333333333333333</v>
      </c>
      <c r="U71" s="28" t="n">
        <f aca="false">IF($C71=0,"",I71/$C71)</f>
        <v>0.274509803921569</v>
      </c>
      <c r="V71" s="29" t="n">
        <f aca="false">IF($C71=0,"",K71/$C71)</f>
        <v>-0.176470588235294</v>
      </c>
      <c r="W71" s="29" t="n">
        <f aca="false">IF($C71=0,"",M71/$C71)</f>
        <v>-0.185017647058824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39</v>
      </c>
      <c r="D72" s="26" t="n">
        <v>14</v>
      </c>
      <c r="E72" s="26" t="n">
        <v>14</v>
      </c>
      <c r="F72" s="26" t="n">
        <v>23</v>
      </c>
      <c r="G72" s="26" t="n">
        <v>18</v>
      </c>
      <c r="H72" s="26" t="n">
        <v>17</v>
      </c>
      <c r="I72" s="26" t="n">
        <v>14</v>
      </c>
      <c r="J72" s="26" t="n">
        <v>0</v>
      </c>
      <c r="K72" s="27" t="n">
        <v>3</v>
      </c>
      <c r="L72" s="27" t="n">
        <v>0.2398</v>
      </c>
      <c r="M72" s="19" t="n">
        <f aca="false">K72-L72</f>
        <v>2.7602</v>
      </c>
      <c r="N72" s="26" t="n">
        <v>3</v>
      </c>
      <c r="O72" s="26" t="n">
        <v>8</v>
      </c>
      <c r="P72" s="28" t="n">
        <f aca="false">IF($C72=0,"",D72/$C72)</f>
        <v>0.358974358974359</v>
      </c>
      <c r="Q72" s="28" t="n">
        <f aca="false">IF($C72=0,"",E72/$C72)</f>
        <v>0.358974358974359</v>
      </c>
      <c r="R72" s="28" t="n">
        <f aca="false">IF($C72=0,"",F72/$C72)</f>
        <v>0.58974358974359</v>
      </c>
      <c r="S72" s="28" t="n">
        <f aca="false">IF($C72=0,"",G72/$C72)</f>
        <v>0.461538461538462</v>
      </c>
      <c r="T72" s="28" t="n">
        <f aca="false">IF($C72=0,"",H72/$C72)</f>
        <v>0.435897435897436</v>
      </c>
      <c r="U72" s="28" t="n">
        <f aca="false">IF($C72=0,"",I72/$C72)</f>
        <v>0.358974358974359</v>
      </c>
      <c r="V72" s="29" t="n">
        <f aca="false">IF($C72=0,"",K72/$C72)</f>
        <v>0.0769230769230769</v>
      </c>
      <c r="W72" s="29" t="n">
        <f aca="false">IF($C72=0,"",M72/$C72)</f>
        <v>0.070774358974359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45</v>
      </c>
      <c r="D73" s="26" t="n">
        <v>17</v>
      </c>
      <c r="E73" s="26" t="n">
        <v>17</v>
      </c>
      <c r="F73" s="26" t="n">
        <v>29</v>
      </c>
      <c r="G73" s="26" t="n">
        <v>24</v>
      </c>
      <c r="H73" s="26" t="n">
        <v>20</v>
      </c>
      <c r="I73" s="26" t="n">
        <v>17</v>
      </c>
      <c r="J73" s="26" t="n">
        <v>0</v>
      </c>
      <c r="K73" s="27" t="n">
        <v>6</v>
      </c>
      <c r="L73" s="27" t="n">
        <v>0.3238</v>
      </c>
      <c r="M73" s="19" t="n">
        <f aca="false">K73-L73</f>
        <v>5.6762</v>
      </c>
      <c r="N73" s="26" t="n">
        <v>3</v>
      </c>
      <c r="O73" s="26" t="n">
        <v>7</v>
      </c>
      <c r="P73" s="28" t="n">
        <f aca="false">IF($C73=0,"",D73/$C73)</f>
        <v>0.377777777777778</v>
      </c>
      <c r="Q73" s="28" t="n">
        <f aca="false">IF($C73=0,"",E73/$C73)</f>
        <v>0.377777777777778</v>
      </c>
      <c r="R73" s="28" t="n">
        <f aca="false">IF($C73=0,"",F73/$C73)</f>
        <v>0.644444444444445</v>
      </c>
      <c r="S73" s="28" t="n">
        <f aca="false">IF($C73=0,"",G73/$C73)</f>
        <v>0.533333333333333</v>
      </c>
      <c r="T73" s="28" t="n">
        <f aca="false">IF($C73=0,"",H73/$C73)</f>
        <v>0.444444444444444</v>
      </c>
      <c r="U73" s="28" t="n">
        <f aca="false">IF($C73=0,"",I73/$C73)</f>
        <v>0.377777777777778</v>
      </c>
      <c r="V73" s="29" t="n">
        <f aca="false">IF($C73=0,"",K73/$C73)</f>
        <v>0.133333333333333</v>
      </c>
      <c r="W73" s="29" t="n">
        <f aca="false">IF($C73=0,"",M73/$C73)</f>
        <v>0.126137777777778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40</v>
      </c>
      <c r="D74" s="26" t="n">
        <v>11</v>
      </c>
      <c r="E74" s="26" t="n">
        <v>11</v>
      </c>
      <c r="F74" s="26" t="n">
        <v>25</v>
      </c>
      <c r="G74" s="26" t="n">
        <v>19</v>
      </c>
      <c r="H74" s="26" t="n">
        <v>14</v>
      </c>
      <c r="I74" s="26" t="n">
        <v>11</v>
      </c>
      <c r="J74" s="26" t="n">
        <v>0</v>
      </c>
      <c r="K74" s="27" t="n">
        <v>-7</v>
      </c>
      <c r="L74" s="27" t="n">
        <v>0.4287</v>
      </c>
      <c r="M74" s="19" t="n">
        <f aca="false">K74-L74</f>
        <v>-7.4287</v>
      </c>
      <c r="N74" s="26" t="n">
        <v>3</v>
      </c>
      <c r="O74" s="26" t="n">
        <v>7</v>
      </c>
      <c r="P74" s="28" t="n">
        <f aca="false">IF($C74=0,"",D74/$C74)</f>
        <v>0.275</v>
      </c>
      <c r="Q74" s="28" t="n">
        <f aca="false">IF($C74=0,"",E74/$C74)</f>
        <v>0.275</v>
      </c>
      <c r="R74" s="28" t="n">
        <f aca="false">IF($C74=0,"",F74/$C74)</f>
        <v>0.625</v>
      </c>
      <c r="S74" s="28" t="n">
        <f aca="false">IF($C74=0,"",G74/$C74)</f>
        <v>0.475</v>
      </c>
      <c r="T74" s="28" t="n">
        <f aca="false">IF($C74=0,"",H74/$C74)</f>
        <v>0.35</v>
      </c>
      <c r="U74" s="28" t="n">
        <f aca="false">IF($C74=0,"",I74/$C74)</f>
        <v>0.275</v>
      </c>
      <c r="V74" s="29" t="n">
        <f aca="false">IF($C74=0,"",K74/$C74)</f>
        <v>-0.175</v>
      </c>
      <c r="W74" s="29" t="n">
        <f aca="false">IF($C74=0,"",M74/$C74)</f>
        <v>-0.1857175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49</v>
      </c>
      <c r="D75" s="26" t="n">
        <v>17</v>
      </c>
      <c r="E75" s="26" t="n">
        <v>17</v>
      </c>
      <c r="F75" s="26" t="n">
        <v>29</v>
      </c>
      <c r="G75" s="26" t="n">
        <v>26</v>
      </c>
      <c r="H75" s="26" t="n">
        <v>20</v>
      </c>
      <c r="I75" s="26" t="n">
        <v>17</v>
      </c>
      <c r="J75" s="26" t="n">
        <v>0</v>
      </c>
      <c r="K75" s="27" t="n">
        <v>2</v>
      </c>
      <c r="L75" s="27" t="n">
        <v>0.6824</v>
      </c>
      <c r="M75" s="19" t="n">
        <f aca="false">K75-L75</f>
        <v>1.3176</v>
      </c>
      <c r="N75" s="26" t="n">
        <v>2</v>
      </c>
      <c r="O75" s="26" t="n">
        <v>11</v>
      </c>
      <c r="P75" s="28" t="n">
        <f aca="false">IF($C75=0,"",D75/$C75)</f>
        <v>0.346938775510204</v>
      </c>
      <c r="Q75" s="28" t="n">
        <f aca="false">IF($C75=0,"",E75/$C75)</f>
        <v>0.346938775510204</v>
      </c>
      <c r="R75" s="28" t="n">
        <f aca="false">IF($C75=0,"",F75/$C75)</f>
        <v>0.591836734693878</v>
      </c>
      <c r="S75" s="28" t="n">
        <f aca="false">IF($C75=0,"",G75/$C75)</f>
        <v>0.530612244897959</v>
      </c>
      <c r="T75" s="28" t="n">
        <f aca="false">IF($C75=0,"",H75/$C75)</f>
        <v>0.408163265306122</v>
      </c>
      <c r="U75" s="28" t="n">
        <f aca="false">IF($C75=0,"",I75/$C75)</f>
        <v>0.346938775510204</v>
      </c>
      <c r="V75" s="29" t="n">
        <f aca="false">IF($C75=0,"",K75/$C75)</f>
        <v>0.0408163265306122</v>
      </c>
      <c r="W75" s="29" t="n">
        <f aca="false">IF($C75=0,"",M75/$C75)</f>
        <v>0.0268897959183674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46</v>
      </c>
      <c r="D76" s="26" t="n">
        <v>17</v>
      </c>
      <c r="E76" s="26" t="n">
        <v>17</v>
      </c>
      <c r="F76" s="26" t="n">
        <v>29</v>
      </c>
      <c r="G76" s="26" t="n">
        <v>24</v>
      </c>
      <c r="H76" s="26" t="n">
        <v>21</v>
      </c>
      <c r="I76" s="26" t="n">
        <v>17</v>
      </c>
      <c r="J76" s="26" t="n">
        <v>0</v>
      </c>
      <c r="K76" s="27" t="n">
        <v>5</v>
      </c>
      <c r="L76" s="27" t="n">
        <v>0.5466</v>
      </c>
      <c r="M76" s="19" t="n">
        <f aca="false">K76-L76</f>
        <v>4.4534</v>
      </c>
      <c r="N76" s="26" t="n">
        <v>2</v>
      </c>
      <c r="O76" s="26" t="n">
        <v>5</v>
      </c>
      <c r="P76" s="28" t="n">
        <f aca="false">IF($C76=0,"",D76/$C76)</f>
        <v>0.369565217391304</v>
      </c>
      <c r="Q76" s="28" t="n">
        <f aca="false">IF($C76=0,"",E76/$C76)</f>
        <v>0.369565217391304</v>
      </c>
      <c r="R76" s="28" t="n">
        <f aca="false">IF($C76=0,"",F76/$C76)</f>
        <v>0.630434782608696</v>
      </c>
      <c r="S76" s="28" t="n">
        <f aca="false">IF($C76=0,"",G76/$C76)</f>
        <v>0.521739130434783</v>
      </c>
      <c r="T76" s="28" t="n">
        <f aca="false">IF($C76=0,"",H76/$C76)</f>
        <v>0.456521739130435</v>
      </c>
      <c r="U76" s="28" t="n">
        <f aca="false">IF($C76=0,"",I76/$C76)</f>
        <v>0.369565217391304</v>
      </c>
      <c r="V76" s="29" t="n">
        <f aca="false">IF($C76=0,"",K76/$C76)</f>
        <v>0.108695652173913</v>
      </c>
      <c r="W76" s="29" t="n">
        <f aca="false">IF($C76=0,"",M76/$C76)</f>
        <v>0.0968130434782609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39</v>
      </c>
      <c r="D77" s="26" t="n">
        <v>16</v>
      </c>
      <c r="E77" s="26" t="n">
        <v>16</v>
      </c>
      <c r="F77" s="26" t="n">
        <v>26</v>
      </c>
      <c r="G77" s="26" t="n">
        <v>20</v>
      </c>
      <c r="H77" s="26" t="n">
        <v>17</v>
      </c>
      <c r="I77" s="26" t="n">
        <v>16</v>
      </c>
      <c r="J77" s="26" t="n">
        <v>0</v>
      </c>
      <c r="K77" s="27" t="n">
        <v>9</v>
      </c>
      <c r="L77" s="27" t="n">
        <v>0.62</v>
      </c>
      <c r="M77" s="19" t="n">
        <f aca="false">K77-L77</f>
        <v>8.38</v>
      </c>
      <c r="N77" s="26" t="n">
        <v>3</v>
      </c>
      <c r="O77" s="26" t="n">
        <v>5</v>
      </c>
      <c r="P77" s="28" t="n">
        <f aca="false">IF($C77=0,"",D77/$C77)</f>
        <v>0.41025641025641</v>
      </c>
      <c r="Q77" s="28" t="n">
        <f aca="false">IF($C77=0,"",E77/$C77)</f>
        <v>0.41025641025641</v>
      </c>
      <c r="R77" s="28" t="n">
        <f aca="false">IF($C77=0,"",F77/$C77)</f>
        <v>0.666666666666667</v>
      </c>
      <c r="S77" s="28" t="n">
        <f aca="false">IF($C77=0,"",G77/$C77)</f>
        <v>0.512820512820513</v>
      </c>
      <c r="T77" s="28" t="n">
        <f aca="false">IF($C77=0,"",H77/$C77)</f>
        <v>0.435897435897436</v>
      </c>
      <c r="U77" s="28" t="n">
        <f aca="false">IF($C77=0,"",I77/$C77)</f>
        <v>0.41025641025641</v>
      </c>
      <c r="V77" s="29" t="n">
        <f aca="false">IF($C77=0,"",K77/$C77)</f>
        <v>0.230769230769231</v>
      </c>
      <c r="W77" s="29" t="n">
        <f aca="false">IF($C77=0,"",M77/$C77)</f>
        <v>0.214871794871795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49</v>
      </c>
      <c r="D78" s="26" t="n">
        <v>18</v>
      </c>
      <c r="E78" s="26" t="n">
        <v>18</v>
      </c>
      <c r="F78" s="26" t="n">
        <v>30</v>
      </c>
      <c r="G78" s="26" t="n">
        <v>24</v>
      </c>
      <c r="H78" s="26" t="n">
        <v>22</v>
      </c>
      <c r="I78" s="26" t="n">
        <v>18</v>
      </c>
      <c r="J78" s="26" t="n">
        <v>0</v>
      </c>
      <c r="K78" s="27" t="n">
        <v>5</v>
      </c>
      <c r="L78" s="27" t="n">
        <v>0.6385</v>
      </c>
      <c r="M78" s="19" t="n">
        <f aca="false">K78-L78</f>
        <v>4.3615</v>
      </c>
      <c r="N78" s="26" t="n">
        <v>2</v>
      </c>
      <c r="O78" s="26" t="n">
        <v>5</v>
      </c>
      <c r="P78" s="28" t="n">
        <f aca="false">IF($C78=0,"",D78/$C78)</f>
        <v>0.36734693877551</v>
      </c>
      <c r="Q78" s="28" t="n">
        <f aca="false">IF($C78=0,"",E78/$C78)</f>
        <v>0.36734693877551</v>
      </c>
      <c r="R78" s="28" t="n">
        <f aca="false">IF($C78=0,"",F78/$C78)</f>
        <v>0.612244897959184</v>
      </c>
      <c r="S78" s="28" t="n">
        <f aca="false">IF($C78=0,"",G78/$C78)</f>
        <v>0.489795918367347</v>
      </c>
      <c r="T78" s="28" t="n">
        <f aca="false">IF($C78=0,"",H78/$C78)</f>
        <v>0.448979591836735</v>
      </c>
      <c r="U78" s="28" t="n">
        <f aca="false">IF($C78=0,"",I78/$C78)</f>
        <v>0.36734693877551</v>
      </c>
      <c r="V78" s="29" t="n">
        <f aca="false">IF($C78=0,"",K78/$C78)</f>
        <v>0.102040816326531</v>
      </c>
      <c r="W78" s="29" t="n">
        <f aca="false">IF($C78=0,"",M78/$C78)</f>
        <v>0.0890102040816327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52</v>
      </c>
      <c r="D79" s="26" t="n">
        <v>20</v>
      </c>
      <c r="E79" s="26" t="n">
        <v>20</v>
      </c>
      <c r="F79" s="26" t="n">
        <v>30</v>
      </c>
      <c r="G79" s="26" t="n">
        <v>23</v>
      </c>
      <c r="H79" s="26" t="n">
        <v>20</v>
      </c>
      <c r="I79" s="26" t="n">
        <v>20</v>
      </c>
      <c r="J79" s="26" t="n">
        <v>0</v>
      </c>
      <c r="K79" s="27" t="n">
        <v>8</v>
      </c>
      <c r="L79" s="27" t="n">
        <v>0.6363</v>
      </c>
      <c r="M79" s="19" t="n">
        <f aca="false">K79-L79</f>
        <v>7.3637</v>
      </c>
      <c r="N79" s="26" t="n">
        <v>4</v>
      </c>
      <c r="O79" s="26" t="n">
        <v>6</v>
      </c>
      <c r="P79" s="28" t="n">
        <f aca="false">IF($C79=0,"",D79/$C79)</f>
        <v>0.384615384615385</v>
      </c>
      <c r="Q79" s="28" t="n">
        <f aca="false">IF($C79=0,"",E79/$C79)</f>
        <v>0.384615384615385</v>
      </c>
      <c r="R79" s="28" t="n">
        <f aca="false">IF($C79=0,"",F79/$C79)</f>
        <v>0.576923076923077</v>
      </c>
      <c r="S79" s="28" t="n">
        <f aca="false">IF($C79=0,"",G79/$C79)</f>
        <v>0.442307692307692</v>
      </c>
      <c r="T79" s="28" t="n">
        <f aca="false">IF($C79=0,"",H79/$C79)</f>
        <v>0.384615384615385</v>
      </c>
      <c r="U79" s="28" t="n">
        <f aca="false">IF($C79=0,"",I79/$C79)</f>
        <v>0.384615384615385</v>
      </c>
      <c r="V79" s="29" t="n">
        <f aca="false">IF($C79=0,"",K79/$C79)</f>
        <v>0.153846153846154</v>
      </c>
      <c r="W79" s="29" t="n">
        <f aca="false">IF($C79=0,"",M79/$C79)</f>
        <v>0.141609615384615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5</v>
      </c>
      <c r="D80" s="26" t="n">
        <v>1</v>
      </c>
      <c r="E80" s="26" t="n">
        <v>1</v>
      </c>
      <c r="F80" s="26" t="n">
        <v>2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-2</v>
      </c>
      <c r="L80" s="27" t="n">
        <v>0.0697</v>
      </c>
      <c r="M80" s="19" t="n">
        <f aca="false">K80-L80</f>
        <v>-2.0697</v>
      </c>
      <c r="N80" s="26" t="n">
        <v>1</v>
      </c>
      <c r="O80" s="26" t="n">
        <v>3</v>
      </c>
      <c r="P80" s="28" t="n">
        <f aca="false">IF($C80=0,"",D80/$C80)</f>
        <v>0.2</v>
      </c>
      <c r="Q80" s="28" t="n">
        <f aca="false">IF($C80=0,"",E80/$C80)</f>
        <v>0.2</v>
      </c>
      <c r="R80" s="28" t="n">
        <f aca="false">IF($C80=0,"",F80/$C80)</f>
        <v>0.4</v>
      </c>
      <c r="S80" s="28" t="n">
        <f aca="false">IF($C80=0,"",G80/$C80)</f>
        <v>0.2</v>
      </c>
      <c r="T80" s="28" t="n">
        <f aca="false">IF($C80=0,"",H80/$C80)</f>
        <v>0.2</v>
      </c>
      <c r="U80" s="28" t="n">
        <f aca="false">IF($C80=0,"",I80/$C80)</f>
        <v>0.2</v>
      </c>
      <c r="V80" s="29" t="n">
        <f aca="false">IF($C80=0,"",K80/$C80)</f>
        <v>-0.4</v>
      </c>
      <c r="W80" s="29" t="n">
        <f aca="false">IF($C80=0,"",M80/$C80)</f>
        <v>-0.41394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415</v>
      </c>
      <c r="D81" s="30" t="n">
        <f aca="false">SUM(D71:D80)</f>
        <v>145</v>
      </c>
      <c r="E81" s="30" t="n">
        <f aca="false">SUM(E71:E80)</f>
        <v>145</v>
      </c>
      <c r="F81" s="30" t="n">
        <f aca="false">SUM(F71:F80)</f>
        <v>249</v>
      </c>
      <c r="G81" s="30" t="n">
        <f aca="false">SUM(G71:G80)</f>
        <v>200</v>
      </c>
      <c r="H81" s="30" t="n">
        <f aca="false">SUM(H71:H80)</f>
        <v>169</v>
      </c>
      <c r="I81" s="30" t="n">
        <f aca="false">SUM(I71:I80)</f>
        <v>145</v>
      </c>
      <c r="J81" s="30" t="n">
        <f aca="false">SUM(J71:J80)</f>
        <v>0</v>
      </c>
      <c r="K81" s="31" t="n">
        <f aca="false">SUM(K71:K80)</f>
        <v>20</v>
      </c>
      <c r="L81" s="31" t="n">
        <f aca="false">SUM(L71:L80)</f>
        <v>4.6217</v>
      </c>
      <c r="M81" s="31" t="n">
        <f aca="false">K81-L81</f>
        <v>15.3783</v>
      </c>
      <c r="N81" s="32" t="n">
        <v>4</v>
      </c>
      <c r="O81" s="32" t="n">
        <v>11</v>
      </c>
      <c r="P81" s="33" t="n">
        <f aca="false">IF($C81=0,"",D81/$C81)</f>
        <v>0.349397590361446</v>
      </c>
      <c r="Q81" s="33" t="n">
        <f aca="false">IF($C81=0,"",E81/$C81)</f>
        <v>0.349397590361446</v>
      </c>
      <c r="R81" s="33" t="n">
        <f aca="false">IF($C81=0,"",F81/$C81)</f>
        <v>0.6</v>
      </c>
      <c r="S81" s="33" t="n">
        <f aca="false">IF($C81=0,"",G81/$C81)</f>
        <v>0.481927710843374</v>
      </c>
      <c r="T81" s="33" t="n">
        <f aca="false">IF($C81=0,"",H81/$C81)</f>
        <v>0.407228915662651</v>
      </c>
      <c r="U81" s="33" t="n">
        <f aca="false">IF($C81=0,"",I81/$C81)</f>
        <v>0.349397590361446</v>
      </c>
      <c r="V81" s="34" t="n">
        <f aca="false">IF($C81=0,"",K81/$C81)</f>
        <v>0.0481927710843374</v>
      </c>
      <c r="W81" s="34" t="n">
        <f aca="false">IF($C81=0,"",M81/$C81)</f>
        <v>0.0370561445783133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3169</v>
      </c>
      <c r="D82" s="5" t="n">
        <f aca="false">D18+D31+D44+D57+D70+D81</f>
        <v>1052</v>
      </c>
      <c r="E82" s="5" t="n">
        <f aca="false">E18+E31+E44+E57+E70+E81</f>
        <v>1052</v>
      </c>
      <c r="F82" s="5" t="n">
        <f aca="false">F18+F31+F44+F57+F70+F81</f>
        <v>1917</v>
      </c>
      <c r="G82" s="5" t="n">
        <f aca="false">G18+G31+G44+G57+G70+G81</f>
        <v>1540</v>
      </c>
      <c r="H82" s="5" t="n">
        <f aca="false">H18+H31+H44+H57+H70+H81</f>
        <v>1229</v>
      </c>
      <c r="I82" s="5" t="n">
        <f aca="false">I18+I31+I44+I57+I70+I81</f>
        <v>1052</v>
      </c>
      <c r="J82" s="5" t="n">
        <f aca="false">J18+J31+J44+J57+J70+J81</f>
        <v>0</v>
      </c>
      <c r="K82" s="21" t="n">
        <f aca="false">K18+K31+K44+K57+K70+K81</f>
        <v>-13</v>
      </c>
      <c r="L82" s="21" t="n">
        <f aca="false">L18+L31+L44+L57+L70+L81</f>
        <v>161.0816</v>
      </c>
      <c r="M82" s="21" t="n">
        <f aca="false">K82-L82</f>
        <v>-174.0816</v>
      </c>
      <c r="N82" s="35" t="n">
        <v>6</v>
      </c>
      <c r="O82" s="35" t="n">
        <v>18</v>
      </c>
      <c r="P82" s="36" t="n">
        <f aca="false">IF($C82=0,"",D82/$C82)</f>
        <v>0.331965919848533</v>
      </c>
      <c r="Q82" s="36" t="n">
        <f aca="false">IF($C82=0,"",E82/$C82)</f>
        <v>0.331965919848533</v>
      </c>
      <c r="R82" s="36" t="n">
        <f aca="false">IF($C82=0,"",F82/$C82)</f>
        <v>0.604922688545282</v>
      </c>
      <c r="S82" s="36" t="n">
        <f aca="false">IF($C82=0,"",G82/$C82)</f>
        <v>0.485957715367624</v>
      </c>
      <c r="T82" s="36" t="n">
        <f aca="false">IF($C82=0,"",H82/$C82)</f>
        <v>0.387819501420006</v>
      </c>
      <c r="U82" s="36" t="n">
        <f aca="false">IF($C82=0,"",I82/$C82)</f>
        <v>0.331965919848533</v>
      </c>
      <c r="V82" s="37" t="n">
        <f aca="false">IF($C82=0,"",K82/$C82)</f>
        <v>-0.00410224045440202</v>
      </c>
      <c r="W82" s="37" t="n">
        <f aca="false">IF($C82=0,"",M82/$C82)</f>
        <v>-0.0549326601451562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197</v>
      </c>
    </row>
    <row r="2" customFormat="false" ht="42" hidden="false" customHeight="true" outlineLevel="0" collapsed="false">
      <c r="A2" s="4" t="s">
        <v>198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22</v>
      </c>
      <c r="D6" s="26" t="n">
        <v>4</v>
      </c>
      <c r="E6" s="26" t="n">
        <v>9</v>
      </c>
      <c r="F6" s="26" t="n">
        <v>13</v>
      </c>
      <c r="G6" s="26" t="n">
        <v>13</v>
      </c>
      <c r="H6" s="26" t="n">
        <v>9</v>
      </c>
      <c r="I6" s="26" t="n">
        <v>4</v>
      </c>
      <c r="J6" s="26" t="n">
        <v>0</v>
      </c>
      <c r="K6" s="27" t="n">
        <v>0</v>
      </c>
      <c r="L6" s="27" t="n">
        <v>0.7038</v>
      </c>
      <c r="M6" s="19" t="n">
        <f aca="false">K6-L6</f>
        <v>-0.7038</v>
      </c>
      <c r="N6" s="26" t="n">
        <v>6</v>
      </c>
      <c r="O6" s="26" t="n">
        <v>7</v>
      </c>
      <c r="P6" s="28" t="n">
        <f aca="false">IF($C6=0,"",D6/$C6)</f>
        <v>0.181818181818182</v>
      </c>
      <c r="Q6" s="28" t="n">
        <f aca="false">IF($C6=0,"",E6/$C6)</f>
        <v>0.409090909090909</v>
      </c>
      <c r="R6" s="28" t="n">
        <f aca="false">IF($C6=0,"",F6/$C6)</f>
        <v>0.590909090909091</v>
      </c>
      <c r="S6" s="28" t="n">
        <f aca="false">IF($C6=0,"",G6/$C6)</f>
        <v>0.590909090909091</v>
      </c>
      <c r="T6" s="28" t="n">
        <f aca="false">IF($C6=0,"",H6/$C6)</f>
        <v>0.409090909090909</v>
      </c>
      <c r="U6" s="28" t="n">
        <f aca="false">IF($C6=0,"",I6/$C6)</f>
        <v>0.181818181818182</v>
      </c>
      <c r="V6" s="29" t="n">
        <f aca="false">IF($C6=0,"",K6/$C6)</f>
        <v>0</v>
      </c>
      <c r="W6" s="29" t="n">
        <f aca="false">IF($C6=0,"",M6/$C6)</f>
        <v>-0.0319909090909091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18</v>
      </c>
      <c r="D7" s="26" t="n">
        <v>7</v>
      </c>
      <c r="E7" s="26" t="n">
        <v>10</v>
      </c>
      <c r="F7" s="26" t="n">
        <v>11</v>
      </c>
      <c r="G7" s="26" t="n">
        <v>10</v>
      </c>
      <c r="H7" s="26" t="n">
        <v>10</v>
      </c>
      <c r="I7" s="26" t="n">
        <v>7</v>
      </c>
      <c r="J7" s="26" t="n">
        <v>0</v>
      </c>
      <c r="K7" s="27" t="n">
        <v>9</v>
      </c>
      <c r="L7" s="27" t="n">
        <v>0.5584</v>
      </c>
      <c r="M7" s="19" t="n">
        <f aca="false">K7-L7</f>
        <v>8.4416</v>
      </c>
      <c r="N7" s="26" t="n">
        <v>2</v>
      </c>
      <c r="O7" s="26" t="n">
        <v>2</v>
      </c>
      <c r="P7" s="28" t="n">
        <f aca="false">IF($C7=0,"",D7/$C7)</f>
        <v>0.388888888888889</v>
      </c>
      <c r="Q7" s="28" t="n">
        <f aca="false">IF($C7=0,"",E7/$C7)</f>
        <v>0.555555555555556</v>
      </c>
      <c r="R7" s="28" t="n">
        <f aca="false">IF($C7=0,"",F7/$C7)</f>
        <v>0.611111111111111</v>
      </c>
      <c r="S7" s="28" t="n">
        <f aca="false">IF($C7=0,"",G7/$C7)</f>
        <v>0.555555555555556</v>
      </c>
      <c r="T7" s="28" t="n">
        <f aca="false">IF($C7=0,"",H7/$C7)</f>
        <v>0.555555555555556</v>
      </c>
      <c r="U7" s="28" t="n">
        <f aca="false">IF($C7=0,"",I7/$C7)</f>
        <v>0.388888888888889</v>
      </c>
      <c r="V7" s="29" t="n">
        <f aca="false">IF($C7=0,"",K7/$C7)</f>
        <v>0.5</v>
      </c>
      <c r="W7" s="29" t="n">
        <f aca="false">IF($C7=0,"",M7/$C7)</f>
        <v>0.468977777777778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22</v>
      </c>
      <c r="D8" s="26" t="n">
        <v>3</v>
      </c>
      <c r="E8" s="26" t="n">
        <v>7</v>
      </c>
      <c r="F8" s="26" t="n">
        <v>15</v>
      </c>
      <c r="G8" s="26" t="n">
        <v>9</v>
      </c>
      <c r="H8" s="26" t="n">
        <v>7</v>
      </c>
      <c r="I8" s="26" t="n">
        <v>3</v>
      </c>
      <c r="J8" s="26" t="n">
        <v>0</v>
      </c>
      <c r="K8" s="27" t="n">
        <v>-5</v>
      </c>
      <c r="L8" s="27" t="n">
        <v>0.7047</v>
      </c>
      <c r="M8" s="19" t="n">
        <f aca="false">K8-L8</f>
        <v>-5.7047</v>
      </c>
      <c r="N8" s="26" t="n">
        <v>2</v>
      </c>
      <c r="O8" s="26" t="n">
        <v>9</v>
      </c>
      <c r="P8" s="28" t="n">
        <f aca="false">IF($C8=0,"",D8/$C8)</f>
        <v>0.136363636363636</v>
      </c>
      <c r="Q8" s="28" t="n">
        <f aca="false">IF($C8=0,"",E8/$C8)</f>
        <v>0.318181818181818</v>
      </c>
      <c r="R8" s="28" t="n">
        <f aca="false">IF($C8=0,"",F8/$C8)</f>
        <v>0.681818181818182</v>
      </c>
      <c r="S8" s="28" t="n">
        <f aca="false">IF($C8=0,"",G8/$C8)</f>
        <v>0.409090909090909</v>
      </c>
      <c r="T8" s="28" t="n">
        <f aca="false">IF($C8=0,"",H8/$C8)</f>
        <v>0.318181818181818</v>
      </c>
      <c r="U8" s="28" t="n">
        <f aca="false">IF($C8=0,"",I8/$C8)</f>
        <v>0.136363636363636</v>
      </c>
      <c r="V8" s="29" t="n">
        <f aca="false">IF($C8=0,"",K8/$C8)</f>
        <v>-0.227272727272727</v>
      </c>
      <c r="W8" s="29" t="n">
        <f aca="false">IF($C8=0,"",M8/$C8)</f>
        <v>-0.259304545454545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18</v>
      </c>
      <c r="D9" s="26" t="n">
        <v>3</v>
      </c>
      <c r="E9" s="26" t="n">
        <v>6</v>
      </c>
      <c r="F9" s="26" t="n">
        <v>8</v>
      </c>
      <c r="G9" s="26" t="n">
        <v>8</v>
      </c>
      <c r="H9" s="26" t="n">
        <v>6</v>
      </c>
      <c r="I9" s="26" t="n">
        <v>3</v>
      </c>
      <c r="J9" s="26" t="n">
        <v>0</v>
      </c>
      <c r="K9" s="27" t="n">
        <v>-3</v>
      </c>
      <c r="L9" s="27" t="n">
        <v>0.6672</v>
      </c>
      <c r="M9" s="19" t="n">
        <f aca="false">K9-L9</f>
        <v>-3.6672</v>
      </c>
      <c r="N9" s="26" t="n">
        <v>1</v>
      </c>
      <c r="O9" s="26" t="n">
        <v>4</v>
      </c>
      <c r="P9" s="28" t="n">
        <f aca="false">IF($C9=0,"",D9/$C9)</f>
        <v>0.166666666666667</v>
      </c>
      <c r="Q9" s="28" t="n">
        <f aca="false">IF($C9=0,"",E9/$C9)</f>
        <v>0.333333333333333</v>
      </c>
      <c r="R9" s="28" t="n">
        <f aca="false">IF($C9=0,"",F9/$C9)</f>
        <v>0.444444444444444</v>
      </c>
      <c r="S9" s="28" t="n">
        <f aca="false">IF($C9=0,"",G9/$C9)</f>
        <v>0.444444444444444</v>
      </c>
      <c r="T9" s="28" t="n">
        <f aca="false">IF($C9=0,"",H9/$C9)</f>
        <v>0.333333333333333</v>
      </c>
      <c r="U9" s="28" t="n">
        <f aca="false">IF($C9=0,"",I9/$C9)</f>
        <v>0.166666666666667</v>
      </c>
      <c r="V9" s="29" t="n">
        <f aca="false">IF($C9=0,"",K9/$C9)</f>
        <v>-0.166666666666667</v>
      </c>
      <c r="W9" s="29" t="n">
        <f aca="false">IF($C9=0,"",M9/$C9)</f>
        <v>-0.203733333333333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21</v>
      </c>
      <c r="D10" s="26" t="n">
        <v>8</v>
      </c>
      <c r="E10" s="26" t="n">
        <v>8</v>
      </c>
      <c r="F10" s="26" t="n">
        <v>15</v>
      </c>
      <c r="G10" s="26" t="n">
        <v>11</v>
      </c>
      <c r="H10" s="26" t="n">
        <v>8</v>
      </c>
      <c r="I10" s="26" t="n">
        <v>8</v>
      </c>
      <c r="J10" s="26" t="n">
        <v>0</v>
      </c>
      <c r="K10" s="27" t="n">
        <v>3</v>
      </c>
      <c r="L10" s="27" t="n">
        <v>0.8434</v>
      </c>
      <c r="M10" s="19" t="n">
        <f aca="false">K10-L10</f>
        <v>2.1566</v>
      </c>
      <c r="N10" s="26" t="n">
        <v>2</v>
      </c>
      <c r="O10" s="26" t="n">
        <v>3</v>
      </c>
      <c r="P10" s="28" t="n">
        <f aca="false">IF($C10=0,"",D10/$C10)</f>
        <v>0.380952380952381</v>
      </c>
      <c r="Q10" s="28" t="n">
        <f aca="false">IF($C10=0,"",E10/$C10)</f>
        <v>0.380952380952381</v>
      </c>
      <c r="R10" s="28" t="n">
        <f aca="false">IF($C10=0,"",F10/$C10)</f>
        <v>0.714285714285714</v>
      </c>
      <c r="S10" s="28" t="n">
        <f aca="false">IF($C10=0,"",G10/$C10)</f>
        <v>0.523809523809524</v>
      </c>
      <c r="T10" s="28" t="n">
        <f aca="false">IF($C10=0,"",H10/$C10)</f>
        <v>0.380952380952381</v>
      </c>
      <c r="U10" s="28" t="n">
        <f aca="false">IF($C10=0,"",I10/$C10)</f>
        <v>0.380952380952381</v>
      </c>
      <c r="V10" s="29" t="n">
        <f aca="false">IF($C10=0,"",K10/$C10)</f>
        <v>0.142857142857143</v>
      </c>
      <c r="W10" s="29" t="n">
        <f aca="false">IF($C10=0,"",M10/$C10)</f>
        <v>0.102695238095238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10</v>
      </c>
      <c r="D11" s="26" t="n">
        <v>2</v>
      </c>
      <c r="E11" s="26" t="n">
        <v>5</v>
      </c>
      <c r="F11" s="26" t="n">
        <v>9</v>
      </c>
      <c r="G11" s="26" t="n">
        <v>7</v>
      </c>
      <c r="H11" s="26" t="n">
        <v>5</v>
      </c>
      <c r="I11" s="26" t="n">
        <v>2</v>
      </c>
      <c r="J11" s="26" t="n">
        <v>0</v>
      </c>
      <c r="K11" s="27" t="n">
        <v>2</v>
      </c>
      <c r="L11" s="27" t="n">
        <v>0.2442</v>
      </c>
      <c r="M11" s="19" t="n">
        <f aca="false">K11-L11</f>
        <v>1.7558</v>
      </c>
      <c r="N11" s="26" t="n">
        <v>4</v>
      </c>
      <c r="O11" s="26" t="n">
        <v>3</v>
      </c>
      <c r="P11" s="28" t="n">
        <f aca="false">IF($C11=0,"",D11/$C11)</f>
        <v>0.2</v>
      </c>
      <c r="Q11" s="28" t="n">
        <f aca="false">IF($C11=0,"",E11/$C11)</f>
        <v>0.5</v>
      </c>
      <c r="R11" s="28" t="n">
        <f aca="false">IF($C11=0,"",F11/$C11)</f>
        <v>0.9</v>
      </c>
      <c r="S11" s="28" t="n">
        <f aca="false">IF($C11=0,"",G11/$C11)</f>
        <v>0.7</v>
      </c>
      <c r="T11" s="28" t="n">
        <f aca="false">IF($C11=0,"",H11/$C11)</f>
        <v>0.5</v>
      </c>
      <c r="U11" s="28" t="n">
        <f aca="false">IF($C11=0,"",I11/$C11)</f>
        <v>0.2</v>
      </c>
      <c r="V11" s="29" t="n">
        <f aca="false">IF($C11=0,"",K11/$C11)</f>
        <v>0.2</v>
      </c>
      <c r="W11" s="29" t="n">
        <f aca="false">IF($C11=0,"",M11/$C11)</f>
        <v>0.17558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21</v>
      </c>
      <c r="D12" s="26" t="n">
        <v>5</v>
      </c>
      <c r="E12" s="26" t="n">
        <v>8</v>
      </c>
      <c r="F12" s="26" t="n">
        <v>13</v>
      </c>
      <c r="G12" s="26" t="n">
        <v>9</v>
      </c>
      <c r="H12" s="26" t="n">
        <v>8</v>
      </c>
      <c r="I12" s="26" t="n">
        <v>5</v>
      </c>
      <c r="J12" s="26" t="n">
        <v>0</v>
      </c>
      <c r="K12" s="27" t="n">
        <v>0</v>
      </c>
      <c r="L12" s="27" t="n">
        <v>0.9675</v>
      </c>
      <c r="M12" s="19" t="n">
        <f aca="false">K12-L12</f>
        <v>-0.9675</v>
      </c>
      <c r="N12" s="26" t="n">
        <v>3</v>
      </c>
      <c r="O12" s="26" t="n">
        <v>6</v>
      </c>
      <c r="P12" s="28" t="n">
        <f aca="false">IF($C12=0,"",D12/$C12)</f>
        <v>0.238095238095238</v>
      </c>
      <c r="Q12" s="28" t="n">
        <f aca="false">IF($C12=0,"",E12/$C12)</f>
        <v>0.380952380952381</v>
      </c>
      <c r="R12" s="28" t="n">
        <f aca="false">IF($C12=0,"",F12/$C12)</f>
        <v>0.619047619047619</v>
      </c>
      <c r="S12" s="28" t="n">
        <f aca="false">IF($C12=0,"",G12/$C12)</f>
        <v>0.428571428571429</v>
      </c>
      <c r="T12" s="28" t="n">
        <f aca="false">IF($C12=0,"",H12/$C12)</f>
        <v>0.380952380952381</v>
      </c>
      <c r="U12" s="28" t="n">
        <f aca="false">IF($C12=0,"",I12/$C12)</f>
        <v>0.238095238095238</v>
      </c>
      <c r="V12" s="29" t="n">
        <f aca="false">IF($C12=0,"",K12/$C12)</f>
        <v>0</v>
      </c>
      <c r="W12" s="29" t="n">
        <f aca="false">IF($C12=0,"",M12/$C12)</f>
        <v>-0.0460714285714286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16</v>
      </c>
      <c r="D13" s="26" t="n">
        <v>3</v>
      </c>
      <c r="E13" s="26" t="n">
        <v>8</v>
      </c>
      <c r="F13" s="26" t="n">
        <v>14</v>
      </c>
      <c r="G13" s="26" t="n">
        <v>13</v>
      </c>
      <c r="H13" s="26" t="n">
        <v>8</v>
      </c>
      <c r="I13" s="26" t="n">
        <v>3</v>
      </c>
      <c r="J13" s="26" t="n">
        <v>0</v>
      </c>
      <c r="K13" s="27" t="n">
        <v>3</v>
      </c>
      <c r="L13" s="27" t="n">
        <v>0.7577</v>
      </c>
      <c r="M13" s="19" t="n">
        <f aca="false">K13-L13</f>
        <v>2.2423</v>
      </c>
      <c r="N13" s="26" t="n">
        <v>4</v>
      </c>
      <c r="O13" s="26" t="n">
        <v>3</v>
      </c>
      <c r="P13" s="28" t="n">
        <f aca="false">IF($C13=0,"",D13/$C13)</f>
        <v>0.1875</v>
      </c>
      <c r="Q13" s="28" t="n">
        <f aca="false">IF($C13=0,"",E13/$C13)</f>
        <v>0.5</v>
      </c>
      <c r="R13" s="28" t="n">
        <f aca="false">IF($C13=0,"",F13/$C13)</f>
        <v>0.875</v>
      </c>
      <c r="S13" s="28" t="n">
        <f aca="false">IF($C13=0,"",G13/$C13)</f>
        <v>0.8125</v>
      </c>
      <c r="T13" s="28" t="n">
        <f aca="false">IF($C13=0,"",H13/$C13)</f>
        <v>0.5</v>
      </c>
      <c r="U13" s="28" t="n">
        <f aca="false">IF($C13=0,"",I13/$C13)</f>
        <v>0.1875</v>
      </c>
      <c r="V13" s="29" t="n">
        <f aca="false">IF($C13=0,"",K13/$C13)</f>
        <v>0.1875</v>
      </c>
      <c r="W13" s="29" t="n">
        <f aca="false">IF($C13=0,"",M13/$C13)</f>
        <v>0.14014375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15</v>
      </c>
      <c r="D14" s="26" t="n">
        <v>5</v>
      </c>
      <c r="E14" s="26" t="n">
        <v>8</v>
      </c>
      <c r="F14" s="26" t="n">
        <v>9</v>
      </c>
      <c r="G14" s="26" t="n">
        <v>8</v>
      </c>
      <c r="H14" s="26" t="n">
        <v>8</v>
      </c>
      <c r="I14" s="26" t="n">
        <v>5</v>
      </c>
      <c r="J14" s="26" t="n">
        <v>0</v>
      </c>
      <c r="K14" s="27" t="n">
        <v>6</v>
      </c>
      <c r="L14" s="27" t="n">
        <v>0.4331</v>
      </c>
      <c r="M14" s="19" t="n">
        <f aca="false">K14-L14</f>
        <v>5.5669</v>
      </c>
      <c r="N14" s="26" t="n">
        <v>4</v>
      </c>
      <c r="O14" s="26" t="n">
        <v>3</v>
      </c>
      <c r="P14" s="28" t="n">
        <f aca="false">IF($C14=0,"",D14/$C14)</f>
        <v>0.333333333333333</v>
      </c>
      <c r="Q14" s="28" t="n">
        <f aca="false">IF($C14=0,"",E14/$C14)</f>
        <v>0.533333333333333</v>
      </c>
      <c r="R14" s="28" t="n">
        <f aca="false">IF($C14=0,"",F14/$C14)</f>
        <v>0.6</v>
      </c>
      <c r="S14" s="28" t="n">
        <f aca="false">IF($C14=0,"",G14/$C14)</f>
        <v>0.533333333333333</v>
      </c>
      <c r="T14" s="28" t="n">
        <f aca="false">IF($C14=0,"",H14/$C14)</f>
        <v>0.533333333333333</v>
      </c>
      <c r="U14" s="28" t="n">
        <f aca="false">IF($C14=0,"",I14/$C14)</f>
        <v>0.333333333333333</v>
      </c>
      <c r="V14" s="29" t="n">
        <f aca="false">IF($C14=0,"",K14/$C14)</f>
        <v>0.4</v>
      </c>
      <c r="W14" s="29" t="n">
        <f aca="false">IF($C14=0,"",M14/$C14)</f>
        <v>0.371126666666667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24</v>
      </c>
      <c r="D15" s="26" t="n">
        <v>3</v>
      </c>
      <c r="E15" s="26" t="n">
        <v>13</v>
      </c>
      <c r="F15" s="26" t="n">
        <v>15</v>
      </c>
      <c r="G15" s="26" t="n">
        <v>13</v>
      </c>
      <c r="H15" s="26" t="n">
        <v>13</v>
      </c>
      <c r="I15" s="26" t="n">
        <v>3</v>
      </c>
      <c r="J15" s="26" t="n">
        <v>0</v>
      </c>
      <c r="K15" s="27" t="n">
        <v>5</v>
      </c>
      <c r="L15" s="27" t="n">
        <v>0.8788</v>
      </c>
      <c r="M15" s="19" t="n">
        <f aca="false">K15-L15</f>
        <v>4.1212</v>
      </c>
      <c r="N15" s="26" t="n">
        <v>4</v>
      </c>
      <c r="O15" s="26" t="n">
        <v>4</v>
      </c>
      <c r="P15" s="28" t="n">
        <f aca="false">IF($C15=0,"",D15/$C15)</f>
        <v>0.125</v>
      </c>
      <c r="Q15" s="28" t="n">
        <f aca="false">IF($C15=0,"",E15/$C15)</f>
        <v>0.541666666666667</v>
      </c>
      <c r="R15" s="28" t="n">
        <f aca="false">IF($C15=0,"",F15/$C15)</f>
        <v>0.625</v>
      </c>
      <c r="S15" s="28" t="n">
        <f aca="false">IF($C15=0,"",G15/$C15)</f>
        <v>0.541666666666667</v>
      </c>
      <c r="T15" s="28" t="n">
        <f aca="false">IF($C15=0,"",H15/$C15)</f>
        <v>0.541666666666667</v>
      </c>
      <c r="U15" s="28" t="n">
        <f aca="false">IF($C15=0,"",I15/$C15)</f>
        <v>0.125</v>
      </c>
      <c r="V15" s="29" t="n">
        <f aca="false">IF($C15=0,"",K15/$C15)</f>
        <v>0.208333333333333</v>
      </c>
      <c r="W15" s="29" t="n">
        <f aca="false">IF($C15=0,"",M15/$C15)</f>
        <v>0.171716666666667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15</v>
      </c>
      <c r="D16" s="26" t="n">
        <v>4</v>
      </c>
      <c r="E16" s="26" t="n">
        <v>6</v>
      </c>
      <c r="F16" s="26" t="n">
        <v>11</v>
      </c>
      <c r="G16" s="26" t="n">
        <v>9</v>
      </c>
      <c r="H16" s="26" t="n">
        <v>6</v>
      </c>
      <c r="I16" s="26" t="n">
        <v>4</v>
      </c>
      <c r="J16" s="26" t="n">
        <v>0</v>
      </c>
      <c r="K16" s="27" t="n">
        <v>1</v>
      </c>
      <c r="L16" s="27" t="n">
        <v>0.4418</v>
      </c>
      <c r="M16" s="19" t="n">
        <f aca="false">K16-L16</f>
        <v>0.5582</v>
      </c>
      <c r="N16" s="26" t="n">
        <v>2</v>
      </c>
      <c r="O16" s="26" t="n">
        <v>4</v>
      </c>
      <c r="P16" s="28" t="n">
        <f aca="false">IF($C16=0,"",D16/$C16)</f>
        <v>0.266666666666667</v>
      </c>
      <c r="Q16" s="28" t="n">
        <f aca="false">IF($C16=0,"",E16/$C16)</f>
        <v>0.4</v>
      </c>
      <c r="R16" s="28" t="n">
        <f aca="false">IF($C16=0,"",F16/$C16)</f>
        <v>0.733333333333333</v>
      </c>
      <c r="S16" s="28" t="n">
        <f aca="false">IF($C16=0,"",G16/$C16)</f>
        <v>0.6</v>
      </c>
      <c r="T16" s="28" t="n">
        <f aca="false">IF($C16=0,"",H16/$C16)</f>
        <v>0.4</v>
      </c>
      <c r="U16" s="28" t="n">
        <f aca="false">IF($C16=0,"",I16/$C16)</f>
        <v>0.266666666666667</v>
      </c>
      <c r="V16" s="29" t="n">
        <f aca="false">IF($C16=0,"",K16/$C16)</f>
        <v>0.0666666666666667</v>
      </c>
      <c r="W16" s="29" t="n">
        <f aca="false">IF($C16=0,"",M16/$C16)</f>
        <v>0.0372133333333333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20</v>
      </c>
      <c r="D17" s="26" t="n">
        <v>5</v>
      </c>
      <c r="E17" s="26" t="n">
        <v>10</v>
      </c>
      <c r="F17" s="26" t="n">
        <v>15</v>
      </c>
      <c r="G17" s="26" t="n">
        <v>12</v>
      </c>
      <c r="H17" s="26" t="n">
        <v>10</v>
      </c>
      <c r="I17" s="26" t="n">
        <v>5</v>
      </c>
      <c r="J17" s="26" t="n">
        <v>0</v>
      </c>
      <c r="K17" s="27" t="n">
        <v>5</v>
      </c>
      <c r="L17" s="27" t="n">
        <v>0.8437</v>
      </c>
      <c r="M17" s="19" t="n">
        <f aca="false">K17-L17</f>
        <v>4.1563</v>
      </c>
      <c r="N17" s="26" t="n">
        <v>3</v>
      </c>
      <c r="O17" s="26" t="n">
        <v>6</v>
      </c>
      <c r="P17" s="28" t="n">
        <f aca="false">IF($C17=0,"",D17/$C17)</f>
        <v>0.25</v>
      </c>
      <c r="Q17" s="28" t="n">
        <f aca="false">IF($C17=0,"",E17/$C17)</f>
        <v>0.5</v>
      </c>
      <c r="R17" s="28" t="n">
        <f aca="false">IF($C17=0,"",F17/$C17)</f>
        <v>0.75</v>
      </c>
      <c r="S17" s="28" t="n">
        <f aca="false">IF($C17=0,"",G17/$C17)</f>
        <v>0.6</v>
      </c>
      <c r="T17" s="28" t="n">
        <f aca="false">IF($C17=0,"",H17/$C17)</f>
        <v>0.5</v>
      </c>
      <c r="U17" s="28" t="n">
        <f aca="false">IF($C17=0,"",I17/$C17)</f>
        <v>0.25</v>
      </c>
      <c r="V17" s="29" t="n">
        <f aca="false">IF($C17=0,"",K17/$C17)</f>
        <v>0.25</v>
      </c>
      <c r="W17" s="29" t="n">
        <f aca="false">IF($C17=0,"",M17/$C17)</f>
        <v>0.207815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222</v>
      </c>
      <c r="D18" s="30" t="n">
        <f aca="false">SUM(D6:D17)</f>
        <v>52</v>
      </c>
      <c r="E18" s="30" t="n">
        <f aca="false">SUM(E6:E17)</f>
        <v>98</v>
      </c>
      <c r="F18" s="30" t="n">
        <f aca="false">SUM(F6:F17)</f>
        <v>148</v>
      </c>
      <c r="G18" s="30" t="n">
        <f aca="false">SUM(G6:G17)</f>
        <v>122</v>
      </c>
      <c r="H18" s="30" t="n">
        <f aca="false">SUM(H6:H17)</f>
        <v>98</v>
      </c>
      <c r="I18" s="30" t="n">
        <f aca="false">SUM(I6:I17)</f>
        <v>52</v>
      </c>
      <c r="J18" s="30" t="n">
        <f aca="false">SUM(J6:J17)</f>
        <v>0</v>
      </c>
      <c r="K18" s="31" t="n">
        <f aca="false">SUM(K6:K17)</f>
        <v>26</v>
      </c>
      <c r="L18" s="31" t="n">
        <f aca="false">SUM(L6:L17)</f>
        <v>8.0443</v>
      </c>
      <c r="M18" s="31" t="n">
        <f aca="false">K18-L18</f>
        <v>17.9557</v>
      </c>
      <c r="N18" s="32" t="n">
        <v>8</v>
      </c>
      <c r="O18" s="32" t="n">
        <v>9</v>
      </c>
      <c r="P18" s="33" t="n">
        <f aca="false">IF($C18=0,"",D18/$C18)</f>
        <v>0.234234234234234</v>
      </c>
      <c r="Q18" s="33" t="n">
        <f aca="false">IF($C18=0,"",E18/$C18)</f>
        <v>0.441441441441441</v>
      </c>
      <c r="R18" s="33" t="n">
        <f aca="false">IF($C18=0,"",F18/$C18)</f>
        <v>0.666666666666667</v>
      </c>
      <c r="S18" s="33" t="n">
        <f aca="false">IF($C18=0,"",G18/$C18)</f>
        <v>0.54954954954955</v>
      </c>
      <c r="T18" s="33" t="n">
        <f aca="false">IF($C18=0,"",H18/$C18)</f>
        <v>0.441441441441441</v>
      </c>
      <c r="U18" s="33" t="n">
        <f aca="false">IF($C18=0,"",I18/$C18)</f>
        <v>0.234234234234234</v>
      </c>
      <c r="V18" s="34" t="n">
        <f aca="false">IF($C18=0,"",K18/$C18)</f>
        <v>0.117117117117117</v>
      </c>
      <c r="W18" s="34" t="n">
        <f aca="false">IF($C18=0,"",M18/$C18)</f>
        <v>0.0808815315315315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22</v>
      </c>
      <c r="D19" s="26" t="n">
        <v>5</v>
      </c>
      <c r="E19" s="26" t="n">
        <v>9</v>
      </c>
      <c r="F19" s="26" t="n">
        <v>14</v>
      </c>
      <c r="G19" s="26" t="n">
        <v>9</v>
      </c>
      <c r="H19" s="26" t="n">
        <v>9</v>
      </c>
      <c r="I19" s="26" t="n">
        <v>5</v>
      </c>
      <c r="J19" s="26" t="n">
        <v>0</v>
      </c>
      <c r="K19" s="27" t="n">
        <v>1</v>
      </c>
      <c r="L19" s="27" t="n">
        <v>1.0462</v>
      </c>
      <c r="M19" s="19" t="n">
        <f aca="false">K19-L19</f>
        <v>-0.0462</v>
      </c>
      <c r="N19" s="26" t="n">
        <v>2</v>
      </c>
      <c r="O19" s="26" t="n">
        <v>3</v>
      </c>
      <c r="P19" s="28" t="n">
        <f aca="false">IF($C19=0,"",D19/$C19)</f>
        <v>0.227272727272727</v>
      </c>
      <c r="Q19" s="28" t="n">
        <f aca="false">IF($C19=0,"",E19/$C19)</f>
        <v>0.409090909090909</v>
      </c>
      <c r="R19" s="28" t="n">
        <f aca="false">IF($C19=0,"",F19/$C19)</f>
        <v>0.636363636363636</v>
      </c>
      <c r="S19" s="28" t="n">
        <f aca="false">IF($C19=0,"",G19/$C19)</f>
        <v>0.409090909090909</v>
      </c>
      <c r="T19" s="28" t="n">
        <f aca="false">IF($C19=0,"",H19/$C19)</f>
        <v>0.409090909090909</v>
      </c>
      <c r="U19" s="28" t="n">
        <f aca="false">IF($C19=0,"",I19/$C19)</f>
        <v>0.227272727272727</v>
      </c>
      <c r="V19" s="29" t="n">
        <f aca="false">IF($C19=0,"",K19/$C19)</f>
        <v>0.0454545454545455</v>
      </c>
      <c r="W19" s="29" t="n">
        <f aca="false">IF($C19=0,"",M19/$C19)</f>
        <v>-0.0021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21</v>
      </c>
      <c r="D20" s="26" t="n">
        <v>8</v>
      </c>
      <c r="E20" s="26" t="n">
        <v>13</v>
      </c>
      <c r="F20" s="26" t="n">
        <v>15</v>
      </c>
      <c r="G20" s="26" t="n">
        <v>14</v>
      </c>
      <c r="H20" s="26" t="n">
        <v>13</v>
      </c>
      <c r="I20" s="26" t="n">
        <v>8</v>
      </c>
      <c r="J20" s="26" t="n">
        <v>0</v>
      </c>
      <c r="K20" s="27" t="n">
        <v>13</v>
      </c>
      <c r="L20" s="27" t="n">
        <v>0.8203</v>
      </c>
      <c r="M20" s="19" t="n">
        <f aca="false">K20-L20</f>
        <v>12.1797</v>
      </c>
      <c r="N20" s="26" t="n">
        <v>3</v>
      </c>
      <c r="O20" s="26" t="n">
        <v>2</v>
      </c>
      <c r="P20" s="28" t="n">
        <f aca="false">IF($C20=0,"",D20/$C20)</f>
        <v>0.380952380952381</v>
      </c>
      <c r="Q20" s="28" t="n">
        <f aca="false">IF($C20=0,"",E20/$C20)</f>
        <v>0.619047619047619</v>
      </c>
      <c r="R20" s="28" t="n">
        <f aca="false">IF($C20=0,"",F20/$C20)</f>
        <v>0.714285714285714</v>
      </c>
      <c r="S20" s="28" t="n">
        <f aca="false">IF($C20=0,"",G20/$C20)</f>
        <v>0.666666666666667</v>
      </c>
      <c r="T20" s="28" t="n">
        <f aca="false">IF($C20=0,"",H20/$C20)</f>
        <v>0.619047619047619</v>
      </c>
      <c r="U20" s="28" t="n">
        <f aca="false">IF($C20=0,"",I20/$C20)</f>
        <v>0.380952380952381</v>
      </c>
      <c r="V20" s="29" t="n">
        <f aca="false">IF($C20=0,"",K20/$C20)</f>
        <v>0.619047619047619</v>
      </c>
      <c r="W20" s="29" t="n">
        <f aca="false">IF($C20=0,"",M20/$C20)</f>
        <v>0.579985714285714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14</v>
      </c>
      <c r="D21" s="26" t="n">
        <v>5</v>
      </c>
      <c r="E21" s="26" t="n">
        <v>11</v>
      </c>
      <c r="F21" s="26" t="n">
        <v>12</v>
      </c>
      <c r="G21" s="26" t="n">
        <v>11</v>
      </c>
      <c r="H21" s="26" t="n">
        <v>11</v>
      </c>
      <c r="I21" s="26" t="n">
        <v>5</v>
      </c>
      <c r="J21" s="26" t="n">
        <v>0</v>
      </c>
      <c r="K21" s="27" t="n">
        <v>13</v>
      </c>
      <c r="L21" s="27" t="n">
        <v>0.2254</v>
      </c>
      <c r="M21" s="19" t="n">
        <f aca="false">K21-L21</f>
        <v>12.7746</v>
      </c>
      <c r="N21" s="26" t="n">
        <v>7</v>
      </c>
      <c r="O21" s="26" t="n">
        <v>2</v>
      </c>
      <c r="P21" s="28" t="n">
        <f aca="false">IF($C21=0,"",D21/$C21)</f>
        <v>0.357142857142857</v>
      </c>
      <c r="Q21" s="28" t="n">
        <f aca="false">IF($C21=0,"",E21/$C21)</f>
        <v>0.785714285714286</v>
      </c>
      <c r="R21" s="28" t="n">
        <f aca="false">IF($C21=0,"",F21/$C21)</f>
        <v>0.857142857142857</v>
      </c>
      <c r="S21" s="28" t="n">
        <f aca="false">IF($C21=0,"",G21/$C21)</f>
        <v>0.785714285714286</v>
      </c>
      <c r="T21" s="28" t="n">
        <f aca="false">IF($C21=0,"",H21/$C21)</f>
        <v>0.785714285714286</v>
      </c>
      <c r="U21" s="28" t="n">
        <f aca="false">IF($C21=0,"",I21/$C21)</f>
        <v>0.357142857142857</v>
      </c>
      <c r="V21" s="29" t="n">
        <f aca="false">IF($C21=0,"",K21/$C21)</f>
        <v>0.928571428571429</v>
      </c>
      <c r="W21" s="29" t="n">
        <f aca="false">IF($C21=0,"",M21/$C21)</f>
        <v>0.912471428571429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16</v>
      </c>
      <c r="D22" s="26" t="n">
        <v>2</v>
      </c>
      <c r="E22" s="26" t="n">
        <v>8</v>
      </c>
      <c r="F22" s="26" t="n">
        <v>10</v>
      </c>
      <c r="G22" s="26" t="n">
        <v>9</v>
      </c>
      <c r="H22" s="26" t="n">
        <v>8</v>
      </c>
      <c r="I22" s="26" t="n">
        <v>2</v>
      </c>
      <c r="J22" s="26" t="n">
        <v>0</v>
      </c>
      <c r="K22" s="27" t="n">
        <v>2</v>
      </c>
      <c r="L22" s="27" t="n">
        <v>0.4942</v>
      </c>
      <c r="M22" s="19" t="n">
        <f aca="false">K22-L22</f>
        <v>1.5058</v>
      </c>
      <c r="N22" s="26" t="n">
        <v>4</v>
      </c>
      <c r="O22" s="26" t="n">
        <v>5</v>
      </c>
      <c r="P22" s="28" t="n">
        <f aca="false">IF($C22=0,"",D22/$C22)</f>
        <v>0.125</v>
      </c>
      <c r="Q22" s="28" t="n">
        <f aca="false">IF($C22=0,"",E22/$C22)</f>
        <v>0.5</v>
      </c>
      <c r="R22" s="28" t="n">
        <f aca="false">IF($C22=0,"",F22/$C22)</f>
        <v>0.625</v>
      </c>
      <c r="S22" s="28" t="n">
        <f aca="false">IF($C22=0,"",G22/$C22)</f>
        <v>0.5625</v>
      </c>
      <c r="T22" s="28" t="n">
        <f aca="false">IF($C22=0,"",H22/$C22)</f>
        <v>0.5</v>
      </c>
      <c r="U22" s="28" t="n">
        <f aca="false">IF($C22=0,"",I22/$C22)</f>
        <v>0.125</v>
      </c>
      <c r="V22" s="29" t="n">
        <f aca="false">IF($C22=0,"",K22/$C22)</f>
        <v>0.125</v>
      </c>
      <c r="W22" s="29" t="n">
        <f aca="false">IF($C22=0,"",M22/$C22)</f>
        <v>0.0941125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22</v>
      </c>
      <c r="D23" s="26" t="n">
        <v>4</v>
      </c>
      <c r="E23" s="26" t="n">
        <v>11</v>
      </c>
      <c r="F23" s="26" t="n">
        <v>18</v>
      </c>
      <c r="G23" s="26" t="n">
        <v>15</v>
      </c>
      <c r="H23" s="26" t="n">
        <v>11</v>
      </c>
      <c r="I23" s="26" t="n">
        <v>4</v>
      </c>
      <c r="J23" s="26" t="n">
        <v>0</v>
      </c>
      <c r="K23" s="27" t="n">
        <v>4</v>
      </c>
      <c r="L23" s="27" t="n">
        <v>0.866</v>
      </c>
      <c r="M23" s="19" t="n">
        <f aca="false">K23-L23</f>
        <v>3.134</v>
      </c>
      <c r="N23" s="26" t="n">
        <v>4</v>
      </c>
      <c r="O23" s="26" t="n">
        <v>4</v>
      </c>
      <c r="P23" s="28" t="n">
        <f aca="false">IF($C23=0,"",D23/$C23)</f>
        <v>0.181818181818182</v>
      </c>
      <c r="Q23" s="28" t="n">
        <f aca="false">IF($C23=0,"",E23/$C23)</f>
        <v>0.5</v>
      </c>
      <c r="R23" s="28" t="n">
        <f aca="false">IF($C23=0,"",F23/$C23)</f>
        <v>0.818181818181818</v>
      </c>
      <c r="S23" s="28" t="n">
        <f aca="false">IF($C23=0,"",G23/$C23)</f>
        <v>0.681818181818182</v>
      </c>
      <c r="T23" s="28" t="n">
        <f aca="false">IF($C23=0,"",H23/$C23)</f>
        <v>0.5</v>
      </c>
      <c r="U23" s="28" t="n">
        <f aca="false">IF($C23=0,"",I23/$C23)</f>
        <v>0.181818181818182</v>
      </c>
      <c r="V23" s="29" t="n">
        <f aca="false">IF($C23=0,"",K23/$C23)</f>
        <v>0.181818181818182</v>
      </c>
      <c r="W23" s="29" t="n">
        <f aca="false">IF($C23=0,"",M23/$C23)</f>
        <v>0.142454545454545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15</v>
      </c>
      <c r="D24" s="26" t="n">
        <v>5</v>
      </c>
      <c r="E24" s="26" t="n">
        <v>6</v>
      </c>
      <c r="F24" s="26" t="n">
        <v>11</v>
      </c>
      <c r="G24" s="26" t="n">
        <v>7</v>
      </c>
      <c r="H24" s="26" t="n">
        <v>6</v>
      </c>
      <c r="I24" s="26" t="n">
        <v>5</v>
      </c>
      <c r="J24" s="26" t="n">
        <v>0</v>
      </c>
      <c r="K24" s="27" t="n">
        <v>2</v>
      </c>
      <c r="L24" s="27" t="n">
        <v>0.5497</v>
      </c>
      <c r="M24" s="19" t="n">
        <f aca="false">K24-L24</f>
        <v>1.4503</v>
      </c>
      <c r="N24" s="26" t="n">
        <v>3</v>
      </c>
      <c r="O24" s="26" t="n">
        <v>4</v>
      </c>
      <c r="P24" s="28" t="n">
        <f aca="false">IF($C24=0,"",D24/$C24)</f>
        <v>0.333333333333333</v>
      </c>
      <c r="Q24" s="28" t="n">
        <f aca="false">IF($C24=0,"",E24/$C24)</f>
        <v>0.4</v>
      </c>
      <c r="R24" s="28" t="n">
        <f aca="false">IF($C24=0,"",F24/$C24)</f>
        <v>0.733333333333333</v>
      </c>
      <c r="S24" s="28" t="n">
        <f aca="false">IF($C24=0,"",G24/$C24)</f>
        <v>0.466666666666667</v>
      </c>
      <c r="T24" s="28" t="n">
        <f aca="false">IF($C24=0,"",H24/$C24)</f>
        <v>0.4</v>
      </c>
      <c r="U24" s="28" t="n">
        <f aca="false">IF($C24=0,"",I24/$C24)</f>
        <v>0.333333333333333</v>
      </c>
      <c r="V24" s="29" t="n">
        <f aca="false">IF($C24=0,"",K24/$C24)</f>
        <v>0.133333333333333</v>
      </c>
      <c r="W24" s="29" t="n">
        <f aca="false">IF($C24=0,"",M24/$C24)</f>
        <v>0.0966866666666667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19</v>
      </c>
      <c r="D25" s="26" t="n">
        <v>4</v>
      </c>
      <c r="E25" s="26" t="n">
        <v>8</v>
      </c>
      <c r="F25" s="26" t="n">
        <v>12</v>
      </c>
      <c r="G25" s="26" t="n">
        <v>12</v>
      </c>
      <c r="H25" s="26" t="n">
        <v>8</v>
      </c>
      <c r="I25" s="26" t="n">
        <v>4</v>
      </c>
      <c r="J25" s="26" t="n">
        <v>0</v>
      </c>
      <c r="K25" s="27" t="n">
        <v>1</v>
      </c>
      <c r="L25" s="27" t="n">
        <v>1.0269</v>
      </c>
      <c r="M25" s="19" t="n">
        <f aca="false">K25-L25</f>
        <v>-0.0268999999999999</v>
      </c>
      <c r="N25" s="26" t="n">
        <v>3</v>
      </c>
      <c r="O25" s="26" t="n">
        <v>4</v>
      </c>
      <c r="P25" s="28" t="n">
        <f aca="false">IF($C25=0,"",D25/$C25)</f>
        <v>0.210526315789474</v>
      </c>
      <c r="Q25" s="28" t="n">
        <f aca="false">IF($C25=0,"",E25/$C25)</f>
        <v>0.421052631578947</v>
      </c>
      <c r="R25" s="28" t="n">
        <f aca="false">IF($C25=0,"",F25/$C25)</f>
        <v>0.631578947368421</v>
      </c>
      <c r="S25" s="28" t="n">
        <f aca="false">IF($C25=0,"",G25/$C25)</f>
        <v>0.631578947368421</v>
      </c>
      <c r="T25" s="28" t="n">
        <f aca="false">IF($C25=0,"",H25/$C25)</f>
        <v>0.421052631578947</v>
      </c>
      <c r="U25" s="28" t="n">
        <f aca="false">IF($C25=0,"",I25/$C25)</f>
        <v>0.210526315789474</v>
      </c>
      <c r="V25" s="29" t="n">
        <f aca="false">IF($C25=0,"",K25/$C25)</f>
        <v>0.0526315789473684</v>
      </c>
      <c r="W25" s="29" t="n">
        <f aca="false">IF($C25=0,"",M25/$C25)</f>
        <v>-0.00141578947368421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25</v>
      </c>
      <c r="D26" s="26" t="n">
        <v>5</v>
      </c>
      <c r="E26" s="26" t="n">
        <v>6</v>
      </c>
      <c r="F26" s="26" t="n">
        <v>10</v>
      </c>
      <c r="G26" s="26" t="n">
        <v>9</v>
      </c>
      <c r="H26" s="26" t="n">
        <v>6</v>
      </c>
      <c r="I26" s="26" t="n">
        <v>5</v>
      </c>
      <c r="J26" s="26" t="n">
        <v>0</v>
      </c>
      <c r="K26" s="27" t="n">
        <v>-8</v>
      </c>
      <c r="L26" s="27" t="n">
        <v>0.918</v>
      </c>
      <c r="M26" s="19" t="n">
        <f aca="false">K26-L26</f>
        <v>-8.918</v>
      </c>
      <c r="N26" s="26" t="n">
        <v>1</v>
      </c>
      <c r="O26" s="26" t="n">
        <v>6</v>
      </c>
      <c r="P26" s="28" t="n">
        <f aca="false">IF($C26=0,"",D26/$C26)</f>
        <v>0.2</v>
      </c>
      <c r="Q26" s="28" t="n">
        <f aca="false">IF($C26=0,"",E26/$C26)</f>
        <v>0.24</v>
      </c>
      <c r="R26" s="28" t="n">
        <f aca="false">IF($C26=0,"",F26/$C26)</f>
        <v>0.4</v>
      </c>
      <c r="S26" s="28" t="n">
        <f aca="false">IF($C26=0,"",G26/$C26)</f>
        <v>0.36</v>
      </c>
      <c r="T26" s="28" t="n">
        <f aca="false">IF($C26=0,"",H26/$C26)</f>
        <v>0.24</v>
      </c>
      <c r="U26" s="28" t="n">
        <f aca="false">IF($C26=0,"",I26/$C26)</f>
        <v>0.2</v>
      </c>
      <c r="V26" s="29" t="n">
        <f aca="false">IF($C26=0,"",K26/$C26)</f>
        <v>-0.32</v>
      </c>
      <c r="W26" s="29" t="n">
        <f aca="false">IF($C26=0,"",M26/$C26)</f>
        <v>-0.35672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20</v>
      </c>
      <c r="D27" s="26" t="n">
        <v>6</v>
      </c>
      <c r="E27" s="26" t="n">
        <v>10</v>
      </c>
      <c r="F27" s="26" t="n">
        <v>14</v>
      </c>
      <c r="G27" s="26" t="n">
        <v>11</v>
      </c>
      <c r="H27" s="26" t="n">
        <v>10</v>
      </c>
      <c r="I27" s="26" t="n">
        <v>6</v>
      </c>
      <c r="J27" s="26" t="n">
        <v>0</v>
      </c>
      <c r="K27" s="27" t="n">
        <v>6</v>
      </c>
      <c r="L27" s="27" t="n">
        <v>0.7803</v>
      </c>
      <c r="M27" s="19" t="n">
        <f aca="false">K27-L27</f>
        <v>5.2197</v>
      </c>
      <c r="N27" s="26" t="n">
        <v>4</v>
      </c>
      <c r="O27" s="26" t="n">
        <v>3</v>
      </c>
      <c r="P27" s="28" t="n">
        <f aca="false">IF($C27=0,"",D27/$C27)</f>
        <v>0.3</v>
      </c>
      <c r="Q27" s="28" t="n">
        <f aca="false">IF($C27=0,"",E27/$C27)</f>
        <v>0.5</v>
      </c>
      <c r="R27" s="28" t="n">
        <f aca="false">IF($C27=0,"",F27/$C27)</f>
        <v>0.7</v>
      </c>
      <c r="S27" s="28" t="n">
        <f aca="false">IF($C27=0,"",G27/$C27)</f>
        <v>0.55</v>
      </c>
      <c r="T27" s="28" t="n">
        <f aca="false">IF($C27=0,"",H27/$C27)</f>
        <v>0.5</v>
      </c>
      <c r="U27" s="28" t="n">
        <f aca="false">IF($C27=0,"",I27/$C27)</f>
        <v>0.3</v>
      </c>
      <c r="V27" s="29" t="n">
        <f aca="false">IF($C27=0,"",K27/$C27)</f>
        <v>0.3</v>
      </c>
      <c r="W27" s="29" t="n">
        <f aca="false">IF($C27=0,"",M27/$C27)</f>
        <v>0.260985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25</v>
      </c>
      <c r="D28" s="26" t="n">
        <v>8</v>
      </c>
      <c r="E28" s="26" t="n">
        <v>11</v>
      </c>
      <c r="F28" s="26" t="n">
        <v>18</v>
      </c>
      <c r="G28" s="26" t="n">
        <v>15</v>
      </c>
      <c r="H28" s="26" t="n">
        <v>11</v>
      </c>
      <c r="I28" s="26" t="n">
        <v>8</v>
      </c>
      <c r="J28" s="26" t="n">
        <v>0</v>
      </c>
      <c r="K28" s="27" t="n">
        <v>5</v>
      </c>
      <c r="L28" s="27" t="n">
        <v>1.292</v>
      </c>
      <c r="M28" s="19" t="n">
        <f aca="false">K28-L28</f>
        <v>3.708</v>
      </c>
      <c r="N28" s="26" t="n">
        <v>3</v>
      </c>
      <c r="O28" s="26" t="n">
        <v>4</v>
      </c>
      <c r="P28" s="28" t="n">
        <f aca="false">IF($C28=0,"",D28/$C28)</f>
        <v>0.32</v>
      </c>
      <c r="Q28" s="28" t="n">
        <f aca="false">IF($C28=0,"",E28/$C28)</f>
        <v>0.44</v>
      </c>
      <c r="R28" s="28" t="n">
        <f aca="false">IF($C28=0,"",F28/$C28)</f>
        <v>0.72</v>
      </c>
      <c r="S28" s="28" t="n">
        <f aca="false">IF($C28=0,"",G28/$C28)</f>
        <v>0.6</v>
      </c>
      <c r="T28" s="28" t="n">
        <f aca="false">IF($C28=0,"",H28/$C28)</f>
        <v>0.44</v>
      </c>
      <c r="U28" s="28" t="n">
        <f aca="false">IF($C28=0,"",I28/$C28)</f>
        <v>0.32</v>
      </c>
      <c r="V28" s="29" t="n">
        <f aca="false">IF($C28=0,"",K28/$C28)</f>
        <v>0.2</v>
      </c>
      <c r="W28" s="29" t="n">
        <f aca="false">IF($C28=0,"",M28/$C28)</f>
        <v>0.14832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24</v>
      </c>
      <c r="D29" s="26" t="n">
        <v>6</v>
      </c>
      <c r="E29" s="26" t="n">
        <v>10</v>
      </c>
      <c r="F29" s="26" t="n">
        <v>14</v>
      </c>
      <c r="G29" s="26" t="n">
        <v>12</v>
      </c>
      <c r="H29" s="26" t="n">
        <v>10</v>
      </c>
      <c r="I29" s="26" t="n">
        <v>6</v>
      </c>
      <c r="J29" s="26" t="n">
        <v>0</v>
      </c>
      <c r="K29" s="27" t="n">
        <v>2</v>
      </c>
      <c r="L29" s="27" t="n">
        <v>1.0388</v>
      </c>
      <c r="M29" s="19" t="n">
        <f aca="false">K29-L29</f>
        <v>0.9612</v>
      </c>
      <c r="N29" s="26" t="n">
        <v>3</v>
      </c>
      <c r="O29" s="26" t="n">
        <v>7</v>
      </c>
      <c r="P29" s="28" t="n">
        <f aca="false">IF($C29=0,"",D29/$C29)</f>
        <v>0.25</v>
      </c>
      <c r="Q29" s="28" t="n">
        <f aca="false">IF($C29=0,"",E29/$C29)</f>
        <v>0.416666666666667</v>
      </c>
      <c r="R29" s="28" t="n">
        <f aca="false">IF($C29=0,"",F29/$C29)</f>
        <v>0.583333333333333</v>
      </c>
      <c r="S29" s="28" t="n">
        <f aca="false">IF($C29=0,"",G29/$C29)</f>
        <v>0.5</v>
      </c>
      <c r="T29" s="28" t="n">
        <f aca="false">IF($C29=0,"",H29/$C29)</f>
        <v>0.416666666666667</v>
      </c>
      <c r="U29" s="28" t="n">
        <f aca="false">IF($C29=0,"",I29/$C29)</f>
        <v>0.25</v>
      </c>
      <c r="V29" s="29" t="n">
        <f aca="false">IF($C29=0,"",K29/$C29)</f>
        <v>0.0833333333333333</v>
      </c>
      <c r="W29" s="29" t="n">
        <f aca="false">IF($C29=0,"",M29/$C29)</f>
        <v>0.04005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23</v>
      </c>
      <c r="D30" s="26" t="n">
        <v>6</v>
      </c>
      <c r="E30" s="26" t="n">
        <v>11</v>
      </c>
      <c r="F30" s="26" t="n">
        <v>14</v>
      </c>
      <c r="G30" s="26" t="n">
        <v>13</v>
      </c>
      <c r="H30" s="26" t="n">
        <v>11</v>
      </c>
      <c r="I30" s="26" t="n">
        <v>6</v>
      </c>
      <c r="J30" s="26" t="n">
        <v>0</v>
      </c>
      <c r="K30" s="27" t="n">
        <v>5</v>
      </c>
      <c r="L30" s="27" t="n">
        <v>1.0328</v>
      </c>
      <c r="M30" s="19" t="n">
        <f aca="false">K30-L30</f>
        <v>3.9672</v>
      </c>
      <c r="N30" s="26" t="n">
        <v>3</v>
      </c>
      <c r="O30" s="26" t="n">
        <v>3</v>
      </c>
      <c r="P30" s="28" t="n">
        <f aca="false">IF($C30=0,"",D30/$C30)</f>
        <v>0.260869565217391</v>
      </c>
      <c r="Q30" s="28" t="n">
        <f aca="false">IF($C30=0,"",E30/$C30)</f>
        <v>0.478260869565217</v>
      </c>
      <c r="R30" s="28" t="n">
        <f aca="false">IF($C30=0,"",F30/$C30)</f>
        <v>0.608695652173913</v>
      </c>
      <c r="S30" s="28" t="n">
        <f aca="false">IF($C30=0,"",G30/$C30)</f>
        <v>0.565217391304348</v>
      </c>
      <c r="T30" s="28" t="n">
        <f aca="false">IF($C30=0,"",H30/$C30)</f>
        <v>0.478260869565217</v>
      </c>
      <c r="U30" s="28" t="n">
        <f aca="false">IF($C30=0,"",I30/$C30)</f>
        <v>0.260869565217391</v>
      </c>
      <c r="V30" s="29" t="n">
        <f aca="false">IF($C30=0,"",K30/$C30)</f>
        <v>0.217391304347826</v>
      </c>
      <c r="W30" s="29" t="n">
        <f aca="false">IF($C30=0,"",M30/$C30)</f>
        <v>0.172486956521739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246</v>
      </c>
      <c r="D31" s="30" t="n">
        <f aca="false">SUM(D19:D30)</f>
        <v>64</v>
      </c>
      <c r="E31" s="30" t="n">
        <f aca="false">SUM(E19:E30)</f>
        <v>114</v>
      </c>
      <c r="F31" s="30" t="n">
        <f aca="false">SUM(F19:F30)</f>
        <v>162</v>
      </c>
      <c r="G31" s="30" t="n">
        <f aca="false">SUM(G19:G30)</f>
        <v>137</v>
      </c>
      <c r="H31" s="30" t="n">
        <f aca="false">SUM(H19:H30)</f>
        <v>114</v>
      </c>
      <c r="I31" s="30" t="n">
        <f aca="false">SUM(I19:I30)</f>
        <v>64</v>
      </c>
      <c r="J31" s="30" t="n">
        <f aca="false">SUM(J19:J30)</f>
        <v>0</v>
      </c>
      <c r="K31" s="31" t="n">
        <f aca="false">SUM(K19:K30)</f>
        <v>46</v>
      </c>
      <c r="L31" s="31" t="n">
        <f aca="false">SUM(L19:L30)</f>
        <v>10.0906</v>
      </c>
      <c r="M31" s="31" t="n">
        <f aca="false">K31-L31</f>
        <v>35.9094</v>
      </c>
      <c r="N31" s="32" t="n">
        <v>7</v>
      </c>
      <c r="O31" s="32" t="n">
        <v>7</v>
      </c>
      <c r="P31" s="33" t="n">
        <f aca="false">IF($C31=0,"",D31/$C31)</f>
        <v>0.260162601626016</v>
      </c>
      <c r="Q31" s="33" t="n">
        <f aca="false">IF($C31=0,"",E31/$C31)</f>
        <v>0.463414634146342</v>
      </c>
      <c r="R31" s="33" t="n">
        <f aca="false">IF($C31=0,"",F31/$C31)</f>
        <v>0.658536585365854</v>
      </c>
      <c r="S31" s="33" t="n">
        <f aca="false">IF($C31=0,"",G31/$C31)</f>
        <v>0.556910569105691</v>
      </c>
      <c r="T31" s="33" t="n">
        <f aca="false">IF($C31=0,"",H31/$C31)</f>
        <v>0.463414634146342</v>
      </c>
      <c r="U31" s="33" t="n">
        <f aca="false">IF($C31=0,"",I31/$C31)</f>
        <v>0.260162601626016</v>
      </c>
      <c r="V31" s="34" t="n">
        <f aca="false">IF($C31=0,"",K31/$C31)</f>
        <v>0.186991869918699</v>
      </c>
      <c r="W31" s="34" t="n">
        <f aca="false">IF($C31=0,"",M31/$C31)</f>
        <v>0.145973170731707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31</v>
      </c>
      <c r="D32" s="26" t="n">
        <v>2</v>
      </c>
      <c r="E32" s="26" t="n">
        <v>6</v>
      </c>
      <c r="F32" s="26" t="n">
        <v>15</v>
      </c>
      <c r="G32" s="26" t="n">
        <v>10</v>
      </c>
      <c r="H32" s="26" t="n">
        <v>6</v>
      </c>
      <c r="I32" s="26" t="n">
        <v>2</v>
      </c>
      <c r="J32" s="26" t="n">
        <v>0</v>
      </c>
      <c r="K32" s="27" t="n">
        <v>-17</v>
      </c>
      <c r="L32" s="27" t="n">
        <v>1.3529</v>
      </c>
      <c r="M32" s="19" t="n">
        <f aca="false">K32-L32</f>
        <v>-18.3529</v>
      </c>
      <c r="N32" s="26" t="n">
        <v>3</v>
      </c>
      <c r="O32" s="26" t="n">
        <v>17</v>
      </c>
      <c r="P32" s="28" t="n">
        <f aca="false">IF($C32=0,"",D32/$C32)</f>
        <v>0.0645161290322581</v>
      </c>
      <c r="Q32" s="28" t="n">
        <f aca="false">IF($C32=0,"",E32/$C32)</f>
        <v>0.193548387096774</v>
      </c>
      <c r="R32" s="28" t="n">
        <f aca="false">IF($C32=0,"",F32/$C32)</f>
        <v>0.483870967741936</v>
      </c>
      <c r="S32" s="28" t="n">
        <f aca="false">IF($C32=0,"",G32/$C32)</f>
        <v>0.32258064516129</v>
      </c>
      <c r="T32" s="28" t="n">
        <f aca="false">IF($C32=0,"",H32/$C32)</f>
        <v>0.193548387096774</v>
      </c>
      <c r="U32" s="28" t="n">
        <f aca="false">IF($C32=0,"",I32/$C32)</f>
        <v>0.0645161290322581</v>
      </c>
      <c r="V32" s="29" t="n">
        <f aca="false">IF($C32=0,"",K32/$C32)</f>
        <v>-0.548387096774194</v>
      </c>
      <c r="W32" s="29" t="n">
        <f aca="false">IF($C32=0,"",M32/$C32)</f>
        <v>-0.592029032258065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11</v>
      </c>
      <c r="D33" s="26" t="n">
        <v>2</v>
      </c>
      <c r="E33" s="26" t="n">
        <v>4</v>
      </c>
      <c r="F33" s="26" t="n">
        <v>6</v>
      </c>
      <c r="G33" s="26" t="n">
        <v>5</v>
      </c>
      <c r="H33" s="26" t="n">
        <v>4</v>
      </c>
      <c r="I33" s="26" t="n">
        <v>2</v>
      </c>
      <c r="J33" s="26" t="n">
        <v>0</v>
      </c>
      <c r="K33" s="27" t="n">
        <v>-1</v>
      </c>
      <c r="L33" s="27" t="n">
        <v>0.391</v>
      </c>
      <c r="M33" s="19" t="n">
        <f aca="false">K33-L33</f>
        <v>-1.391</v>
      </c>
      <c r="N33" s="26" t="n">
        <v>2</v>
      </c>
      <c r="O33" s="26" t="n">
        <v>5</v>
      </c>
      <c r="P33" s="28" t="n">
        <f aca="false">IF($C33=0,"",D33/$C33)</f>
        <v>0.181818181818182</v>
      </c>
      <c r="Q33" s="28" t="n">
        <f aca="false">IF($C33=0,"",E33/$C33)</f>
        <v>0.363636363636364</v>
      </c>
      <c r="R33" s="28" t="n">
        <f aca="false">IF($C33=0,"",F33/$C33)</f>
        <v>0.545454545454545</v>
      </c>
      <c r="S33" s="28" t="n">
        <f aca="false">IF($C33=0,"",G33/$C33)</f>
        <v>0.454545454545455</v>
      </c>
      <c r="T33" s="28" t="n">
        <f aca="false">IF($C33=0,"",H33/$C33)</f>
        <v>0.363636363636364</v>
      </c>
      <c r="U33" s="28" t="n">
        <f aca="false">IF($C33=0,"",I33/$C33)</f>
        <v>0.181818181818182</v>
      </c>
      <c r="V33" s="29" t="n">
        <f aca="false">IF($C33=0,"",K33/$C33)</f>
        <v>-0.0909090909090909</v>
      </c>
      <c r="W33" s="29" t="n">
        <f aca="false">IF($C33=0,"",M33/$C33)</f>
        <v>-0.126454545454545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18</v>
      </c>
      <c r="D34" s="26" t="n">
        <v>5</v>
      </c>
      <c r="E34" s="26" t="n">
        <v>10</v>
      </c>
      <c r="F34" s="26" t="n">
        <v>13</v>
      </c>
      <c r="G34" s="26" t="n">
        <v>12</v>
      </c>
      <c r="H34" s="26" t="n">
        <v>10</v>
      </c>
      <c r="I34" s="26" t="n">
        <v>5</v>
      </c>
      <c r="J34" s="26" t="n">
        <v>0</v>
      </c>
      <c r="K34" s="27" t="n">
        <v>7</v>
      </c>
      <c r="L34" s="27" t="n">
        <v>0.4508</v>
      </c>
      <c r="M34" s="19" t="n">
        <f aca="false">K34-L34</f>
        <v>6.5492</v>
      </c>
      <c r="N34" s="26" t="n">
        <v>6</v>
      </c>
      <c r="O34" s="26" t="n">
        <v>4</v>
      </c>
      <c r="P34" s="28" t="n">
        <f aca="false">IF($C34=0,"",D34/$C34)</f>
        <v>0.277777777777778</v>
      </c>
      <c r="Q34" s="28" t="n">
        <f aca="false">IF($C34=0,"",E34/$C34)</f>
        <v>0.555555555555556</v>
      </c>
      <c r="R34" s="28" t="n">
        <f aca="false">IF($C34=0,"",F34/$C34)</f>
        <v>0.722222222222222</v>
      </c>
      <c r="S34" s="28" t="n">
        <f aca="false">IF($C34=0,"",G34/$C34)</f>
        <v>0.666666666666667</v>
      </c>
      <c r="T34" s="28" t="n">
        <f aca="false">IF($C34=0,"",H34/$C34)</f>
        <v>0.555555555555556</v>
      </c>
      <c r="U34" s="28" t="n">
        <f aca="false">IF($C34=0,"",I34/$C34)</f>
        <v>0.277777777777778</v>
      </c>
      <c r="V34" s="29" t="n">
        <f aca="false">IF($C34=0,"",K34/$C34)</f>
        <v>0.388888888888889</v>
      </c>
      <c r="W34" s="29" t="n">
        <f aca="false">IF($C34=0,"",M34/$C34)</f>
        <v>0.363844444444444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18</v>
      </c>
      <c r="D35" s="26" t="n">
        <v>5</v>
      </c>
      <c r="E35" s="26" t="n">
        <v>7</v>
      </c>
      <c r="F35" s="26" t="n">
        <v>11</v>
      </c>
      <c r="G35" s="26" t="n">
        <v>9</v>
      </c>
      <c r="H35" s="26" t="n">
        <v>7</v>
      </c>
      <c r="I35" s="26" t="n">
        <v>5</v>
      </c>
      <c r="J35" s="26" t="n">
        <v>0</v>
      </c>
      <c r="K35" s="27" t="n">
        <v>1</v>
      </c>
      <c r="L35" s="27" t="n">
        <v>0.7657</v>
      </c>
      <c r="M35" s="19" t="n">
        <f aca="false">K35-L35</f>
        <v>0.2343</v>
      </c>
      <c r="N35" s="26" t="n">
        <v>3</v>
      </c>
      <c r="O35" s="26" t="n">
        <v>6</v>
      </c>
      <c r="P35" s="28" t="n">
        <f aca="false">IF($C35=0,"",D35/$C35)</f>
        <v>0.277777777777778</v>
      </c>
      <c r="Q35" s="28" t="n">
        <f aca="false">IF($C35=0,"",E35/$C35)</f>
        <v>0.388888888888889</v>
      </c>
      <c r="R35" s="28" t="n">
        <f aca="false">IF($C35=0,"",F35/$C35)</f>
        <v>0.611111111111111</v>
      </c>
      <c r="S35" s="28" t="n">
        <f aca="false">IF($C35=0,"",G35/$C35)</f>
        <v>0.5</v>
      </c>
      <c r="T35" s="28" t="n">
        <f aca="false">IF($C35=0,"",H35/$C35)</f>
        <v>0.388888888888889</v>
      </c>
      <c r="U35" s="28" t="n">
        <f aca="false">IF($C35=0,"",I35/$C35)</f>
        <v>0.277777777777778</v>
      </c>
      <c r="V35" s="29" t="n">
        <f aca="false">IF($C35=0,"",K35/$C35)</f>
        <v>0.0555555555555556</v>
      </c>
      <c r="W35" s="29" t="n">
        <f aca="false">IF($C35=0,"",M35/$C35)</f>
        <v>0.0130166666666667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19</v>
      </c>
      <c r="D36" s="26" t="n">
        <v>6</v>
      </c>
      <c r="E36" s="26" t="n">
        <v>12</v>
      </c>
      <c r="F36" s="26" t="n">
        <v>14</v>
      </c>
      <c r="G36" s="26" t="n">
        <v>13</v>
      </c>
      <c r="H36" s="26" t="n">
        <v>12</v>
      </c>
      <c r="I36" s="26" t="n">
        <v>6</v>
      </c>
      <c r="J36" s="26" t="n">
        <v>0</v>
      </c>
      <c r="K36" s="27" t="n">
        <v>11</v>
      </c>
      <c r="L36" s="27" t="n">
        <v>0.8881</v>
      </c>
      <c r="M36" s="19" t="n">
        <f aca="false">K36-L36</f>
        <v>10.1119</v>
      </c>
      <c r="N36" s="26" t="n">
        <v>3</v>
      </c>
      <c r="O36" s="26" t="n">
        <v>2</v>
      </c>
      <c r="P36" s="28" t="n">
        <f aca="false">IF($C36=0,"",D36/$C36)</f>
        <v>0.315789473684211</v>
      </c>
      <c r="Q36" s="28" t="n">
        <f aca="false">IF($C36=0,"",E36/$C36)</f>
        <v>0.631578947368421</v>
      </c>
      <c r="R36" s="28" t="n">
        <f aca="false">IF($C36=0,"",F36/$C36)</f>
        <v>0.736842105263158</v>
      </c>
      <c r="S36" s="28" t="n">
        <f aca="false">IF($C36=0,"",G36/$C36)</f>
        <v>0.68421052631579</v>
      </c>
      <c r="T36" s="28" t="n">
        <f aca="false">IF($C36=0,"",H36/$C36)</f>
        <v>0.631578947368421</v>
      </c>
      <c r="U36" s="28" t="n">
        <f aca="false">IF($C36=0,"",I36/$C36)</f>
        <v>0.315789473684211</v>
      </c>
      <c r="V36" s="29" t="n">
        <f aca="false">IF($C36=0,"",K36/$C36)</f>
        <v>0.578947368421053</v>
      </c>
      <c r="W36" s="29" t="n">
        <f aca="false">IF($C36=0,"",M36/$C36)</f>
        <v>0.532205263157895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19</v>
      </c>
      <c r="D37" s="26" t="n">
        <v>4</v>
      </c>
      <c r="E37" s="26" t="n">
        <v>7</v>
      </c>
      <c r="F37" s="26" t="n">
        <v>14</v>
      </c>
      <c r="G37" s="26" t="n">
        <v>10</v>
      </c>
      <c r="H37" s="26" t="n">
        <v>7</v>
      </c>
      <c r="I37" s="26" t="n">
        <v>4</v>
      </c>
      <c r="J37" s="26" t="n">
        <v>0</v>
      </c>
      <c r="K37" s="27" t="n">
        <v>-1</v>
      </c>
      <c r="L37" s="27" t="n">
        <v>0.714</v>
      </c>
      <c r="M37" s="19" t="n">
        <f aca="false">K37-L37</f>
        <v>-1.714</v>
      </c>
      <c r="N37" s="26" t="n">
        <v>4</v>
      </c>
      <c r="O37" s="26" t="n">
        <v>8</v>
      </c>
      <c r="P37" s="28" t="n">
        <f aca="false">IF($C37=0,"",D37/$C37)</f>
        <v>0.210526315789474</v>
      </c>
      <c r="Q37" s="28" t="n">
        <f aca="false">IF($C37=0,"",E37/$C37)</f>
        <v>0.368421052631579</v>
      </c>
      <c r="R37" s="28" t="n">
        <f aca="false">IF($C37=0,"",F37/$C37)</f>
        <v>0.736842105263158</v>
      </c>
      <c r="S37" s="28" t="n">
        <f aca="false">IF($C37=0,"",G37/$C37)</f>
        <v>0.526315789473684</v>
      </c>
      <c r="T37" s="28" t="n">
        <f aca="false">IF($C37=0,"",H37/$C37)</f>
        <v>0.368421052631579</v>
      </c>
      <c r="U37" s="28" t="n">
        <f aca="false">IF($C37=0,"",I37/$C37)</f>
        <v>0.210526315789474</v>
      </c>
      <c r="V37" s="29" t="n">
        <f aca="false">IF($C37=0,"",K37/$C37)</f>
        <v>-0.0526315789473684</v>
      </c>
      <c r="W37" s="29" t="n">
        <f aca="false">IF($C37=0,"",M37/$C37)</f>
        <v>-0.0902105263157895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14</v>
      </c>
      <c r="D38" s="26" t="n">
        <v>3</v>
      </c>
      <c r="E38" s="26" t="n">
        <v>8</v>
      </c>
      <c r="F38" s="26" t="n">
        <v>12</v>
      </c>
      <c r="G38" s="26" t="n">
        <v>11</v>
      </c>
      <c r="H38" s="26" t="n">
        <v>8</v>
      </c>
      <c r="I38" s="26" t="n">
        <v>3</v>
      </c>
      <c r="J38" s="26" t="n">
        <v>0</v>
      </c>
      <c r="K38" s="27" t="n">
        <v>5</v>
      </c>
      <c r="L38" s="27" t="n">
        <v>0.8228</v>
      </c>
      <c r="M38" s="19" t="n">
        <f aca="false">K38-L38</f>
        <v>4.1772</v>
      </c>
      <c r="N38" s="26" t="n">
        <v>6</v>
      </c>
      <c r="O38" s="26" t="n">
        <v>3</v>
      </c>
      <c r="P38" s="28" t="n">
        <f aca="false">IF($C38=0,"",D38/$C38)</f>
        <v>0.214285714285714</v>
      </c>
      <c r="Q38" s="28" t="n">
        <f aca="false">IF($C38=0,"",E38/$C38)</f>
        <v>0.571428571428571</v>
      </c>
      <c r="R38" s="28" t="n">
        <f aca="false">IF($C38=0,"",F38/$C38)</f>
        <v>0.857142857142857</v>
      </c>
      <c r="S38" s="28" t="n">
        <f aca="false">IF($C38=0,"",G38/$C38)</f>
        <v>0.785714285714286</v>
      </c>
      <c r="T38" s="28" t="n">
        <f aca="false">IF($C38=0,"",H38/$C38)</f>
        <v>0.571428571428571</v>
      </c>
      <c r="U38" s="28" t="n">
        <f aca="false">IF($C38=0,"",I38/$C38)</f>
        <v>0.214285714285714</v>
      </c>
      <c r="V38" s="29" t="n">
        <f aca="false">IF($C38=0,"",K38/$C38)</f>
        <v>0.357142857142857</v>
      </c>
      <c r="W38" s="29" t="n">
        <f aca="false">IF($C38=0,"",M38/$C38)</f>
        <v>0.298371428571429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19</v>
      </c>
      <c r="D39" s="26" t="n">
        <v>6</v>
      </c>
      <c r="E39" s="26" t="n">
        <v>10</v>
      </c>
      <c r="F39" s="26" t="n">
        <v>16</v>
      </c>
      <c r="G39" s="26" t="n">
        <v>13</v>
      </c>
      <c r="H39" s="26" t="n">
        <v>10</v>
      </c>
      <c r="I39" s="26" t="n">
        <v>6</v>
      </c>
      <c r="J39" s="26" t="n">
        <v>0</v>
      </c>
      <c r="K39" s="27" t="n">
        <v>7</v>
      </c>
      <c r="L39" s="27" t="n">
        <v>1.342</v>
      </c>
      <c r="M39" s="19" t="n">
        <f aca="false">K39-L39</f>
        <v>5.658</v>
      </c>
      <c r="N39" s="26" t="n">
        <v>3</v>
      </c>
      <c r="O39" s="26" t="n">
        <v>4</v>
      </c>
      <c r="P39" s="28" t="n">
        <f aca="false">IF($C39=0,"",D39/$C39)</f>
        <v>0.315789473684211</v>
      </c>
      <c r="Q39" s="28" t="n">
        <f aca="false">IF($C39=0,"",E39/$C39)</f>
        <v>0.526315789473684</v>
      </c>
      <c r="R39" s="28" t="n">
        <f aca="false">IF($C39=0,"",F39/$C39)</f>
        <v>0.842105263157895</v>
      </c>
      <c r="S39" s="28" t="n">
        <f aca="false">IF($C39=0,"",G39/$C39)</f>
        <v>0.68421052631579</v>
      </c>
      <c r="T39" s="28" t="n">
        <f aca="false">IF($C39=0,"",H39/$C39)</f>
        <v>0.526315789473684</v>
      </c>
      <c r="U39" s="28" t="n">
        <f aca="false">IF($C39=0,"",I39/$C39)</f>
        <v>0.315789473684211</v>
      </c>
      <c r="V39" s="29" t="n">
        <f aca="false">IF($C39=0,"",K39/$C39)</f>
        <v>0.368421052631579</v>
      </c>
      <c r="W39" s="29" t="n">
        <f aca="false">IF($C39=0,"",M39/$C39)</f>
        <v>0.297789473684211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24</v>
      </c>
      <c r="D40" s="26" t="n">
        <v>7</v>
      </c>
      <c r="E40" s="26" t="n">
        <v>13</v>
      </c>
      <c r="F40" s="26" t="n">
        <v>16</v>
      </c>
      <c r="G40" s="26" t="n">
        <v>14</v>
      </c>
      <c r="H40" s="26" t="n">
        <v>13</v>
      </c>
      <c r="I40" s="26" t="n">
        <v>7</v>
      </c>
      <c r="J40" s="26" t="n">
        <v>0</v>
      </c>
      <c r="K40" s="27" t="n">
        <v>9</v>
      </c>
      <c r="L40" s="27" t="n">
        <v>1.9498</v>
      </c>
      <c r="M40" s="19" t="n">
        <f aca="false">K40-L40</f>
        <v>7.0502</v>
      </c>
      <c r="N40" s="26" t="n">
        <v>3</v>
      </c>
      <c r="O40" s="26" t="n">
        <v>3</v>
      </c>
      <c r="P40" s="28" t="n">
        <f aca="false">IF($C40=0,"",D40/$C40)</f>
        <v>0.291666666666667</v>
      </c>
      <c r="Q40" s="28" t="n">
        <f aca="false">IF($C40=0,"",E40/$C40)</f>
        <v>0.541666666666667</v>
      </c>
      <c r="R40" s="28" t="n">
        <f aca="false">IF($C40=0,"",F40/$C40)</f>
        <v>0.666666666666667</v>
      </c>
      <c r="S40" s="28" t="n">
        <f aca="false">IF($C40=0,"",G40/$C40)</f>
        <v>0.583333333333333</v>
      </c>
      <c r="T40" s="28" t="n">
        <f aca="false">IF($C40=0,"",H40/$C40)</f>
        <v>0.541666666666667</v>
      </c>
      <c r="U40" s="28" t="n">
        <f aca="false">IF($C40=0,"",I40/$C40)</f>
        <v>0.291666666666667</v>
      </c>
      <c r="V40" s="29" t="n">
        <f aca="false">IF($C40=0,"",K40/$C40)</f>
        <v>0.375</v>
      </c>
      <c r="W40" s="29" t="n">
        <f aca="false">IF($C40=0,"",M40/$C40)</f>
        <v>0.293758333333333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16</v>
      </c>
      <c r="D41" s="26" t="n">
        <v>9</v>
      </c>
      <c r="E41" s="26" t="n">
        <v>10</v>
      </c>
      <c r="F41" s="26" t="n">
        <v>16</v>
      </c>
      <c r="G41" s="26" t="n">
        <v>13</v>
      </c>
      <c r="H41" s="26" t="n">
        <v>10</v>
      </c>
      <c r="I41" s="26" t="n">
        <v>9</v>
      </c>
      <c r="J41" s="26" t="n">
        <v>0</v>
      </c>
      <c r="K41" s="27" t="n">
        <v>13</v>
      </c>
      <c r="L41" s="27" t="n">
        <v>0.4415</v>
      </c>
      <c r="M41" s="19" t="n">
        <f aca="false">K41-L41</f>
        <v>12.5585</v>
      </c>
      <c r="N41" s="26" t="n">
        <v>6</v>
      </c>
      <c r="O41" s="26" t="n">
        <v>3</v>
      </c>
      <c r="P41" s="28" t="n">
        <f aca="false">IF($C41=0,"",D41/$C41)</f>
        <v>0.5625</v>
      </c>
      <c r="Q41" s="28" t="n">
        <f aca="false">IF($C41=0,"",E41/$C41)</f>
        <v>0.625</v>
      </c>
      <c r="R41" s="28" t="n">
        <f aca="false">IF($C41=0,"",F41/$C41)</f>
        <v>1</v>
      </c>
      <c r="S41" s="28" t="n">
        <f aca="false">IF($C41=0,"",G41/$C41)</f>
        <v>0.8125</v>
      </c>
      <c r="T41" s="28" t="n">
        <f aca="false">IF($C41=0,"",H41/$C41)</f>
        <v>0.625</v>
      </c>
      <c r="U41" s="28" t="n">
        <f aca="false">IF($C41=0,"",I41/$C41)</f>
        <v>0.5625</v>
      </c>
      <c r="V41" s="29" t="n">
        <f aca="false">IF($C41=0,"",K41/$C41)</f>
        <v>0.8125</v>
      </c>
      <c r="W41" s="29" t="n">
        <f aca="false">IF($C41=0,"",M41/$C41)</f>
        <v>0.78490625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18</v>
      </c>
      <c r="D42" s="26" t="n">
        <v>7</v>
      </c>
      <c r="E42" s="26" t="n">
        <v>10</v>
      </c>
      <c r="F42" s="26" t="n">
        <v>13</v>
      </c>
      <c r="G42" s="26" t="n">
        <v>10</v>
      </c>
      <c r="H42" s="26" t="n">
        <v>10</v>
      </c>
      <c r="I42" s="26" t="n">
        <v>7</v>
      </c>
      <c r="J42" s="26" t="n">
        <v>0</v>
      </c>
      <c r="K42" s="27" t="n">
        <v>9</v>
      </c>
      <c r="L42" s="27" t="n">
        <v>0.5817</v>
      </c>
      <c r="M42" s="19" t="n">
        <f aca="false">K42-L42</f>
        <v>8.4183</v>
      </c>
      <c r="N42" s="26" t="n">
        <v>3</v>
      </c>
      <c r="O42" s="26" t="n">
        <v>2</v>
      </c>
      <c r="P42" s="28" t="n">
        <f aca="false">IF($C42=0,"",D42/$C42)</f>
        <v>0.388888888888889</v>
      </c>
      <c r="Q42" s="28" t="n">
        <f aca="false">IF($C42=0,"",E42/$C42)</f>
        <v>0.555555555555556</v>
      </c>
      <c r="R42" s="28" t="n">
        <f aca="false">IF($C42=0,"",F42/$C42)</f>
        <v>0.722222222222222</v>
      </c>
      <c r="S42" s="28" t="n">
        <f aca="false">IF($C42=0,"",G42/$C42)</f>
        <v>0.555555555555556</v>
      </c>
      <c r="T42" s="28" t="n">
        <f aca="false">IF($C42=0,"",H42/$C42)</f>
        <v>0.555555555555556</v>
      </c>
      <c r="U42" s="28" t="n">
        <f aca="false">IF($C42=0,"",I42/$C42)</f>
        <v>0.388888888888889</v>
      </c>
      <c r="V42" s="29" t="n">
        <f aca="false">IF($C42=0,"",K42/$C42)</f>
        <v>0.5</v>
      </c>
      <c r="W42" s="29" t="n">
        <f aca="false">IF($C42=0,"",M42/$C42)</f>
        <v>0.467683333333333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12</v>
      </c>
      <c r="D43" s="26" t="n">
        <v>4</v>
      </c>
      <c r="E43" s="26" t="n">
        <v>7</v>
      </c>
      <c r="F43" s="26" t="n">
        <v>9</v>
      </c>
      <c r="G43" s="26" t="n">
        <v>8</v>
      </c>
      <c r="H43" s="26" t="n">
        <v>7</v>
      </c>
      <c r="I43" s="26" t="n">
        <v>4</v>
      </c>
      <c r="J43" s="26" t="n">
        <v>0</v>
      </c>
      <c r="K43" s="27" t="n">
        <v>6</v>
      </c>
      <c r="L43" s="27" t="n">
        <v>0.2465</v>
      </c>
      <c r="M43" s="19" t="n">
        <f aca="false">K43-L43</f>
        <v>5.7535</v>
      </c>
      <c r="N43" s="26" t="n">
        <v>3</v>
      </c>
      <c r="O43" s="26" t="n">
        <v>2</v>
      </c>
      <c r="P43" s="28" t="n">
        <f aca="false">IF($C43=0,"",D43/$C43)</f>
        <v>0.333333333333333</v>
      </c>
      <c r="Q43" s="28" t="n">
        <f aca="false">IF($C43=0,"",E43/$C43)</f>
        <v>0.583333333333333</v>
      </c>
      <c r="R43" s="28" t="n">
        <f aca="false">IF($C43=0,"",F43/$C43)</f>
        <v>0.75</v>
      </c>
      <c r="S43" s="28" t="n">
        <f aca="false">IF($C43=0,"",G43/$C43)</f>
        <v>0.666666666666667</v>
      </c>
      <c r="T43" s="28" t="n">
        <f aca="false">IF($C43=0,"",H43/$C43)</f>
        <v>0.583333333333333</v>
      </c>
      <c r="U43" s="28" t="n">
        <f aca="false">IF($C43=0,"",I43/$C43)</f>
        <v>0.333333333333333</v>
      </c>
      <c r="V43" s="29" t="n">
        <f aca="false">IF($C43=0,"",K43/$C43)</f>
        <v>0.5</v>
      </c>
      <c r="W43" s="29" t="n">
        <f aca="false">IF($C43=0,"",M43/$C43)</f>
        <v>0.479458333333333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219</v>
      </c>
      <c r="D44" s="30" t="n">
        <f aca="false">SUM(D32:D43)</f>
        <v>60</v>
      </c>
      <c r="E44" s="30" t="n">
        <f aca="false">SUM(E32:E43)</f>
        <v>104</v>
      </c>
      <c r="F44" s="30" t="n">
        <f aca="false">SUM(F32:F43)</f>
        <v>155</v>
      </c>
      <c r="G44" s="30" t="n">
        <f aca="false">SUM(G32:G43)</f>
        <v>128</v>
      </c>
      <c r="H44" s="30" t="n">
        <f aca="false">SUM(H32:H43)</f>
        <v>104</v>
      </c>
      <c r="I44" s="30" t="n">
        <f aca="false">SUM(I32:I43)</f>
        <v>60</v>
      </c>
      <c r="J44" s="30" t="n">
        <f aca="false">SUM(J32:J43)</f>
        <v>0</v>
      </c>
      <c r="K44" s="31" t="n">
        <f aca="false">SUM(K32:K43)</f>
        <v>49</v>
      </c>
      <c r="L44" s="31" t="n">
        <f aca="false">SUM(L32:L43)</f>
        <v>9.9468</v>
      </c>
      <c r="M44" s="31" t="n">
        <f aca="false">K44-L44</f>
        <v>39.0532</v>
      </c>
      <c r="N44" s="32" t="n">
        <v>7</v>
      </c>
      <c r="O44" s="32" t="n">
        <v>17</v>
      </c>
      <c r="P44" s="33" t="n">
        <f aca="false">IF($C44=0,"",D44/$C44)</f>
        <v>0.273972602739726</v>
      </c>
      <c r="Q44" s="33" t="n">
        <f aca="false">IF($C44=0,"",E44/$C44)</f>
        <v>0.474885844748858</v>
      </c>
      <c r="R44" s="33" t="n">
        <f aca="false">IF($C44=0,"",F44/$C44)</f>
        <v>0.707762557077626</v>
      </c>
      <c r="S44" s="33" t="n">
        <f aca="false">IF($C44=0,"",G44/$C44)</f>
        <v>0.584474885844749</v>
      </c>
      <c r="T44" s="33" t="n">
        <f aca="false">IF($C44=0,"",H44/$C44)</f>
        <v>0.474885844748858</v>
      </c>
      <c r="U44" s="33" t="n">
        <f aca="false">IF($C44=0,"",I44/$C44)</f>
        <v>0.273972602739726</v>
      </c>
      <c r="V44" s="34" t="n">
        <f aca="false">IF($C44=0,"",K44/$C44)</f>
        <v>0.223744292237443</v>
      </c>
      <c r="W44" s="34" t="n">
        <f aca="false">IF($C44=0,"",M44/$C44)</f>
        <v>0.178325114155251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21</v>
      </c>
      <c r="D45" s="26" t="n">
        <v>5</v>
      </c>
      <c r="E45" s="26" t="n">
        <v>7</v>
      </c>
      <c r="F45" s="26" t="n">
        <v>14</v>
      </c>
      <c r="G45" s="26" t="n">
        <v>11</v>
      </c>
      <c r="H45" s="26" t="n">
        <v>7</v>
      </c>
      <c r="I45" s="26" t="n">
        <v>5</v>
      </c>
      <c r="J45" s="26" t="n">
        <v>0</v>
      </c>
      <c r="K45" s="27" t="n">
        <v>-2</v>
      </c>
      <c r="L45" s="27" t="n">
        <v>0.3024</v>
      </c>
      <c r="M45" s="19" t="n">
        <f aca="false">K45-L45</f>
        <v>-2.3024</v>
      </c>
      <c r="N45" s="26" t="n">
        <v>2</v>
      </c>
      <c r="O45" s="26" t="n">
        <v>4</v>
      </c>
      <c r="P45" s="28" t="n">
        <f aca="false">IF($C45=0,"",D45/$C45)</f>
        <v>0.238095238095238</v>
      </c>
      <c r="Q45" s="28" t="n">
        <f aca="false">IF($C45=0,"",E45/$C45)</f>
        <v>0.333333333333333</v>
      </c>
      <c r="R45" s="28" t="n">
        <f aca="false">IF($C45=0,"",F45/$C45)</f>
        <v>0.666666666666667</v>
      </c>
      <c r="S45" s="28" t="n">
        <f aca="false">IF($C45=0,"",G45/$C45)</f>
        <v>0.523809523809524</v>
      </c>
      <c r="T45" s="28" t="n">
        <f aca="false">IF($C45=0,"",H45/$C45)</f>
        <v>0.333333333333333</v>
      </c>
      <c r="U45" s="28" t="n">
        <f aca="false">IF($C45=0,"",I45/$C45)</f>
        <v>0.238095238095238</v>
      </c>
      <c r="V45" s="29" t="n">
        <f aca="false">IF($C45=0,"",K45/$C45)</f>
        <v>-0.0952380952380952</v>
      </c>
      <c r="W45" s="29" t="n">
        <f aca="false">IF($C45=0,"",M45/$C45)</f>
        <v>-0.109638095238095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13</v>
      </c>
      <c r="D46" s="26" t="n">
        <v>0</v>
      </c>
      <c r="E46" s="26" t="n">
        <v>5</v>
      </c>
      <c r="F46" s="26" t="n">
        <v>9</v>
      </c>
      <c r="G46" s="26" t="n">
        <v>7</v>
      </c>
      <c r="H46" s="26" t="n">
        <v>5</v>
      </c>
      <c r="I46" s="26" t="n">
        <v>0</v>
      </c>
      <c r="J46" s="26" t="n">
        <v>0</v>
      </c>
      <c r="K46" s="27" t="n">
        <v>-3</v>
      </c>
      <c r="L46" s="27" t="n">
        <v>0.322</v>
      </c>
      <c r="M46" s="19" t="n">
        <f aca="false">K46-L46</f>
        <v>-3.322</v>
      </c>
      <c r="N46" s="26" t="n">
        <v>2</v>
      </c>
      <c r="O46" s="26" t="n">
        <v>3</v>
      </c>
      <c r="P46" s="28" t="n">
        <f aca="false">IF($C46=0,"",D46/$C46)</f>
        <v>0</v>
      </c>
      <c r="Q46" s="28" t="n">
        <f aca="false">IF($C46=0,"",E46/$C46)</f>
        <v>0.384615384615385</v>
      </c>
      <c r="R46" s="28" t="n">
        <f aca="false">IF($C46=0,"",F46/$C46)</f>
        <v>0.692307692307692</v>
      </c>
      <c r="S46" s="28" t="n">
        <f aca="false">IF($C46=0,"",G46/$C46)</f>
        <v>0.538461538461538</v>
      </c>
      <c r="T46" s="28" t="n">
        <f aca="false">IF($C46=0,"",H46/$C46)</f>
        <v>0.384615384615385</v>
      </c>
      <c r="U46" s="28" t="n">
        <f aca="false">IF($C46=0,"",I46/$C46)</f>
        <v>0</v>
      </c>
      <c r="V46" s="29" t="n">
        <f aca="false">IF($C46=0,"",K46/$C46)</f>
        <v>-0.230769230769231</v>
      </c>
      <c r="W46" s="29" t="n">
        <f aca="false">IF($C46=0,"",M46/$C46)</f>
        <v>-0.255538461538462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20</v>
      </c>
      <c r="D47" s="26" t="n">
        <v>5</v>
      </c>
      <c r="E47" s="26" t="n">
        <v>10</v>
      </c>
      <c r="F47" s="26" t="n">
        <v>15</v>
      </c>
      <c r="G47" s="26" t="n">
        <v>12</v>
      </c>
      <c r="H47" s="26" t="n">
        <v>10</v>
      </c>
      <c r="I47" s="26" t="n">
        <v>5</v>
      </c>
      <c r="J47" s="26" t="n">
        <v>0</v>
      </c>
      <c r="K47" s="27" t="n">
        <v>5</v>
      </c>
      <c r="L47" s="27" t="n">
        <v>0.4045</v>
      </c>
      <c r="M47" s="19" t="n">
        <f aca="false">K47-L47</f>
        <v>4.5955</v>
      </c>
      <c r="N47" s="26" t="n">
        <v>2</v>
      </c>
      <c r="O47" s="26" t="n">
        <v>3</v>
      </c>
      <c r="P47" s="28" t="n">
        <f aca="false">IF($C47=0,"",D47/$C47)</f>
        <v>0.25</v>
      </c>
      <c r="Q47" s="28" t="n">
        <f aca="false">IF($C47=0,"",E47/$C47)</f>
        <v>0.5</v>
      </c>
      <c r="R47" s="28" t="n">
        <f aca="false">IF($C47=0,"",F47/$C47)</f>
        <v>0.75</v>
      </c>
      <c r="S47" s="28" t="n">
        <f aca="false">IF($C47=0,"",G47/$C47)</f>
        <v>0.6</v>
      </c>
      <c r="T47" s="28" t="n">
        <f aca="false">IF($C47=0,"",H47/$C47)</f>
        <v>0.5</v>
      </c>
      <c r="U47" s="28" t="n">
        <f aca="false">IF($C47=0,"",I47/$C47)</f>
        <v>0.25</v>
      </c>
      <c r="V47" s="29" t="n">
        <f aca="false">IF($C47=0,"",K47/$C47)</f>
        <v>0.25</v>
      </c>
      <c r="W47" s="29" t="n">
        <f aca="false">IF($C47=0,"",M47/$C47)</f>
        <v>0.229775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21</v>
      </c>
      <c r="D48" s="26" t="n">
        <v>3</v>
      </c>
      <c r="E48" s="26" t="n">
        <v>7</v>
      </c>
      <c r="F48" s="26" t="n">
        <v>10</v>
      </c>
      <c r="G48" s="26" t="n">
        <v>9</v>
      </c>
      <c r="H48" s="26" t="n">
        <v>7</v>
      </c>
      <c r="I48" s="26" t="n">
        <v>3</v>
      </c>
      <c r="J48" s="26" t="n">
        <v>0</v>
      </c>
      <c r="K48" s="27" t="n">
        <v>-4</v>
      </c>
      <c r="L48" s="27" t="n">
        <v>0.1759</v>
      </c>
      <c r="M48" s="19" t="n">
        <f aca="false">K48-L48</f>
        <v>-4.1759</v>
      </c>
      <c r="N48" s="26" t="n">
        <v>2</v>
      </c>
      <c r="O48" s="26" t="n">
        <v>4</v>
      </c>
      <c r="P48" s="28" t="n">
        <f aca="false">IF($C48=0,"",D48/$C48)</f>
        <v>0.142857142857143</v>
      </c>
      <c r="Q48" s="28" t="n">
        <f aca="false">IF($C48=0,"",E48/$C48)</f>
        <v>0.333333333333333</v>
      </c>
      <c r="R48" s="28" t="n">
        <f aca="false">IF($C48=0,"",F48/$C48)</f>
        <v>0.476190476190476</v>
      </c>
      <c r="S48" s="28" t="n">
        <f aca="false">IF($C48=0,"",G48/$C48)</f>
        <v>0.428571428571429</v>
      </c>
      <c r="T48" s="28" t="n">
        <f aca="false">IF($C48=0,"",H48/$C48)</f>
        <v>0.333333333333333</v>
      </c>
      <c r="U48" s="28" t="n">
        <f aca="false">IF($C48=0,"",I48/$C48)</f>
        <v>0.142857142857143</v>
      </c>
      <c r="V48" s="29" t="n">
        <f aca="false">IF($C48=0,"",K48/$C48)</f>
        <v>-0.19047619047619</v>
      </c>
      <c r="W48" s="29" t="n">
        <f aca="false">IF($C48=0,"",M48/$C48)</f>
        <v>-0.198852380952381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24</v>
      </c>
      <c r="D49" s="26" t="n">
        <v>5</v>
      </c>
      <c r="E49" s="26" t="n">
        <v>8</v>
      </c>
      <c r="F49" s="26" t="n">
        <v>15</v>
      </c>
      <c r="G49" s="26" t="n">
        <v>11</v>
      </c>
      <c r="H49" s="26" t="n">
        <v>8</v>
      </c>
      <c r="I49" s="26" t="n">
        <v>5</v>
      </c>
      <c r="J49" s="26" t="n">
        <v>0</v>
      </c>
      <c r="K49" s="27" t="n">
        <v>-3</v>
      </c>
      <c r="L49" s="27" t="n">
        <v>0.3115</v>
      </c>
      <c r="M49" s="19" t="n">
        <f aca="false">K49-L49</f>
        <v>-3.3115</v>
      </c>
      <c r="N49" s="26" t="n">
        <v>2</v>
      </c>
      <c r="O49" s="26" t="n">
        <v>5</v>
      </c>
      <c r="P49" s="28" t="n">
        <f aca="false">IF($C49=0,"",D49/$C49)</f>
        <v>0.208333333333333</v>
      </c>
      <c r="Q49" s="28" t="n">
        <f aca="false">IF($C49=0,"",E49/$C49)</f>
        <v>0.333333333333333</v>
      </c>
      <c r="R49" s="28" t="n">
        <f aca="false">IF($C49=0,"",F49/$C49)</f>
        <v>0.625</v>
      </c>
      <c r="S49" s="28" t="n">
        <f aca="false">IF($C49=0,"",G49/$C49)</f>
        <v>0.458333333333333</v>
      </c>
      <c r="T49" s="28" t="n">
        <f aca="false">IF($C49=0,"",H49/$C49)</f>
        <v>0.333333333333333</v>
      </c>
      <c r="U49" s="28" t="n">
        <f aca="false">IF($C49=0,"",I49/$C49)</f>
        <v>0.208333333333333</v>
      </c>
      <c r="V49" s="29" t="n">
        <f aca="false">IF($C49=0,"",K49/$C49)</f>
        <v>-0.125</v>
      </c>
      <c r="W49" s="29" t="n">
        <f aca="false">IF($C49=0,"",M49/$C49)</f>
        <v>-0.137979166666667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9</v>
      </c>
      <c r="D50" s="26" t="n">
        <v>0</v>
      </c>
      <c r="E50" s="26" t="n">
        <v>5</v>
      </c>
      <c r="F50" s="26" t="n">
        <v>6</v>
      </c>
      <c r="G50" s="26" t="n">
        <v>6</v>
      </c>
      <c r="H50" s="26" t="n">
        <v>5</v>
      </c>
      <c r="I50" s="26" t="n">
        <v>0</v>
      </c>
      <c r="J50" s="26" t="n">
        <v>0</v>
      </c>
      <c r="K50" s="27" t="n">
        <v>1</v>
      </c>
      <c r="L50" s="27" t="n">
        <v>0.1801</v>
      </c>
      <c r="M50" s="19" t="n">
        <f aca="false">K50-L50</f>
        <v>0.8199</v>
      </c>
      <c r="N50" s="26" t="n">
        <v>3</v>
      </c>
      <c r="O50" s="26" t="n">
        <v>2</v>
      </c>
      <c r="P50" s="28" t="n">
        <f aca="false">IF($C50=0,"",D50/$C50)</f>
        <v>0</v>
      </c>
      <c r="Q50" s="28" t="n">
        <f aca="false">IF($C50=0,"",E50/$C50)</f>
        <v>0.555555555555556</v>
      </c>
      <c r="R50" s="28" t="n">
        <f aca="false">IF($C50=0,"",F50/$C50)</f>
        <v>0.666666666666667</v>
      </c>
      <c r="S50" s="28" t="n">
        <f aca="false">IF($C50=0,"",G50/$C50)</f>
        <v>0.666666666666667</v>
      </c>
      <c r="T50" s="28" t="n">
        <f aca="false">IF($C50=0,"",H50/$C50)</f>
        <v>0.555555555555556</v>
      </c>
      <c r="U50" s="28" t="n">
        <f aca="false">IF($C50=0,"",I50/$C50)</f>
        <v>0</v>
      </c>
      <c r="V50" s="29" t="n">
        <f aca="false">IF($C50=0,"",K50/$C50)</f>
        <v>0.111111111111111</v>
      </c>
      <c r="W50" s="29" t="n">
        <f aca="false">IF($C50=0,"",M50/$C50)</f>
        <v>0.0911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28</v>
      </c>
      <c r="D51" s="26" t="n">
        <v>10</v>
      </c>
      <c r="E51" s="26" t="n">
        <v>14</v>
      </c>
      <c r="F51" s="26" t="n">
        <v>19</v>
      </c>
      <c r="G51" s="26" t="n">
        <v>16</v>
      </c>
      <c r="H51" s="26" t="n">
        <v>14</v>
      </c>
      <c r="I51" s="26" t="n">
        <v>10</v>
      </c>
      <c r="J51" s="26" t="n">
        <v>0</v>
      </c>
      <c r="K51" s="27" t="n">
        <v>10</v>
      </c>
      <c r="L51" s="27" t="n">
        <v>0.4898</v>
      </c>
      <c r="M51" s="19" t="n">
        <f aca="false">K51-L51</f>
        <v>9.5102</v>
      </c>
      <c r="N51" s="26" t="n">
        <v>4</v>
      </c>
      <c r="O51" s="26" t="n">
        <v>5</v>
      </c>
      <c r="P51" s="28" t="n">
        <f aca="false">IF($C51=0,"",D51/$C51)</f>
        <v>0.357142857142857</v>
      </c>
      <c r="Q51" s="28" t="n">
        <f aca="false">IF($C51=0,"",E51/$C51)</f>
        <v>0.5</v>
      </c>
      <c r="R51" s="28" t="n">
        <f aca="false">IF($C51=0,"",F51/$C51)</f>
        <v>0.678571428571429</v>
      </c>
      <c r="S51" s="28" t="n">
        <f aca="false">IF($C51=0,"",G51/$C51)</f>
        <v>0.571428571428571</v>
      </c>
      <c r="T51" s="28" t="n">
        <f aca="false">IF($C51=0,"",H51/$C51)</f>
        <v>0.5</v>
      </c>
      <c r="U51" s="28" t="n">
        <f aca="false">IF($C51=0,"",I51/$C51)</f>
        <v>0.357142857142857</v>
      </c>
      <c r="V51" s="29" t="n">
        <f aca="false">IF($C51=0,"",K51/$C51)</f>
        <v>0.357142857142857</v>
      </c>
      <c r="W51" s="29" t="n">
        <f aca="false">IF($C51=0,"",M51/$C51)</f>
        <v>0.33965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26</v>
      </c>
      <c r="D52" s="26" t="n">
        <v>2</v>
      </c>
      <c r="E52" s="26" t="n">
        <v>10</v>
      </c>
      <c r="F52" s="26" t="n">
        <v>18</v>
      </c>
      <c r="G52" s="26" t="n">
        <v>14</v>
      </c>
      <c r="H52" s="26" t="n">
        <v>10</v>
      </c>
      <c r="I52" s="26" t="n">
        <v>2</v>
      </c>
      <c r="J52" s="26" t="n">
        <v>0</v>
      </c>
      <c r="K52" s="27" t="n">
        <v>-4</v>
      </c>
      <c r="L52" s="27" t="n">
        <v>0.3872</v>
      </c>
      <c r="M52" s="19" t="n">
        <f aca="false">K52-L52</f>
        <v>-4.3872</v>
      </c>
      <c r="N52" s="26" t="n">
        <v>2</v>
      </c>
      <c r="O52" s="26" t="n">
        <v>4</v>
      </c>
      <c r="P52" s="28" t="n">
        <f aca="false">IF($C52=0,"",D52/$C52)</f>
        <v>0.0769230769230769</v>
      </c>
      <c r="Q52" s="28" t="n">
        <f aca="false">IF($C52=0,"",E52/$C52)</f>
        <v>0.384615384615385</v>
      </c>
      <c r="R52" s="28" t="n">
        <f aca="false">IF($C52=0,"",F52/$C52)</f>
        <v>0.692307692307692</v>
      </c>
      <c r="S52" s="28" t="n">
        <f aca="false">IF($C52=0,"",G52/$C52)</f>
        <v>0.538461538461538</v>
      </c>
      <c r="T52" s="28" t="n">
        <f aca="false">IF($C52=0,"",H52/$C52)</f>
        <v>0.384615384615385</v>
      </c>
      <c r="U52" s="28" t="n">
        <f aca="false">IF($C52=0,"",I52/$C52)</f>
        <v>0.0769230769230769</v>
      </c>
      <c r="V52" s="29" t="n">
        <f aca="false">IF($C52=0,"",K52/$C52)</f>
        <v>-0.153846153846154</v>
      </c>
      <c r="W52" s="29" t="n">
        <f aca="false">IF($C52=0,"",M52/$C52)</f>
        <v>-0.168738461538462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4</v>
      </c>
      <c r="E53" s="26" t="n">
        <v>8</v>
      </c>
      <c r="F53" s="26" t="n">
        <v>14</v>
      </c>
      <c r="G53" s="26" t="n">
        <v>10</v>
      </c>
      <c r="H53" s="26" t="n">
        <v>8</v>
      </c>
      <c r="I53" s="26" t="n">
        <v>4</v>
      </c>
      <c r="J53" s="26" t="n">
        <v>0</v>
      </c>
      <c r="K53" s="27" t="n">
        <v>-1</v>
      </c>
      <c r="L53" s="27" t="n">
        <v>0.2346</v>
      </c>
      <c r="M53" s="19" t="n">
        <f aca="false">K53-L53</f>
        <v>-1.2346</v>
      </c>
      <c r="N53" s="26" t="n">
        <v>3</v>
      </c>
      <c r="O53" s="26" t="n">
        <v>5</v>
      </c>
      <c r="P53" s="28" t="n">
        <f aca="false">IF($C53=0,"",D53/$C53)</f>
        <v>0.19047619047619</v>
      </c>
      <c r="Q53" s="28" t="n">
        <f aca="false">IF($C53=0,"",E53/$C53)</f>
        <v>0.380952380952381</v>
      </c>
      <c r="R53" s="28" t="n">
        <f aca="false">IF($C53=0,"",F53/$C53)</f>
        <v>0.666666666666667</v>
      </c>
      <c r="S53" s="28" t="n">
        <f aca="false">IF($C53=0,"",G53/$C53)</f>
        <v>0.476190476190476</v>
      </c>
      <c r="T53" s="28" t="n">
        <f aca="false">IF($C53=0,"",H53/$C53)</f>
        <v>0.380952380952381</v>
      </c>
      <c r="U53" s="28" t="n">
        <f aca="false">IF($C53=0,"",I53/$C53)</f>
        <v>0.19047619047619</v>
      </c>
      <c r="V53" s="29" t="n">
        <f aca="false">IF($C53=0,"",K53/$C53)</f>
        <v>-0.0476190476190476</v>
      </c>
      <c r="W53" s="29" t="n">
        <f aca="false">IF($C53=0,"",M53/$C53)</f>
        <v>-0.0587904761904762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7</v>
      </c>
      <c r="E54" s="26" t="n">
        <v>11</v>
      </c>
      <c r="F54" s="26" t="n">
        <v>14</v>
      </c>
      <c r="G54" s="26" t="n">
        <v>13</v>
      </c>
      <c r="H54" s="26" t="n">
        <v>11</v>
      </c>
      <c r="I54" s="26" t="n">
        <v>7</v>
      </c>
      <c r="J54" s="26" t="n">
        <v>0</v>
      </c>
      <c r="K54" s="27" t="n">
        <v>1</v>
      </c>
      <c r="L54" s="27" t="n">
        <v>0.3235</v>
      </c>
      <c r="M54" s="19" t="n">
        <f aca="false">K54-L54</f>
        <v>0.6765</v>
      </c>
      <c r="N54" s="26" t="n">
        <v>4</v>
      </c>
      <c r="O54" s="26" t="n">
        <v>6</v>
      </c>
      <c r="P54" s="28" t="n">
        <f aca="false">IF($C54=0,"",D54/$C54)</f>
        <v>0.25</v>
      </c>
      <c r="Q54" s="28" t="n">
        <f aca="false">IF($C54=0,"",E54/$C54)</f>
        <v>0.392857142857143</v>
      </c>
      <c r="R54" s="28" t="n">
        <f aca="false">IF($C54=0,"",F54/$C54)</f>
        <v>0.5</v>
      </c>
      <c r="S54" s="28" t="n">
        <f aca="false">IF($C54=0,"",G54/$C54)</f>
        <v>0.464285714285714</v>
      </c>
      <c r="T54" s="28" t="n">
        <f aca="false">IF($C54=0,"",H54/$C54)</f>
        <v>0.392857142857143</v>
      </c>
      <c r="U54" s="28" t="n">
        <f aca="false">IF($C54=0,"",I54/$C54)</f>
        <v>0.25</v>
      </c>
      <c r="V54" s="29" t="n">
        <f aca="false">IF($C54=0,"",K54/$C54)</f>
        <v>0.0357142857142857</v>
      </c>
      <c r="W54" s="29" t="n">
        <f aca="false">IF($C54=0,"",M54/$C54)</f>
        <v>0.0241607142857143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15</v>
      </c>
      <c r="D55" s="26" t="n">
        <v>7</v>
      </c>
      <c r="E55" s="26" t="n">
        <v>10</v>
      </c>
      <c r="F55" s="26" t="n">
        <v>11</v>
      </c>
      <c r="G55" s="26" t="n">
        <v>11</v>
      </c>
      <c r="H55" s="26" t="n">
        <v>10</v>
      </c>
      <c r="I55" s="26" t="n">
        <v>7</v>
      </c>
      <c r="J55" s="26" t="n">
        <v>0</v>
      </c>
      <c r="K55" s="27" t="n">
        <v>12</v>
      </c>
      <c r="L55" s="27" t="n">
        <v>0.1229</v>
      </c>
      <c r="M55" s="19" t="n">
        <f aca="false">K55-L55</f>
        <v>11.8771</v>
      </c>
      <c r="N55" s="26" t="n">
        <v>5</v>
      </c>
      <c r="O55" s="26" t="n">
        <v>2</v>
      </c>
      <c r="P55" s="28" t="n">
        <f aca="false">IF($C55=0,"",D55/$C55)</f>
        <v>0.466666666666667</v>
      </c>
      <c r="Q55" s="28" t="n">
        <f aca="false">IF($C55=0,"",E55/$C55)</f>
        <v>0.666666666666667</v>
      </c>
      <c r="R55" s="28" t="n">
        <f aca="false">IF($C55=0,"",F55/$C55)</f>
        <v>0.733333333333333</v>
      </c>
      <c r="S55" s="28" t="n">
        <f aca="false">IF($C55=0,"",G55/$C55)</f>
        <v>0.733333333333333</v>
      </c>
      <c r="T55" s="28" t="n">
        <f aca="false">IF($C55=0,"",H55/$C55)</f>
        <v>0.666666666666667</v>
      </c>
      <c r="U55" s="28" t="n">
        <f aca="false">IF($C55=0,"",I55/$C55)</f>
        <v>0.466666666666667</v>
      </c>
      <c r="V55" s="29" t="n">
        <f aca="false">IF($C55=0,"",K55/$C55)</f>
        <v>0.8</v>
      </c>
      <c r="W55" s="29" t="n">
        <f aca="false">IF($C55=0,"",M55/$C55)</f>
        <v>0.791806666666667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20</v>
      </c>
      <c r="D56" s="26" t="n">
        <v>3</v>
      </c>
      <c r="E56" s="26" t="n">
        <v>9</v>
      </c>
      <c r="F56" s="26" t="n">
        <v>12</v>
      </c>
      <c r="G56" s="26" t="n">
        <v>11</v>
      </c>
      <c r="H56" s="26" t="n">
        <v>9</v>
      </c>
      <c r="I56" s="26" t="n">
        <v>3</v>
      </c>
      <c r="J56" s="26" t="n">
        <v>0</v>
      </c>
      <c r="K56" s="27" t="n">
        <v>1</v>
      </c>
      <c r="L56" s="27" t="n">
        <v>0.2258</v>
      </c>
      <c r="M56" s="19" t="n">
        <f aca="false">K56-L56</f>
        <v>0.7742</v>
      </c>
      <c r="N56" s="26" t="n">
        <v>2</v>
      </c>
      <c r="O56" s="26" t="n">
        <v>4</v>
      </c>
      <c r="P56" s="28" t="n">
        <f aca="false">IF($C56=0,"",D56/$C56)</f>
        <v>0.15</v>
      </c>
      <c r="Q56" s="28" t="n">
        <f aca="false">IF($C56=0,"",E56/$C56)</f>
        <v>0.45</v>
      </c>
      <c r="R56" s="28" t="n">
        <f aca="false">IF($C56=0,"",F56/$C56)</f>
        <v>0.6</v>
      </c>
      <c r="S56" s="28" t="n">
        <f aca="false">IF($C56=0,"",G56/$C56)</f>
        <v>0.55</v>
      </c>
      <c r="T56" s="28" t="n">
        <f aca="false">IF($C56=0,"",H56/$C56)</f>
        <v>0.45</v>
      </c>
      <c r="U56" s="28" t="n">
        <f aca="false">IF($C56=0,"",I56/$C56)</f>
        <v>0.15</v>
      </c>
      <c r="V56" s="29" t="n">
        <f aca="false">IF($C56=0,"",K56/$C56)</f>
        <v>0.05</v>
      </c>
      <c r="W56" s="29" t="n">
        <f aca="false">IF($C56=0,"",M56/$C56)</f>
        <v>0.03871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246</v>
      </c>
      <c r="D57" s="30" t="n">
        <f aca="false">SUM(D45:D56)</f>
        <v>51</v>
      </c>
      <c r="E57" s="30" t="n">
        <f aca="false">SUM(E45:E56)</f>
        <v>104</v>
      </c>
      <c r="F57" s="30" t="n">
        <f aca="false">SUM(F45:F56)</f>
        <v>157</v>
      </c>
      <c r="G57" s="30" t="n">
        <f aca="false">SUM(G45:G56)</f>
        <v>131</v>
      </c>
      <c r="H57" s="30" t="n">
        <f aca="false">SUM(H45:H56)</f>
        <v>104</v>
      </c>
      <c r="I57" s="30" t="n">
        <f aca="false">SUM(I45:I56)</f>
        <v>51</v>
      </c>
      <c r="J57" s="30" t="n">
        <f aca="false">SUM(J45:J56)</f>
        <v>0</v>
      </c>
      <c r="K57" s="31" t="n">
        <f aca="false">SUM(K45:K56)</f>
        <v>13</v>
      </c>
      <c r="L57" s="31" t="n">
        <f aca="false">SUM(L45:L56)</f>
        <v>3.4802</v>
      </c>
      <c r="M57" s="31" t="n">
        <f aca="false">K57-L57</f>
        <v>9.5198</v>
      </c>
      <c r="N57" s="32" t="n">
        <v>5</v>
      </c>
      <c r="O57" s="32" t="n">
        <v>7</v>
      </c>
      <c r="P57" s="33" t="n">
        <f aca="false">IF($C57=0,"",D57/$C57)</f>
        <v>0.207317073170732</v>
      </c>
      <c r="Q57" s="33" t="n">
        <f aca="false">IF($C57=0,"",E57/$C57)</f>
        <v>0.422764227642276</v>
      </c>
      <c r="R57" s="33" t="n">
        <f aca="false">IF($C57=0,"",F57/$C57)</f>
        <v>0.638211382113821</v>
      </c>
      <c r="S57" s="33" t="n">
        <f aca="false">IF($C57=0,"",G57/$C57)</f>
        <v>0.532520325203252</v>
      </c>
      <c r="T57" s="33" t="n">
        <f aca="false">IF($C57=0,"",H57/$C57)</f>
        <v>0.422764227642276</v>
      </c>
      <c r="U57" s="33" t="n">
        <f aca="false">IF($C57=0,"",I57/$C57)</f>
        <v>0.207317073170732</v>
      </c>
      <c r="V57" s="34" t="n">
        <f aca="false">IF($C57=0,"",K57/$C57)</f>
        <v>0.0528455284552846</v>
      </c>
      <c r="W57" s="34" t="n">
        <f aca="false">IF($C57=0,"",M57/$C57)</f>
        <v>0.0386983739837398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27</v>
      </c>
      <c r="D58" s="26" t="n">
        <v>8</v>
      </c>
      <c r="E58" s="26" t="n">
        <v>13</v>
      </c>
      <c r="F58" s="26" t="n">
        <v>17</v>
      </c>
      <c r="G58" s="26" t="n">
        <v>14</v>
      </c>
      <c r="H58" s="26" t="n">
        <v>13</v>
      </c>
      <c r="I58" s="26" t="n">
        <v>8</v>
      </c>
      <c r="J58" s="26" t="n">
        <v>0</v>
      </c>
      <c r="K58" s="27" t="n">
        <v>7</v>
      </c>
      <c r="L58" s="27" t="n">
        <v>0.4716</v>
      </c>
      <c r="M58" s="19" t="n">
        <f aca="false">K58-L58</f>
        <v>6.5284</v>
      </c>
      <c r="N58" s="26" t="n">
        <v>3</v>
      </c>
      <c r="O58" s="26" t="n">
        <v>4</v>
      </c>
      <c r="P58" s="28" t="n">
        <f aca="false">IF($C58=0,"",D58/$C58)</f>
        <v>0.296296296296296</v>
      </c>
      <c r="Q58" s="28" t="n">
        <f aca="false">IF($C58=0,"",E58/$C58)</f>
        <v>0.481481481481481</v>
      </c>
      <c r="R58" s="28" t="n">
        <f aca="false">IF($C58=0,"",F58/$C58)</f>
        <v>0.62962962962963</v>
      </c>
      <c r="S58" s="28" t="n">
        <f aca="false">IF($C58=0,"",G58/$C58)</f>
        <v>0.518518518518519</v>
      </c>
      <c r="T58" s="28" t="n">
        <f aca="false">IF($C58=0,"",H58/$C58)</f>
        <v>0.481481481481481</v>
      </c>
      <c r="U58" s="28" t="n">
        <f aca="false">IF($C58=0,"",I58/$C58)</f>
        <v>0.296296296296296</v>
      </c>
      <c r="V58" s="29" t="n">
        <f aca="false">IF($C58=0,"",K58/$C58)</f>
        <v>0.259259259259259</v>
      </c>
      <c r="W58" s="29" t="n">
        <f aca="false">IF($C58=0,"",M58/$C58)</f>
        <v>0.241792592592593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24</v>
      </c>
      <c r="D59" s="26" t="n">
        <v>6</v>
      </c>
      <c r="E59" s="26" t="n">
        <v>11</v>
      </c>
      <c r="F59" s="26" t="n">
        <v>15</v>
      </c>
      <c r="G59" s="26" t="n">
        <v>15</v>
      </c>
      <c r="H59" s="26" t="n">
        <v>11</v>
      </c>
      <c r="I59" s="26" t="n">
        <v>6</v>
      </c>
      <c r="J59" s="26" t="n">
        <v>0</v>
      </c>
      <c r="K59" s="27" t="n">
        <v>4</v>
      </c>
      <c r="L59" s="27" t="n">
        <v>0.2216</v>
      </c>
      <c r="M59" s="19" t="n">
        <f aca="false">K59-L59</f>
        <v>3.7784</v>
      </c>
      <c r="N59" s="26" t="n">
        <v>4</v>
      </c>
      <c r="O59" s="26" t="n">
        <v>5</v>
      </c>
      <c r="P59" s="28" t="n">
        <f aca="false">IF($C59=0,"",D59/$C59)</f>
        <v>0.25</v>
      </c>
      <c r="Q59" s="28" t="n">
        <f aca="false">IF($C59=0,"",E59/$C59)</f>
        <v>0.458333333333333</v>
      </c>
      <c r="R59" s="28" t="n">
        <f aca="false">IF($C59=0,"",F59/$C59)</f>
        <v>0.625</v>
      </c>
      <c r="S59" s="28" t="n">
        <f aca="false">IF($C59=0,"",G59/$C59)</f>
        <v>0.625</v>
      </c>
      <c r="T59" s="28" t="n">
        <f aca="false">IF($C59=0,"",H59/$C59)</f>
        <v>0.458333333333333</v>
      </c>
      <c r="U59" s="28" t="n">
        <f aca="false">IF($C59=0,"",I59/$C59)</f>
        <v>0.25</v>
      </c>
      <c r="V59" s="29" t="n">
        <f aca="false">IF($C59=0,"",K59/$C59)</f>
        <v>0.166666666666667</v>
      </c>
      <c r="W59" s="29" t="n">
        <f aca="false">IF($C59=0,"",M59/$C59)</f>
        <v>0.157433333333333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26</v>
      </c>
      <c r="D60" s="26" t="n">
        <v>9</v>
      </c>
      <c r="E60" s="26" t="n">
        <v>14</v>
      </c>
      <c r="F60" s="26" t="n">
        <v>17</v>
      </c>
      <c r="G60" s="26" t="n">
        <v>15</v>
      </c>
      <c r="H60" s="26" t="n">
        <v>14</v>
      </c>
      <c r="I60" s="26" t="n">
        <v>9</v>
      </c>
      <c r="J60" s="26" t="n">
        <v>0</v>
      </c>
      <c r="K60" s="27" t="n">
        <v>11</v>
      </c>
      <c r="L60" s="27" t="n">
        <v>0.3515</v>
      </c>
      <c r="M60" s="19" t="n">
        <f aca="false">K60-L60</f>
        <v>10.6485</v>
      </c>
      <c r="N60" s="26" t="n">
        <v>4</v>
      </c>
      <c r="O60" s="26" t="n">
        <v>4</v>
      </c>
      <c r="P60" s="28" t="n">
        <f aca="false">IF($C60=0,"",D60/$C60)</f>
        <v>0.346153846153846</v>
      </c>
      <c r="Q60" s="28" t="n">
        <f aca="false">IF($C60=0,"",E60/$C60)</f>
        <v>0.538461538461538</v>
      </c>
      <c r="R60" s="28" t="n">
        <f aca="false">IF($C60=0,"",F60/$C60)</f>
        <v>0.653846153846154</v>
      </c>
      <c r="S60" s="28" t="n">
        <f aca="false">IF($C60=0,"",G60/$C60)</f>
        <v>0.576923076923077</v>
      </c>
      <c r="T60" s="28" t="n">
        <f aca="false">IF($C60=0,"",H60/$C60)</f>
        <v>0.538461538461538</v>
      </c>
      <c r="U60" s="28" t="n">
        <f aca="false">IF($C60=0,"",I60/$C60)</f>
        <v>0.346153846153846</v>
      </c>
      <c r="V60" s="29" t="n">
        <f aca="false">IF($C60=0,"",K60/$C60)</f>
        <v>0.423076923076923</v>
      </c>
      <c r="W60" s="29" t="n">
        <f aca="false">IF($C60=0,"",M60/$C60)</f>
        <v>0.409557692307692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26</v>
      </c>
      <c r="D61" s="26" t="n">
        <v>6</v>
      </c>
      <c r="E61" s="26" t="n">
        <v>13</v>
      </c>
      <c r="F61" s="26" t="n">
        <v>16</v>
      </c>
      <c r="G61" s="26" t="n">
        <v>13</v>
      </c>
      <c r="H61" s="26" t="n">
        <v>13</v>
      </c>
      <c r="I61" s="26" t="n">
        <v>6</v>
      </c>
      <c r="J61" s="26" t="n">
        <v>0</v>
      </c>
      <c r="K61" s="27" t="n">
        <v>6</v>
      </c>
      <c r="L61" s="27" t="n">
        <v>0.1344</v>
      </c>
      <c r="M61" s="19" t="n">
        <f aca="false">K61-L61</f>
        <v>5.8656</v>
      </c>
      <c r="N61" s="26" t="n">
        <v>5</v>
      </c>
      <c r="O61" s="26" t="n">
        <v>8</v>
      </c>
      <c r="P61" s="28" t="n">
        <f aca="false">IF($C61=0,"",D61/$C61)</f>
        <v>0.230769230769231</v>
      </c>
      <c r="Q61" s="28" t="n">
        <f aca="false">IF($C61=0,"",E61/$C61)</f>
        <v>0.5</v>
      </c>
      <c r="R61" s="28" t="n">
        <f aca="false">IF($C61=0,"",F61/$C61)</f>
        <v>0.615384615384615</v>
      </c>
      <c r="S61" s="28" t="n">
        <f aca="false">IF($C61=0,"",G61/$C61)</f>
        <v>0.5</v>
      </c>
      <c r="T61" s="28" t="n">
        <f aca="false">IF($C61=0,"",H61/$C61)</f>
        <v>0.5</v>
      </c>
      <c r="U61" s="28" t="n">
        <f aca="false">IF($C61=0,"",I61/$C61)</f>
        <v>0.230769230769231</v>
      </c>
      <c r="V61" s="29" t="n">
        <f aca="false">IF($C61=0,"",K61/$C61)</f>
        <v>0.230769230769231</v>
      </c>
      <c r="W61" s="29" t="n">
        <f aca="false">IF($C61=0,"",M61/$C61)</f>
        <v>0.2256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23</v>
      </c>
      <c r="D62" s="26" t="n">
        <v>8</v>
      </c>
      <c r="E62" s="26" t="n">
        <v>10</v>
      </c>
      <c r="F62" s="26" t="n">
        <v>14</v>
      </c>
      <c r="G62" s="26" t="n">
        <v>10</v>
      </c>
      <c r="H62" s="26" t="n">
        <v>10</v>
      </c>
      <c r="I62" s="26" t="n">
        <v>8</v>
      </c>
      <c r="J62" s="26" t="n">
        <v>0</v>
      </c>
      <c r="K62" s="27" t="n">
        <v>5</v>
      </c>
      <c r="L62" s="27" t="n">
        <v>0.1307</v>
      </c>
      <c r="M62" s="19" t="n">
        <f aca="false">K62-L62</f>
        <v>4.8693</v>
      </c>
      <c r="N62" s="26" t="n">
        <v>4</v>
      </c>
      <c r="O62" s="26" t="n">
        <v>3</v>
      </c>
      <c r="P62" s="28" t="n">
        <f aca="false">IF($C62=0,"",D62/$C62)</f>
        <v>0.347826086956522</v>
      </c>
      <c r="Q62" s="28" t="n">
        <f aca="false">IF($C62=0,"",E62/$C62)</f>
        <v>0.434782608695652</v>
      </c>
      <c r="R62" s="28" t="n">
        <f aca="false">IF($C62=0,"",F62/$C62)</f>
        <v>0.608695652173913</v>
      </c>
      <c r="S62" s="28" t="n">
        <f aca="false">IF($C62=0,"",G62/$C62)</f>
        <v>0.434782608695652</v>
      </c>
      <c r="T62" s="28" t="n">
        <f aca="false">IF($C62=0,"",H62/$C62)</f>
        <v>0.434782608695652</v>
      </c>
      <c r="U62" s="28" t="n">
        <f aca="false">IF($C62=0,"",I62/$C62)</f>
        <v>0.347826086956522</v>
      </c>
      <c r="V62" s="29" t="n">
        <f aca="false">IF($C62=0,"",K62/$C62)</f>
        <v>0.217391304347826</v>
      </c>
      <c r="W62" s="29" t="n">
        <f aca="false">IF($C62=0,"",M62/$C62)</f>
        <v>0.211708695652174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17</v>
      </c>
      <c r="D63" s="26" t="n">
        <v>3</v>
      </c>
      <c r="E63" s="26" t="n">
        <v>6</v>
      </c>
      <c r="F63" s="26" t="n">
        <v>11</v>
      </c>
      <c r="G63" s="26" t="n">
        <v>9</v>
      </c>
      <c r="H63" s="26" t="n">
        <v>6</v>
      </c>
      <c r="I63" s="26" t="n">
        <v>3</v>
      </c>
      <c r="J63" s="26" t="n">
        <v>0</v>
      </c>
      <c r="K63" s="27" t="n">
        <v>-2</v>
      </c>
      <c r="L63" s="27" t="n">
        <v>0.1259</v>
      </c>
      <c r="M63" s="19" t="n">
        <f aca="false">K63-L63</f>
        <v>-2.1259</v>
      </c>
      <c r="N63" s="26" t="n">
        <v>2</v>
      </c>
      <c r="O63" s="26" t="n">
        <v>5</v>
      </c>
      <c r="P63" s="28" t="n">
        <f aca="false">IF($C63=0,"",D63/$C63)</f>
        <v>0.176470588235294</v>
      </c>
      <c r="Q63" s="28" t="n">
        <f aca="false">IF($C63=0,"",E63/$C63)</f>
        <v>0.352941176470588</v>
      </c>
      <c r="R63" s="28" t="n">
        <f aca="false">IF($C63=0,"",F63/$C63)</f>
        <v>0.647058823529412</v>
      </c>
      <c r="S63" s="28" t="n">
        <f aca="false">IF($C63=0,"",G63/$C63)</f>
        <v>0.529411764705882</v>
      </c>
      <c r="T63" s="28" t="n">
        <f aca="false">IF($C63=0,"",H63/$C63)</f>
        <v>0.352941176470588</v>
      </c>
      <c r="U63" s="28" t="n">
        <f aca="false">IF($C63=0,"",I63/$C63)</f>
        <v>0.176470588235294</v>
      </c>
      <c r="V63" s="29" t="n">
        <f aca="false">IF($C63=0,"",K63/$C63)</f>
        <v>-0.117647058823529</v>
      </c>
      <c r="W63" s="29" t="n">
        <f aca="false">IF($C63=0,"",M63/$C63)</f>
        <v>-0.125052941176471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26</v>
      </c>
      <c r="D64" s="26" t="n">
        <v>10</v>
      </c>
      <c r="E64" s="26" t="n">
        <v>12</v>
      </c>
      <c r="F64" s="26" t="n">
        <v>17</v>
      </c>
      <c r="G64" s="26" t="n">
        <v>16</v>
      </c>
      <c r="H64" s="26" t="n">
        <v>12</v>
      </c>
      <c r="I64" s="26" t="n">
        <v>10</v>
      </c>
      <c r="J64" s="26" t="n">
        <v>0</v>
      </c>
      <c r="K64" s="27" t="n">
        <v>8</v>
      </c>
      <c r="L64" s="27" t="n">
        <v>0.3451</v>
      </c>
      <c r="M64" s="19" t="n">
        <f aca="false">K64-L64</f>
        <v>7.6549</v>
      </c>
      <c r="N64" s="26" t="n">
        <v>5</v>
      </c>
      <c r="O64" s="26" t="n">
        <v>5</v>
      </c>
      <c r="P64" s="28" t="n">
        <f aca="false">IF($C64=0,"",D64/$C64)</f>
        <v>0.384615384615385</v>
      </c>
      <c r="Q64" s="28" t="n">
        <f aca="false">IF($C64=0,"",E64/$C64)</f>
        <v>0.461538461538462</v>
      </c>
      <c r="R64" s="28" t="n">
        <f aca="false">IF($C64=0,"",F64/$C64)</f>
        <v>0.653846153846154</v>
      </c>
      <c r="S64" s="28" t="n">
        <f aca="false">IF($C64=0,"",G64/$C64)</f>
        <v>0.615384615384615</v>
      </c>
      <c r="T64" s="28" t="n">
        <f aca="false">IF($C64=0,"",H64/$C64)</f>
        <v>0.461538461538462</v>
      </c>
      <c r="U64" s="28" t="n">
        <f aca="false">IF($C64=0,"",I64/$C64)</f>
        <v>0.384615384615385</v>
      </c>
      <c r="V64" s="29" t="n">
        <f aca="false">IF($C64=0,"",K64/$C64)</f>
        <v>0.307692307692308</v>
      </c>
      <c r="W64" s="29" t="n">
        <f aca="false">IF($C64=0,"",M64/$C64)</f>
        <v>0.294419230769231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13</v>
      </c>
      <c r="D65" s="26" t="n">
        <v>4</v>
      </c>
      <c r="E65" s="26" t="n">
        <v>6</v>
      </c>
      <c r="F65" s="26" t="n">
        <v>10</v>
      </c>
      <c r="G65" s="26" t="n">
        <v>9</v>
      </c>
      <c r="H65" s="26" t="n">
        <v>6</v>
      </c>
      <c r="I65" s="26" t="n">
        <v>4</v>
      </c>
      <c r="J65" s="26" t="n">
        <v>0</v>
      </c>
      <c r="K65" s="27" t="n">
        <v>3</v>
      </c>
      <c r="L65" s="27" t="n">
        <v>0.1522</v>
      </c>
      <c r="M65" s="19" t="n">
        <f aca="false">K65-L65</f>
        <v>2.8478</v>
      </c>
      <c r="N65" s="26" t="n">
        <v>3</v>
      </c>
      <c r="O65" s="26" t="n">
        <v>5</v>
      </c>
      <c r="P65" s="28" t="n">
        <f aca="false">IF($C65=0,"",D65/$C65)</f>
        <v>0.307692307692308</v>
      </c>
      <c r="Q65" s="28" t="n">
        <f aca="false">IF($C65=0,"",E65/$C65)</f>
        <v>0.461538461538462</v>
      </c>
      <c r="R65" s="28" t="n">
        <f aca="false">IF($C65=0,"",F65/$C65)</f>
        <v>0.769230769230769</v>
      </c>
      <c r="S65" s="28" t="n">
        <f aca="false">IF($C65=0,"",G65/$C65)</f>
        <v>0.692307692307692</v>
      </c>
      <c r="T65" s="28" t="n">
        <f aca="false">IF($C65=0,"",H65/$C65)</f>
        <v>0.461538461538462</v>
      </c>
      <c r="U65" s="28" t="n">
        <f aca="false">IF($C65=0,"",I65/$C65)</f>
        <v>0.307692307692308</v>
      </c>
      <c r="V65" s="29" t="n">
        <f aca="false">IF($C65=0,"",K65/$C65)</f>
        <v>0.230769230769231</v>
      </c>
      <c r="W65" s="29" t="n">
        <f aca="false">IF($C65=0,"",M65/$C65)</f>
        <v>0.219061538461538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23</v>
      </c>
      <c r="D66" s="26" t="n">
        <v>6</v>
      </c>
      <c r="E66" s="26" t="n">
        <v>11</v>
      </c>
      <c r="F66" s="26" t="n">
        <v>16</v>
      </c>
      <c r="G66" s="26" t="n">
        <v>12</v>
      </c>
      <c r="H66" s="26" t="n">
        <v>11</v>
      </c>
      <c r="I66" s="26" t="n">
        <v>6</v>
      </c>
      <c r="J66" s="26" t="n">
        <v>0</v>
      </c>
      <c r="K66" s="27" t="n">
        <v>5</v>
      </c>
      <c r="L66" s="27" t="n">
        <v>0.2309</v>
      </c>
      <c r="M66" s="19" t="n">
        <f aca="false">K66-L66</f>
        <v>4.7691</v>
      </c>
      <c r="N66" s="26" t="n">
        <v>3</v>
      </c>
      <c r="O66" s="26" t="n">
        <v>5</v>
      </c>
      <c r="P66" s="28" t="n">
        <f aca="false">IF($C66=0,"",D66/$C66)</f>
        <v>0.260869565217391</v>
      </c>
      <c r="Q66" s="28" t="n">
        <f aca="false">IF($C66=0,"",E66/$C66)</f>
        <v>0.478260869565217</v>
      </c>
      <c r="R66" s="28" t="n">
        <f aca="false">IF($C66=0,"",F66/$C66)</f>
        <v>0.695652173913044</v>
      </c>
      <c r="S66" s="28" t="n">
        <f aca="false">IF($C66=0,"",G66/$C66)</f>
        <v>0.521739130434783</v>
      </c>
      <c r="T66" s="28" t="n">
        <f aca="false">IF($C66=0,"",H66/$C66)</f>
        <v>0.478260869565217</v>
      </c>
      <c r="U66" s="28" t="n">
        <f aca="false">IF($C66=0,"",I66/$C66)</f>
        <v>0.260869565217391</v>
      </c>
      <c r="V66" s="29" t="n">
        <f aca="false">IF($C66=0,"",K66/$C66)</f>
        <v>0.217391304347826</v>
      </c>
      <c r="W66" s="29" t="n">
        <f aca="false">IF($C66=0,"",M66/$C66)</f>
        <v>0.207352173913043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26</v>
      </c>
      <c r="D67" s="26" t="n">
        <v>8</v>
      </c>
      <c r="E67" s="26" t="n">
        <v>13</v>
      </c>
      <c r="F67" s="26" t="n">
        <v>17</v>
      </c>
      <c r="G67" s="26" t="n">
        <v>15</v>
      </c>
      <c r="H67" s="26" t="n">
        <v>13</v>
      </c>
      <c r="I67" s="26" t="n">
        <v>8</v>
      </c>
      <c r="J67" s="26" t="n">
        <v>0</v>
      </c>
      <c r="K67" s="27" t="n">
        <v>8</v>
      </c>
      <c r="L67" s="27" t="n">
        <v>0.1307</v>
      </c>
      <c r="M67" s="19" t="n">
        <f aca="false">K67-L67</f>
        <v>7.8693</v>
      </c>
      <c r="N67" s="26" t="n">
        <v>3</v>
      </c>
      <c r="O67" s="26" t="n">
        <v>4</v>
      </c>
      <c r="P67" s="28" t="n">
        <f aca="false">IF($C67=0,"",D67/$C67)</f>
        <v>0.307692307692308</v>
      </c>
      <c r="Q67" s="28" t="n">
        <f aca="false">IF($C67=0,"",E67/$C67)</f>
        <v>0.5</v>
      </c>
      <c r="R67" s="28" t="n">
        <f aca="false">IF($C67=0,"",F67/$C67)</f>
        <v>0.653846153846154</v>
      </c>
      <c r="S67" s="28" t="n">
        <f aca="false">IF($C67=0,"",G67/$C67)</f>
        <v>0.576923076923077</v>
      </c>
      <c r="T67" s="28" t="n">
        <f aca="false">IF($C67=0,"",H67/$C67)</f>
        <v>0.5</v>
      </c>
      <c r="U67" s="28" t="n">
        <f aca="false">IF($C67=0,"",I67/$C67)</f>
        <v>0.307692307692308</v>
      </c>
      <c r="V67" s="29" t="n">
        <f aca="false">IF($C67=0,"",K67/$C67)</f>
        <v>0.307692307692308</v>
      </c>
      <c r="W67" s="29" t="n">
        <f aca="false">IF($C67=0,"",M67/$C67)</f>
        <v>0.302665384615385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14</v>
      </c>
      <c r="D68" s="26" t="n">
        <v>5</v>
      </c>
      <c r="E68" s="26" t="n">
        <v>8</v>
      </c>
      <c r="F68" s="26" t="n">
        <v>11</v>
      </c>
      <c r="G68" s="26" t="n">
        <v>9</v>
      </c>
      <c r="H68" s="26" t="n">
        <v>8</v>
      </c>
      <c r="I68" s="26" t="n">
        <v>5</v>
      </c>
      <c r="J68" s="26" t="n">
        <v>0</v>
      </c>
      <c r="K68" s="27" t="n">
        <v>7</v>
      </c>
      <c r="L68" s="27" t="n">
        <v>0.0825</v>
      </c>
      <c r="M68" s="19" t="n">
        <f aca="false">K68-L68</f>
        <v>6.9175</v>
      </c>
      <c r="N68" s="26" t="n">
        <v>4</v>
      </c>
      <c r="O68" s="26" t="n">
        <v>3</v>
      </c>
      <c r="P68" s="28" t="n">
        <f aca="false">IF($C68=0,"",D68/$C68)</f>
        <v>0.357142857142857</v>
      </c>
      <c r="Q68" s="28" t="n">
        <f aca="false">IF($C68=0,"",E68/$C68)</f>
        <v>0.571428571428571</v>
      </c>
      <c r="R68" s="28" t="n">
        <f aca="false">IF($C68=0,"",F68/$C68)</f>
        <v>0.785714285714286</v>
      </c>
      <c r="S68" s="28" t="n">
        <f aca="false">IF($C68=0,"",G68/$C68)</f>
        <v>0.642857142857143</v>
      </c>
      <c r="T68" s="28" t="n">
        <f aca="false">IF($C68=0,"",H68/$C68)</f>
        <v>0.571428571428571</v>
      </c>
      <c r="U68" s="28" t="n">
        <f aca="false">IF($C68=0,"",I68/$C68)</f>
        <v>0.357142857142857</v>
      </c>
      <c r="V68" s="29" t="n">
        <f aca="false">IF($C68=0,"",K68/$C68)</f>
        <v>0.5</v>
      </c>
      <c r="W68" s="29" t="n">
        <f aca="false">IF($C68=0,"",M68/$C68)</f>
        <v>0.494107142857143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25</v>
      </c>
      <c r="D69" s="26" t="n">
        <v>5</v>
      </c>
      <c r="E69" s="26" t="n">
        <v>8</v>
      </c>
      <c r="F69" s="26" t="n">
        <v>12</v>
      </c>
      <c r="G69" s="26" t="n">
        <v>9</v>
      </c>
      <c r="H69" s="26" t="n">
        <v>8</v>
      </c>
      <c r="I69" s="26" t="n">
        <v>5</v>
      </c>
      <c r="J69" s="26" t="n">
        <v>0</v>
      </c>
      <c r="K69" s="27" t="n">
        <v>-4</v>
      </c>
      <c r="L69" s="27" t="n">
        <v>0.1798</v>
      </c>
      <c r="M69" s="19" t="n">
        <f aca="false">K69-L69</f>
        <v>-4.1798</v>
      </c>
      <c r="N69" s="26" t="n">
        <v>2</v>
      </c>
      <c r="O69" s="26" t="n">
        <v>7</v>
      </c>
      <c r="P69" s="28" t="n">
        <f aca="false">IF($C69=0,"",D69/$C69)</f>
        <v>0.2</v>
      </c>
      <c r="Q69" s="28" t="n">
        <f aca="false">IF($C69=0,"",E69/$C69)</f>
        <v>0.32</v>
      </c>
      <c r="R69" s="28" t="n">
        <f aca="false">IF($C69=0,"",F69/$C69)</f>
        <v>0.48</v>
      </c>
      <c r="S69" s="28" t="n">
        <f aca="false">IF($C69=0,"",G69/$C69)</f>
        <v>0.36</v>
      </c>
      <c r="T69" s="28" t="n">
        <f aca="false">IF($C69=0,"",H69/$C69)</f>
        <v>0.32</v>
      </c>
      <c r="U69" s="28" t="n">
        <f aca="false">IF($C69=0,"",I69/$C69)</f>
        <v>0.2</v>
      </c>
      <c r="V69" s="29" t="n">
        <f aca="false">IF($C69=0,"",K69/$C69)</f>
        <v>-0.16</v>
      </c>
      <c r="W69" s="29" t="n">
        <f aca="false">IF($C69=0,"",M69/$C69)</f>
        <v>-0.167192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270</v>
      </c>
      <c r="D70" s="30" t="n">
        <f aca="false">SUM(D58:D69)</f>
        <v>78</v>
      </c>
      <c r="E70" s="30" t="n">
        <f aca="false">SUM(E58:E69)</f>
        <v>125</v>
      </c>
      <c r="F70" s="30" t="n">
        <f aca="false">SUM(F58:F69)</f>
        <v>173</v>
      </c>
      <c r="G70" s="30" t="n">
        <f aca="false">SUM(G58:G69)</f>
        <v>146</v>
      </c>
      <c r="H70" s="30" t="n">
        <f aca="false">SUM(H58:H69)</f>
        <v>125</v>
      </c>
      <c r="I70" s="30" t="n">
        <f aca="false">SUM(I58:I69)</f>
        <v>78</v>
      </c>
      <c r="J70" s="30" t="n">
        <f aca="false">SUM(J58:J69)</f>
        <v>0</v>
      </c>
      <c r="K70" s="31" t="n">
        <f aca="false">SUM(K58:K69)</f>
        <v>58</v>
      </c>
      <c r="L70" s="31" t="n">
        <f aca="false">SUM(L58:L69)</f>
        <v>2.5569</v>
      </c>
      <c r="M70" s="31" t="n">
        <f aca="false">K70-L70</f>
        <v>55.4431</v>
      </c>
      <c r="N70" s="32" t="n">
        <v>5</v>
      </c>
      <c r="O70" s="32" t="n">
        <v>8</v>
      </c>
      <c r="P70" s="33" t="n">
        <f aca="false">IF($C70=0,"",D70/$C70)</f>
        <v>0.288888888888889</v>
      </c>
      <c r="Q70" s="33" t="n">
        <f aca="false">IF($C70=0,"",E70/$C70)</f>
        <v>0.462962962962963</v>
      </c>
      <c r="R70" s="33" t="n">
        <f aca="false">IF($C70=0,"",F70/$C70)</f>
        <v>0.640740740740741</v>
      </c>
      <c r="S70" s="33" t="n">
        <f aca="false">IF($C70=0,"",G70/$C70)</f>
        <v>0.540740740740741</v>
      </c>
      <c r="T70" s="33" t="n">
        <f aca="false">IF($C70=0,"",H70/$C70)</f>
        <v>0.462962962962963</v>
      </c>
      <c r="U70" s="33" t="n">
        <f aca="false">IF($C70=0,"",I70/$C70)</f>
        <v>0.288888888888889</v>
      </c>
      <c r="V70" s="34" t="n">
        <f aca="false">IF($C70=0,"",K70/$C70)</f>
        <v>0.214814814814815</v>
      </c>
      <c r="W70" s="34" t="n">
        <f aca="false">IF($C70=0,"",M70/$C70)</f>
        <v>0.205344814814815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26</v>
      </c>
      <c r="D71" s="26" t="n">
        <v>8</v>
      </c>
      <c r="E71" s="26" t="n">
        <v>12</v>
      </c>
      <c r="F71" s="26" t="n">
        <v>18</v>
      </c>
      <c r="G71" s="26" t="n">
        <v>15</v>
      </c>
      <c r="H71" s="26" t="n">
        <v>12</v>
      </c>
      <c r="I71" s="26" t="n">
        <v>8</v>
      </c>
      <c r="J71" s="26" t="n">
        <v>0</v>
      </c>
      <c r="K71" s="27" t="n">
        <v>6</v>
      </c>
      <c r="L71" s="27" t="n">
        <v>0.1318</v>
      </c>
      <c r="M71" s="19" t="n">
        <f aca="false">K71-L71</f>
        <v>5.8682</v>
      </c>
      <c r="N71" s="26" t="n">
        <v>3</v>
      </c>
      <c r="O71" s="26" t="n">
        <v>7</v>
      </c>
      <c r="P71" s="28" t="n">
        <f aca="false">IF($C71=0,"",D71/$C71)</f>
        <v>0.307692307692308</v>
      </c>
      <c r="Q71" s="28" t="n">
        <f aca="false">IF($C71=0,"",E71/$C71)</f>
        <v>0.461538461538462</v>
      </c>
      <c r="R71" s="28" t="n">
        <f aca="false">IF($C71=0,"",F71/$C71)</f>
        <v>0.692307692307692</v>
      </c>
      <c r="S71" s="28" t="n">
        <f aca="false">IF($C71=0,"",G71/$C71)</f>
        <v>0.576923076923077</v>
      </c>
      <c r="T71" s="28" t="n">
        <f aca="false">IF($C71=0,"",H71/$C71)</f>
        <v>0.461538461538462</v>
      </c>
      <c r="U71" s="28" t="n">
        <f aca="false">IF($C71=0,"",I71/$C71)</f>
        <v>0.307692307692308</v>
      </c>
      <c r="V71" s="29" t="n">
        <f aca="false">IF($C71=0,"",K71/$C71)</f>
        <v>0.230769230769231</v>
      </c>
      <c r="W71" s="29" t="n">
        <f aca="false">IF($C71=0,"",M71/$C71)</f>
        <v>0.2257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15</v>
      </c>
      <c r="D72" s="26" t="n">
        <v>5</v>
      </c>
      <c r="E72" s="26" t="n">
        <v>7</v>
      </c>
      <c r="F72" s="26" t="n">
        <v>11</v>
      </c>
      <c r="G72" s="26" t="n">
        <v>9</v>
      </c>
      <c r="H72" s="26" t="n">
        <v>7</v>
      </c>
      <c r="I72" s="26" t="n">
        <v>5</v>
      </c>
      <c r="J72" s="26" t="n">
        <v>0</v>
      </c>
      <c r="K72" s="27" t="n">
        <v>4</v>
      </c>
      <c r="L72" s="27" t="n">
        <v>0.0463</v>
      </c>
      <c r="M72" s="19" t="n">
        <f aca="false">K72-L72</f>
        <v>3.9537</v>
      </c>
      <c r="N72" s="26" t="n">
        <v>2</v>
      </c>
      <c r="O72" s="26" t="n">
        <v>2</v>
      </c>
      <c r="P72" s="28" t="n">
        <f aca="false">IF($C72=0,"",D72/$C72)</f>
        <v>0.333333333333333</v>
      </c>
      <c r="Q72" s="28" t="n">
        <f aca="false">IF($C72=0,"",E72/$C72)</f>
        <v>0.466666666666667</v>
      </c>
      <c r="R72" s="28" t="n">
        <f aca="false">IF($C72=0,"",F72/$C72)</f>
        <v>0.733333333333333</v>
      </c>
      <c r="S72" s="28" t="n">
        <f aca="false">IF($C72=0,"",G72/$C72)</f>
        <v>0.6</v>
      </c>
      <c r="T72" s="28" t="n">
        <f aca="false">IF($C72=0,"",H72/$C72)</f>
        <v>0.466666666666667</v>
      </c>
      <c r="U72" s="28" t="n">
        <f aca="false">IF($C72=0,"",I72/$C72)</f>
        <v>0.333333333333333</v>
      </c>
      <c r="V72" s="29" t="n">
        <f aca="false">IF($C72=0,"",K72/$C72)</f>
        <v>0.266666666666667</v>
      </c>
      <c r="W72" s="29" t="n">
        <f aca="false">IF($C72=0,"",M72/$C72)</f>
        <v>0.26358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19</v>
      </c>
      <c r="D73" s="26" t="n">
        <v>5</v>
      </c>
      <c r="E73" s="26" t="n">
        <v>7</v>
      </c>
      <c r="F73" s="26" t="n">
        <v>11</v>
      </c>
      <c r="G73" s="26" t="n">
        <v>8</v>
      </c>
      <c r="H73" s="26" t="n">
        <v>7</v>
      </c>
      <c r="I73" s="26" t="n">
        <v>5</v>
      </c>
      <c r="J73" s="26" t="n">
        <v>0</v>
      </c>
      <c r="K73" s="27" t="n">
        <v>0</v>
      </c>
      <c r="L73" s="27" t="n">
        <v>0.0727</v>
      </c>
      <c r="M73" s="19" t="n">
        <f aca="false">K73-L73</f>
        <v>-0.0727</v>
      </c>
      <c r="N73" s="26" t="n">
        <v>3</v>
      </c>
      <c r="O73" s="26" t="n">
        <v>6</v>
      </c>
      <c r="P73" s="28" t="n">
        <f aca="false">IF($C73=0,"",D73/$C73)</f>
        <v>0.263157894736842</v>
      </c>
      <c r="Q73" s="28" t="n">
        <f aca="false">IF($C73=0,"",E73/$C73)</f>
        <v>0.368421052631579</v>
      </c>
      <c r="R73" s="28" t="n">
        <f aca="false">IF($C73=0,"",F73/$C73)</f>
        <v>0.578947368421053</v>
      </c>
      <c r="S73" s="28" t="n">
        <f aca="false">IF($C73=0,"",G73/$C73)</f>
        <v>0.421052631578947</v>
      </c>
      <c r="T73" s="28" t="n">
        <f aca="false">IF($C73=0,"",H73/$C73)</f>
        <v>0.368421052631579</v>
      </c>
      <c r="U73" s="28" t="n">
        <f aca="false">IF($C73=0,"",I73/$C73)</f>
        <v>0.263157894736842</v>
      </c>
      <c r="V73" s="29" t="n">
        <f aca="false">IF($C73=0,"",K73/$C73)</f>
        <v>0</v>
      </c>
      <c r="W73" s="29" t="n">
        <f aca="false">IF($C73=0,"",M73/$C73)</f>
        <v>-0.00382631578947368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14</v>
      </c>
      <c r="D74" s="26" t="n">
        <v>2</v>
      </c>
      <c r="E74" s="26" t="n">
        <v>6</v>
      </c>
      <c r="F74" s="26" t="n">
        <v>7</v>
      </c>
      <c r="G74" s="26" t="n">
        <v>6</v>
      </c>
      <c r="H74" s="26" t="n">
        <v>6</v>
      </c>
      <c r="I74" s="26" t="n">
        <v>2</v>
      </c>
      <c r="J74" s="26" t="n">
        <v>0</v>
      </c>
      <c r="K74" s="27" t="n">
        <v>0</v>
      </c>
      <c r="L74" s="27" t="n">
        <v>0.0536</v>
      </c>
      <c r="M74" s="19" t="n">
        <f aca="false">K74-L74</f>
        <v>-0.0536</v>
      </c>
      <c r="N74" s="26" t="n">
        <v>4</v>
      </c>
      <c r="O74" s="26" t="n">
        <v>6</v>
      </c>
      <c r="P74" s="28" t="n">
        <f aca="false">IF($C74=0,"",D74/$C74)</f>
        <v>0.142857142857143</v>
      </c>
      <c r="Q74" s="28" t="n">
        <f aca="false">IF($C74=0,"",E74/$C74)</f>
        <v>0.428571428571429</v>
      </c>
      <c r="R74" s="28" t="n">
        <f aca="false">IF($C74=0,"",F74/$C74)</f>
        <v>0.5</v>
      </c>
      <c r="S74" s="28" t="n">
        <f aca="false">IF($C74=0,"",G74/$C74)</f>
        <v>0.428571428571429</v>
      </c>
      <c r="T74" s="28" t="n">
        <f aca="false">IF($C74=0,"",H74/$C74)</f>
        <v>0.428571428571429</v>
      </c>
      <c r="U74" s="28" t="n">
        <f aca="false">IF($C74=0,"",I74/$C74)</f>
        <v>0.142857142857143</v>
      </c>
      <c r="V74" s="29" t="n">
        <f aca="false">IF($C74=0,"",K74/$C74)</f>
        <v>0</v>
      </c>
      <c r="W74" s="29" t="n">
        <f aca="false">IF($C74=0,"",M74/$C74)</f>
        <v>-0.00382857142857143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19</v>
      </c>
      <c r="D75" s="26" t="n">
        <v>4</v>
      </c>
      <c r="E75" s="26" t="n">
        <v>7</v>
      </c>
      <c r="F75" s="26" t="n">
        <v>13</v>
      </c>
      <c r="G75" s="26" t="n">
        <v>9</v>
      </c>
      <c r="H75" s="26" t="n">
        <v>7</v>
      </c>
      <c r="I75" s="26" t="n">
        <v>4</v>
      </c>
      <c r="J75" s="26" t="n">
        <v>0</v>
      </c>
      <c r="K75" s="27" t="n">
        <v>-1</v>
      </c>
      <c r="L75" s="27" t="n">
        <v>0.1545</v>
      </c>
      <c r="M75" s="19" t="n">
        <f aca="false">K75-L75</f>
        <v>-1.1545</v>
      </c>
      <c r="N75" s="26" t="n">
        <v>2</v>
      </c>
      <c r="O75" s="26" t="n">
        <v>5</v>
      </c>
      <c r="P75" s="28" t="n">
        <f aca="false">IF($C75=0,"",D75/$C75)</f>
        <v>0.210526315789474</v>
      </c>
      <c r="Q75" s="28" t="n">
        <f aca="false">IF($C75=0,"",E75/$C75)</f>
        <v>0.368421052631579</v>
      </c>
      <c r="R75" s="28" t="n">
        <f aca="false">IF($C75=0,"",F75/$C75)</f>
        <v>0.68421052631579</v>
      </c>
      <c r="S75" s="28" t="n">
        <f aca="false">IF($C75=0,"",G75/$C75)</f>
        <v>0.473684210526316</v>
      </c>
      <c r="T75" s="28" t="n">
        <f aca="false">IF($C75=0,"",H75/$C75)</f>
        <v>0.368421052631579</v>
      </c>
      <c r="U75" s="28" t="n">
        <f aca="false">IF($C75=0,"",I75/$C75)</f>
        <v>0.210526315789474</v>
      </c>
      <c r="V75" s="29" t="n">
        <f aca="false">IF($C75=0,"",K75/$C75)</f>
        <v>-0.0526315789473684</v>
      </c>
      <c r="W75" s="29" t="n">
        <f aca="false">IF($C75=0,"",M75/$C75)</f>
        <v>-0.0607631578947368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26</v>
      </c>
      <c r="D76" s="26" t="n">
        <v>8</v>
      </c>
      <c r="E76" s="26" t="n">
        <v>15</v>
      </c>
      <c r="F76" s="26" t="n">
        <v>18</v>
      </c>
      <c r="G76" s="26" t="n">
        <v>17</v>
      </c>
      <c r="H76" s="26" t="n">
        <v>15</v>
      </c>
      <c r="I76" s="26" t="n">
        <v>8</v>
      </c>
      <c r="J76" s="26" t="n">
        <v>0</v>
      </c>
      <c r="K76" s="27" t="n">
        <v>12</v>
      </c>
      <c r="L76" s="27" t="n">
        <v>0.2081</v>
      </c>
      <c r="M76" s="19" t="n">
        <f aca="false">K76-L76</f>
        <v>11.7919</v>
      </c>
      <c r="N76" s="26" t="n">
        <v>4</v>
      </c>
      <c r="O76" s="26" t="n">
        <v>4</v>
      </c>
      <c r="P76" s="28" t="n">
        <f aca="false">IF($C76=0,"",D76/$C76)</f>
        <v>0.307692307692308</v>
      </c>
      <c r="Q76" s="28" t="n">
        <f aca="false">IF($C76=0,"",E76/$C76)</f>
        <v>0.576923076923077</v>
      </c>
      <c r="R76" s="28" t="n">
        <f aca="false">IF($C76=0,"",F76/$C76)</f>
        <v>0.692307692307692</v>
      </c>
      <c r="S76" s="28" t="n">
        <f aca="false">IF($C76=0,"",G76/$C76)</f>
        <v>0.653846153846154</v>
      </c>
      <c r="T76" s="28" t="n">
        <f aca="false">IF($C76=0,"",H76/$C76)</f>
        <v>0.576923076923077</v>
      </c>
      <c r="U76" s="28" t="n">
        <f aca="false">IF($C76=0,"",I76/$C76)</f>
        <v>0.307692307692308</v>
      </c>
      <c r="V76" s="29" t="n">
        <f aca="false">IF($C76=0,"",K76/$C76)</f>
        <v>0.461538461538462</v>
      </c>
      <c r="W76" s="29" t="n">
        <f aca="false">IF($C76=0,"",M76/$C76)</f>
        <v>0.453534615384615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24</v>
      </c>
      <c r="D77" s="26" t="n">
        <v>5</v>
      </c>
      <c r="E77" s="26" t="n">
        <v>11</v>
      </c>
      <c r="F77" s="26" t="n">
        <v>16</v>
      </c>
      <c r="G77" s="26" t="n">
        <v>14</v>
      </c>
      <c r="H77" s="26" t="n">
        <v>11</v>
      </c>
      <c r="I77" s="26" t="n">
        <v>5</v>
      </c>
      <c r="J77" s="26" t="n">
        <v>0</v>
      </c>
      <c r="K77" s="27" t="n">
        <v>3</v>
      </c>
      <c r="L77" s="27" t="n">
        <v>0.1772</v>
      </c>
      <c r="M77" s="19" t="n">
        <f aca="false">K77-L77</f>
        <v>2.8228</v>
      </c>
      <c r="N77" s="26" t="n">
        <v>4</v>
      </c>
      <c r="O77" s="26" t="n">
        <v>6</v>
      </c>
      <c r="P77" s="28" t="n">
        <f aca="false">IF($C77=0,"",D77/$C77)</f>
        <v>0.208333333333333</v>
      </c>
      <c r="Q77" s="28" t="n">
        <f aca="false">IF($C77=0,"",E77/$C77)</f>
        <v>0.458333333333333</v>
      </c>
      <c r="R77" s="28" t="n">
        <f aca="false">IF($C77=0,"",F77/$C77)</f>
        <v>0.666666666666667</v>
      </c>
      <c r="S77" s="28" t="n">
        <f aca="false">IF($C77=0,"",G77/$C77)</f>
        <v>0.583333333333333</v>
      </c>
      <c r="T77" s="28" t="n">
        <f aca="false">IF($C77=0,"",H77/$C77)</f>
        <v>0.458333333333333</v>
      </c>
      <c r="U77" s="28" t="n">
        <f aca="false">IF($C77=0,"",I77/$C77)</f>
        <v>0.208333333333333</v>
      </c>
      <c r="V77" s="29" t="n">
        <f aca="false">IF($C77=0,"",K77/$C77)</f>
        <v>0.125</v>
      </c>
      <c r="W77" s="29" t="n">
        <f aca="false">IF($C77=0,"",M77/$C77)</f>
        <v>0.117616666666667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18</v>
      </c>
      <c r="D78" s="26" t="n">
        <v>3</v>
      </c>
      <c r="E78" s="26" t="n">
        <v>12</v>
      </c>
      <c r="F78" s="26" t="n">
        <v>16</v>
      </c>
      <c r="G78" s="26" t="n">
        <v>14</v>
      </c>
      <c r="H78" s="26" t="n">
        <v>12</v>
      </c>
      <c r="I78" s="26" t="n">
        <v>3</v>
      </c>
      <c r="J78" s="26" t="n">
        <v>0</v>
      </c>
      <c r="K78" s="27" t="n">
        <v>9</v>
      </c>
      <c r="L78" s="27" t="n">
        <v>0.1221</v>
      </c>
      <c r="M78" s="19" t="n">
        <f aca="false">K78-L78</f>
        <v>8.8779</v>
      </c>
      <c r="N78" s="26" t="n">
        <v>5</v>
      </c>
      <c r="O78" s="26" t="n">
        <v>2</v>
      </c>
      <c r="P78" s="28" t="n">
        <f aca="false">IF($C78=0,"",D78/$C78)</f>
        <v>0.166666666666667</v>
      </c>
      <c r="Q78" s="28" t="n">
        <f aca="false">IF($C78=0,"",E78/$C78)</f>
        <v>0.666666666666667</v>
      </c>
      <c r="R78" s="28" t="n">
        <f aca="false">IF($C78=0,"",F78/$C78)</f>
        <v>0.888888888888889</v>
      </c>
      <c r="S78" s="28" t="n">
        <f aca="false">IF($C78=0,"",G78/$C78)</f>
        <v>0.777777777777778</v>
      </c>
      <c r="T78" s="28" t="n">
        <f aca="false">IF($C78=0,"",H78/$C78)</f>
        <v>0.666666666666667</v>
      </c>
      <c r="U78" s="28" t="n">
        <f aca="false">IF($C78=0,"",I78/$C78)</f>
        <v>0.166666666666667</v>
      </c>
      <c r="V78" s="29" t="n">
        <f aca="false">IF($C78=0,"",K78/$C78)</f>
        <v>0.5</v>
      </c>
      <c r="W78" s="29" t="n">
        <f aca="false">IF($C78=0,"",M78/$C78)</f>
        <v>0.493216666666667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22</v>
      </c>
      <c r="D79" s="26" t="n">
        <v>4</v>
      </c>
      <c r="E79" s="26" t="n">
        <v>8</v>
      </c>
      <c r="F79" s="26" t="n">
        <v>14</v>
      </c>
      <c r="G79" s="26" t="n">
        <v>13</v>
      </c>
      <c r="H79" s="26" t="n">
        <v>8</v>
      </c>
      <c r="I79" s="26" t="n">
        <v>4</v>
      </c>
      <c r="J79" s="26" t="n">
        <v>0</v>
      </c>
      <c r="K79" s="27" t="n">
        <v>-2</v>
      </c>
      <c r="L79" s="27" t="n">
        <v>0.1546</v>
      </c>
      <c r="M79" s="19" t="n">
        <f aca="false">K79-L79</f>
        <v>-2.1546</v>
      </c>
      <c r="N79" s="26" t="n">
        <v>2</v>
      </c>
      <c r="O79" s="26" t="n">
        <v>5</v>
      </c>
      <c r="P79" s="28" t="n">
        <f aca="false">IF($C79=0,"",D79/$C79)</f>
        <v>0.181818181818182</v>
      </c>
      <c r="Q79" s="28" t="n">
        <f aca="false">IF($C79=0,"",E79/$C79)</f>
        <v>0.363636363636364</v>
      </c>
      <c r="R79" s="28" t="n">
        <f aca="false">IF($C79=0,"",F79/$C79)</f>
        <v>0.636363636363636</v>
      </c>
      <c r="S79" s="28" t="n">
        <f aca="false">IF($C79=0,"",G79/$C79)</f>
        <v>0.590909090909091</v>
      </c>
      <c r="T79" s="28" t="n">
        <f aca="false">IF($C79=0,"",H79/$C79)</f>
        <v>0.363636363636364</v>
      </c>
      <c r="U79" s="28" t="n">
        <f aca="false">IF($C79=0,"",I79/$C79)</f>
        <v>0.181818181818182</v>
      </c>
      <c r="V79" s="29" t="n">
        <f aca="false">IF($C79=0,"",K79/$C79)</f>
        <v>-0.0909090909090909</v>
      </c>
      <c r="W79" s="29" t="n">
        <f aca="false">IF($C79=0,"",M79/$C79)</f>
        <v>-0.0979363636363636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0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-2</v>
      </c>
      <c r="L80" s="27" t="n">
        <v>0.0169</v>
      </c>
      <c r="M80" s="19" t="n">
        <f aca="false">K80-L80</f>
        <v>-2.0169</v>
      </c>
      <c r="N80" s="26" t="n">
        <v>0</v>
      </c>
      <c r="O80" s="26" t="n">
        <v>2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-1.00845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185</v>
      </c>
      <c r="D81" s="30" t="n">
        <f aca="false">SUM(D71:D80)</f>
        <v>44</v>
      </c>
      <c r="E81" s="30" t="n">
        <f aca="false">SUM(E71:E80)</f>
        <v>85</v>
      </c>
      <c r="F81" s="30" t="n">
        <f aca="false">SUM(F71:F80)</f>
        <v>125</v>
      </c>
      <c r="G81" s="30" t="n">
        <f aca="false">SUM(G71:G80)</f>
        <v>105</v>
      </c>
      <c r="H81" s="30" t="n">
        <f aca="false">SUM(H71:H80)</f>
        <v>85</v>
      </c>
      <c r="I81" s="30" t="n">
        <f aca="false">SUM(I71:I80)</f>
        <v>44</v>
      </c>
      <c r="J81" s="30" t="n">
        <f aca="false">SUM(J71:J80)</f>
        <v>0</v>
      </c>
      <c r="K81" s="31" t="n">
        <f aca="false">SUM(K71:K80)</f>
        <v>29</v>
      </c>
      <c r="L81" s="31" t="n">
        <f aca="false">SUM(L71:L80)</f>
        <v>1.1378</v>
      </c>
      <c r="M81" s="31" t="n">
        <f aca="false">K81-L81</f>
        <v>27.8622</v>
      </c>
      <c r="N81" s="32" t="n">
        <v>5</v>
      </c>
      <c r="O81" s="32" t="n">
        <v>7</v>
      </c>
      <c r="P81" s="33" t="n">
        <f aca="false">IF($C81=0,"",D81/$C81)</f>
        <v>0.237837837837838</v>
      </c>
      <c r="Q81" s="33" t="n">
        <f aca="false">IF($C81=0,"",E81/$C81)</f>
        <v>0.45945945945946</v>
      </c>
      <c r="R81" s="33" t="n">
        <f aca="false">IF($C81=0,"",F81/$C81)</f>
        <v>0.675675675675676</v>
      </c>
      <c r="S81" s="33" t="n">
        <f aca="false">IF($C81=0,"",G81/$C81)</f>
        <v>0.567567567567568</v>
      </c>
      <c r="T81" s="33" t="n">
        <f aca="false">IF($C81=0,"",H81/$C81)</f>
        <v>0.45945945945946</v>
      </c>
      <c r="U81" s="33" t="n">
        <f aca="false">IF($C81=0,"",I81/$C81)</f>
        <v>0.237837837837838</v>
      </c>
      <c r="V81" s="34" t="n">
        <f aca="false">IF($C81=0,"",K81/$C81)</f>
        <v>0.156756756756757</v>
      </c>
      <c r="W81" s="34" t="n">
        <f aca="false">IF($C81=0,"",M81/$C81)</f>
        <v>0.150606486486487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1388</v>
      </c>
      <c r="D82" s="5" t="n">
        <f aca="false">D18+D31+D44+D57+D70+D81</f>
        <v>349</v>
      </c>
      <c r="E82" s="5" t="n">
        <f aca="false">E18+E31+E44+E57+E70+E81</f>
        <v>630</v>
      </c>
      <c r="F82" s="5" t="n">
        <f aca="false">F18+F31+F44+F57+F70+F81</f>
        <v>920</v>
      </c>
      <c r="G82" s="5" t="n">
        <f aca="false">G18+G31+G44+G57+G70+G81</f>
        <v>769</v>
      </c>
      <c r="H82" s="5" t="n">
        <f aca="false">H18+H31+H44+H57+H70+H81</f>
        <v>630</v>
      </c>
      <c r="I82" s="5" t="n">
        <f aca="false">I18+I31+I44+I57+I70+I81</f>
        <v>349</v>
      </c>
      <c r="J82" s="5" t="n">
        <f aca="false">J18+J31+J44+J57+J70+J81</f>
        <v>0</v>
      </c>
      <c r="K82" s="21" t="n">
        <f aca="false">K18+K31+K44+K57+K70+K81</f>
        <v>221</v>
      </c>
      <c r="L82" s="21" t="n">
        <f aca="false">L18+L31+L44+L57+L70+L81</f>
        <v>35.2566</v>
      </c>
      <c r="M82" s="21" t="n">
        <f aca="false">K82-L82</f>
        <v>185.7434</v>
      </c>
      <c r="N82" s="35" t="n">
        <v>8</v>
      </c>
      <c r="O82" s="35" t="n">
        <v>17</v>
      </c>
      <c r="P82" s="36" t="n">
        <f aca="false">IF($C82=0,"",D82/$C82)</f>
        <v>0.251440922190202</v>
      </c>
      <c r="Q82" s="36" t="n">
        <f aca="false">IF($C82=0,"",E82/$C82)</f>
        <v>0.453890489913545</v>
      </c>
      <c r="R82" s="36" t="n">
        <f aca="false">IF($C82=0,"",F82/$C82)</f>
        <v>0.662824207492795</v>
      </c>
      <c r="S82" s="36" t="n">
        <f aca="false">IF($C82=0,"",G82/$C82)</f>
        <v>0.554034582132565</v>
      </c>
      <c r="T82" s="36" t="n">
        <f aca="false">IF($C82=0,"",H82/$C82)</f>
        <v>0.453890489913545</v>
      </c>
      <c r="U82" s="36" t="n">
        <f aca="false">IF($C82=0,"",I82/$C82)</f>
        <v>0.251440922190202</v>
      </c>
      <c r="V82" s="37" t="n">
        <f aca="false">IF($C82=0,"",K82/$C82)</f>
        <v>0.159221902017291</v>
      </c>
      <c r="W82" s="37" t="n">
        <f aca="false">IF($C82=0,"",M82/$C82)</f>
        <v>0.133820893371758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199</v>
      </c>
    </row>
    <row r="2" customFormat="false" ht="42" hidden="false" customHeight="true" outlineLevel="0" collapsed="false">
      <c r="A2" s="4" t="s">
        <v>200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17</v>
      </c>
      <c r="D6" s="26" t="n">
        <v>3</v>
      </c>
      <c r="E6" s="26" t="n">
        <v>10</v>
      </c>
      <c r="F6" s="26" t="n">
        <v>10</v>
      </c>
      <c r="G6" s="26" t="n">
        <v>9</v>
      </c>
      <c r="H6" s="26" t="n">
        <v>6</v>
      </c>
      <c r="I6" s="26" t="n">
        <v>3</v>
      </c>
      <c r="J6" s="26" t="n">
        <v>0</v>
      </c>
      <c r="K6" s="27" t="n">
        <v>-1.3</v>
      </c>
      <c r="L6" s="27" t="n">
        <v>0.5219</v>
      </c>
      <c r="M6" s="19" t="n">
        <f aca="false">K6-L6</f>
        <v>-1.8219</v>
      </c>
      <c r="N6" s="26" t="n">
        <v>4</v>
      </c>
      <c r="O6" s="26" t="n">
        <v>4</v>
      </c>
      <c r="P6" s="28" t="n">
        <f aca="false">IF($C6=0,"",D6/$C6)</f>
        <v>0.176470588235294</v>
      </c>
      <c r="Q6" s="28" t="n">
        <f aca="false">IF($C6=0,"",E6/$C6)</f>
        <v>0.588235294117647</v>
      </c>
      <c r="R6" s="28" t="n">
        <f aca="false">IF($C6=0,"",F6/$C6)</f>
        <v>0.588235294117647</v>
      </c>
      <c r="S6" s="28" t="n">
        <f aca="false">IF($C6=0,"",G6/$C6)</f>
        <v>0.529411764705882</v>
      </c>
      <c r="T6" s="28" t="n">
        <f aca="false">IF($C6=0,"",H6/$C6)</f>
        <v>0.352941176470588</v>
      </c>
      <c r="U6" s="28" t="n">
        <f aca="false">IF($C6=0,"",I6/$C6)</f>
        <v>0.176470588235294</v>
      </c>
      <c r="V6" s="29" t="n">
        <f aca="false">IF($C6=0,"",K6/$C6)</f>
        <v>-0.0764705882352941</v>
      </c>
      <c r="W6" s="29" t="n">
        <f aca="false">IF($C6=0,"",M6/$C6)</f>
        <v>-0.107170588235294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16</v>
      </c>
      <c r="D7" s="26" t="n">
        <v>7</v>
      </c>
      <c r="E7" s="26" t="n">
        <v>10</v>
      </c>
      <c r="F7" s="26" t="n">
        <v>10</v>
      </c>
      <c r="G7" s="26" t="n">
        <v>10</v>
      </c>
      <c r="H7" s="26" t="n">
        <v>9</v>
      </c>
      <c r="I7" s="26" t="n">
        <v>7</v>
      </c>
      <c r="J7" s="26" t="n">
        <v>0</v>
      </c>
      <c r="K7" s="27" t="n">
        <v>2.7</v>
      </c>
      <c r="L7" s="27" t="n">
        <v>0.5564</v>
      </c>
      <c r="M7" s="19" t="n">
        <f aca="false">K7-L7</f>
        <v>2.1436</v>
      </c>
      <c r="N7" s="26" t="n">
        <v>4</v>
      </c>
      <c r="O7" s="26" t="n">
        <v>3</v>
      </c>
      <c r="P7" s="28" t="n">
        <f aca="false">IF($C7=0,"",D7/$C7)</f>
        <v>0.4375</v>
      </c>
      <c r="Q7" s="28" t="n">
        <f aca="false">IF($C7=0,"",E7/$C7)</f>
        <v>0.625</v>
      </c>
      <c r="R7" s="28" t="n">
        <f aca="false">IF($C7=0,"",F7/$C7)</f>
        <v>0.625</v>
      </c>
      <c r="S7" s="28" t="n">
        <f aca="false">IF($C7=0,"",G7/$C7)</f>
        <v>0.625</v>
      </c>
      <c r="T7" s="28" t="n">
        <f aca="false">IF($C7=0,"",H7/$C7)</f>
        <v>0.5625</v>
      </c>
      <c r="U7" s="28" t="n">
        <f aca="false">IF($C7=0,"",I7/$C7)</f>
        <v>0.4375</v>
      </c>
      <c r="V7" s="29" t="n">
        <f aca="false">IF($C7=0,"",K7/$C7)</f>
        <v>0.16875</v>
      </c>
      <c r="W7" s="29" t="n">
        <f aca="false">IF($C7=0,"",M7/$C7)</f>
        <v>0.133975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18</v>
      </c>
      <c r="D8" s="26" t="n">
        <v>4</v>
      </c>
      <c r="E8" s="26" t="n">
        <v>12</v>
      </c>
      <c r="F8" s="26" t="n">
        <v>12</v>
      </c>
      <c r="G8" s="26" t="n">
        <v>8</v>
      </c>
      <c r="H8" s="26" t="n">
        <v>7</v>
      </c>
      <c r="I8" s="26" t="n">
        <v>4</v>
      </c>
      <c r="J8" s="26" t="n">
        <v>0</v>
      </c>
      <c r="K8" s="27" t="n">
        <v>0.84</v>
      </c>
      <c r="L8" s="27" t="n">
        <v>0.5378</v>
      </c>
      <c r="M8" s="19" t="n">
        <f aca="false">K8-L8</f>
        <v>0.3022</v>
      </c>
      <c r="N8" s="26" t="n">
        <v>7</v>
      </c>
      <c r="O8" s="26" t="n">
        <v>2</v>
      </c>
      <c r="P8" s="28" t="n">
        <f aca="false">IF($C8=0,"",D8/$C8)</f>
        <v>0.222222222222222</v>
      </c>
      <c r="Q8" s="28" t="n">
        <f aca="false">IF($C8=0,"",E8/$C8)</f>
        <v>0.666666666666667</v>
      </c>
      <c r="R8" s="28" t="n">
        <f aca="false">IF($C8=0,"",F8/$C8)</f>
        <v>0.666666666666667</v>
      </c>
      <c r="S8" s="28" t="n">
        <f aca="false">IF($C8=0,"",G8/$C8)</f>
        <v>0.444444444444444</v>
      </c>
      <c r="T8" s="28" t="n">
        <f aca="false">IF($C8=0,"",H8/$C8)</f>
        <v>0.388888888888889</v>
      </c>
      <c r="U8" s="28" t="n">
        <f aca="false">IF($C8=0,"",I8/$C8)</f>
        <v>0.222222222222222</v>
      </c>
      <c r="V8" s="29" t="n">
        <f aca="false">IF($C8=0,"",K8/$C8)</f>
        <v>0.0466666666666667</v>
      </c>
      <c r="W8" s="29" t="n">
        <f aca="false">IF($C8=0,"",M8/$C8)</f>
        <v>0.0167888888888889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15</v>
      </c>
      <c r="D9" s="26" t="n">
        <v>3</v>
      </c>
      <c r="E9" s="26" t="n">
        <v>6</v>
      </c>
      <c r="F9" s="26" t="n">
        <v>6</v>
      </c>
      <c r="G9" s="26" t="n">
        <v>6</v>
      </c>
      <c r="H9" s="26" t="n">
        <v>5</v>
      </c>
      <c r="I9" s="26" t="n">
        <v>3</v>
      </c>
      <c r="J9" s="26" t="n">
        <v>0</v>
      </c>
      <c r="K9" s="27" t="n">
        <v>-4.38</v>
      </c>
      <c r="L9" s="27" t="n">
        <v>0.4528</v>
      </c>
      <c r="M9" s="19" t="n">
        <f aca="false">K9-L9</f>
        <v>-4.8328</v>
      </c>
      <c r="N9" s="26" t="n">
        <v>1</v>
      </c>
      <c r="O9" s="26" t="n">
        <v>2</v>
      </c>
      <c r="P9" s="28" t="n">
        <f aca="false">IF($C9=0,"",D9/$C9)</f>
        <v>0.2</v>
      </c>
      <c r="Q9" s="28" t="n">
        <f aca="false">IF($C9=0,"",E9/$C9)</f>
        <v>0.4</v>
      </c>
      <c r="R9" s="28" t="n">
        <f aca="false">IF($C9=0,"",F9/$C9)</f>
        <v>0.4</v>
      </c>
      <c r="S9" s="28" t="n">
        <f aca="false">IF($C9=0,"",G9/$C9)</f>
        <v>0.4</v>
      </c>
      <c r="T9" s="28" t="n">
        <f aca="false">IF($C9=0,"",H9/$C9)</f>
        <v>0.333333333333333</v>
      </c>
      <c r="U9" s="28" t="n">
        <f aca="false">IF($C9=0,"",I9/$C9)</f>
        <v>0.2</v>
      </c>
      <c r="V9" s="29" t="n">
        <f aca="false">IF($C9=0,"",K9/$C9)</f>
        <v>-0.292</v>
      </c>
      <c r="W9" s="29" t="n">
        <f aca="false">IF($C9=0,"",M9/$C9)</f>
        <v>-0.322186666666667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15</v>
      </c>
      <c r="D10" s="26" t="n">
        <v>6</v>
      </c>
      <c r="E10" s="26" t="n">
        <v>13</v>
      </c>
      <c r="F10" s="26" t="n">
        <v>13</v>
      </c>
      <c r="G10" s="26" t="n">
        <v>10</v>
      </c>
      <c r="H10" s="26" t="n">
        <v>7</v>
      </c>
      <c r="I10" s="26" t="n">
        <v>6</v>
      </c>
      <c r="J10" s="26" t="n">
        <v>0</v>
      </c>
      <c r="K10" s="27" t="n">
        <v>5.56</v>
      </c>
      <c r="L10" s="27" t="n">
        <v>0.4939</v>
      </c>
      <c r="M10" s="19" t="n">
        <f aca="false">K10-L10</f>
        <v>5.0661</v>
      </c>
      <c r="N10" s="26" t="n">
        <v>7</v>
      </c>
      <c r="O10" s="26" t="n">
        <v>2</v>
      </c>
      <c r="P10" s="28" t="n">
        <f aca="false">IF($C10=0,"",D10/$C10)</f>
        <v>0.4</v>
      </c>
      <c r="Q10" s="28" t="n">
        <f aca="false">IF($C10=0,"",E10/$C10)</f>
        <v>0.866666666666667</v>
      </c>
      <c r="R10" s="28" t="n">
        <f aca="false">IF($C10=0,"",F10/$C10)</f>
        <v>0.866666666666667</v>
      </c>
      <c r="S10" s="28" t="n">
        <f aca="false">IF($C10=0,"",G10/$C10)</f>
        <v>0.666666666666667</v>
      </c>
      <c r="T10" s="28" t="n">
        <f aca="false">IF($C10=0,"",H10/$C10)</f>
        <v>0.466666666666667</v>
      </c>
      <c r="U10" s="28" t="n">
        <f aca="false">IF($C10=0,"",I10/$C10)</f>
        <v>0.4</v>
      </c>
      <c r="V10" s="29" t="n">
        <f aca="false">IF($C10=0,"",K10/$C10)</f>
        <v>0.370666666666667</v>
      </c>
      <c r="W10" s="29" t="n">
        <f aca="false">IF($C10=0,"",M10/$C10)</f>
        <v>0.33774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8</v>
      </c>
      <c r="D11" s="26" t="n">
        <v>2</v>
      </c>
      <c r="E11" s="26" t="n">
        <v>6</v>
      </c>
      <c r="F11" s="26" t="n">
        <v>6</v>
      </c>
      <c r="G11" s="26" t="n">
        <v>5</v>
      </c>
      <c r="H11" s="26" t="n">
        <v>3</v>
      </c>
      <c r="I11" s="26" t="n">
        <v>2</v>
      </c>
      <c r="J11" s="26" t="n">
        <v>0</v>
      </c>
      <c r="K11" s="27" t="n">
        <v>1.12</v>
      </c>
      <c r="L11" s="27" t="n">
        <v>0.203</v>
      </c>
      <c r="M11" s="19" t="n">
        <f aca="false">K11-L11</f>
        <v>0.917</v>
      </c>
      <c r="N11" s="26" t="n">
        <v>3</v>
      </c>
      <c r="O11" s="26" t="n">
        <v>1</v>
      </c>
      <c r="P11" s="28" t="n">
        <f aca="false">IF($C11=0,"",D11/$C11)</f>
        <v>0.25</v>
      </c>
      <c r="Q11" s="28" t="n">
        <f aca="false">IF($C11=0,"",E11/$C11)</f>
        <v>0.75</v>
      </c>
      <c r="R11" s="28" t="n">
        <f aca="false">IF($C11=0,"",F11/$C11)</f>
        <v>0.75</v>
      </c>
      <c r="S11" s="28" t="n">
        <f aca="false">IF($C11=0,"",G11/$C11)</f>
        <v>0.625</v>
      </c>
      <c r="T11" s="28" t="n">
        <f aca="false">IF($C11=0,"",H11/$C11)</f>
        <v>0.375</v>
      </c>
      <c r="U11" s="28" t="n">
        <f aca="false">IF($C11=0,"",I11/$C11)</f>
        <v>0.25</v>
      </c>
      <c r="V11" s="29" t="n">
        <f aca="false">IF($C11=0,"",K11/$C11)</f>
        <v>0.14</v>
      </c>
      <c r="W11" s="29" t="n">
        <f aca="false">IF($C11=0,"",M11/$C11)</f>
        <v>0.114625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20</v>
      </c>
      <c r="D12" s="26" t="n">
        <v>5</v>
      </c>
      <c r="E12" s="26" t="n">
        <v>13</v>
      </c>
      <c r="F12" s="26" t="n">
        <v>13</v>
      </c>
      <c r="G12" s="26" t="n">
        <v>10</v>
      </c>
      <c r="H12" s="26" t="n">
        <v>10</v>
      </c>
      <c r="I12" s="26" t="n">
        <v>5</v>
      </c>
      <c r="J12" s="26" t="n">
        <v>0</v>
      </c>
      <c r="K12" s="27" t="n">
        <v>2.06</v>
      </c>
      <c r="L12" s="27" t="n">
        <v>1.0687</v>
      </c>
      <c r="M12" s="19" t="n">
        <f aca="false">K12-L12</f>
        <v>0.9913</v>
      </c>
      <c r="N12" s="26" t="n">
        <v>5</v>
      </c>
      <c r="O12" s="26" t="n">
        <v>2</v>
      </c>
      <c r="P12" s="28" t="n">
        <f aca="false">IF($C12=0,"",D12/$C12)</f>
        <v>0.25</v>
      </c>
      <c r="Q12" s="28" t="n">
        <f aca="false">IF($C12=0,"",E12/$C12)</f>
        <v>0.65</v>
      </c>
      <c r="R12" s="28" t="n">
        <f aca="false">IF($C12=0,"",F12/$C12)</f>
        <v>0.65</v>
      </c>
      <c r="S12" s="28" t="n">
        <f aca="false">IF($C12=0,"",G12/$C12)</f>
        <v>0.5</v>
      </c>
      <c r="T12" s="28" t="n">
        <f aca="false">IF($C12=0,"",H12/$C12)</f>
        <v>0.5</v>
      </c>
      <c r="U12" s="28" t="n">
        <f aca="false">IF($C12=0,"",I12/$C12)</f>
        <v>0.25</v>
      </c>
      <c r="V12" s="29" t="n">
        <f aca="false">IF($C12=0,"",K12/$C12)</f>
        <v>0.103</v>
      </c>
      <c r="W12" s="29" t="n">
        <f aca="false">IF($C12=0,"",M12/$C12)</f>
        <v>0.049565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14</v>
      </c>
      <c r="D13" s="26" t="n">
        <v>3</v>
      </c>
      <c r="E13" s="26" t="n">
        <v>12</v>
      </c>
      <c r="F13" s="26" t="n">
        <v>12</v>
      </c>
      <c r="G13" s="26" t="n">
        <v>11</v>
      </c>
      <c r="H13" s="26" t="n">
        <v>7</v>
      </c>
      <c r="I13" s="26" t="n">
        <v>3</v>
      </c>
      <c r="J13" s="26" t="n">
        <v>0</v>
      </c>
      <c r="K13" s="27" t="n">
        <v>4.54</v>
      </c>
      <c r="L13" s="27" t="n">
        <v>0.7009</v>
      </c>
      <c r="M13" s="19" t="n">
        <f aca="false">K13-L13</f>
        <v>3.8391</v>
      </c>
      <c r="N13" s="26" t="n">
        <v>11</v>
      </c>
      <c r="O13" s="26" t="n">
        <v>2</v>
      </c>
      <c r="P13" s="28" t="n">
        <f aca="false">IF($C13=0,"",D13/$C13)</f>
        <v>0.214285714285714</v>
      </c>
      <c r="Q13" s="28" t="n">
        <f aca="false">IF($C13=0,"",E13/$C13)</f>
        <v>0.857142857142857</v>
      </c>
      <c r="R13" s="28" t="n">
        <f aca="false">IF($C13=0,"",F13/$C13)</f>
        <v>0.857142857142857</v>
      </c>
      <c r="S13" s="28" t="n">
        <f aca="false">IF($C13=0,"",G13/$C13)</f>
        <v>0.785714285714286</v>
      </c>
      <c r="T13" s="28" t="n">
        <f aca="false">IF($C13=0,"",H13/$C13)</f>
        <v>0.5</v>
      </c>
      <c r="U13" s="28" t="n">
        <f aca="false">IF($C13=0,"",I13/$C13)</f>
        <v>0.214285714285714</v>
      </c>
      <c r="V13" s="29" t="n">
        <f aca="false">IF($C13=0,"",K13/$C13)</f>
        <v>0.324285714285714</v>
      </c>
      <c r="W13" s="29" t="n">
        <f aca="false">IF($C13=0,"",M13/$C13)</f>
        <v>0.274221428571429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12</v>
      </c>
      <c r="D14" s="26" t="n">
        <v>3</v>
      </c>
      <c r="E14" s="26" t="n">
        <v>8</v>
      </c>
      <c r="F14" s="26" t="n">
        <v>8</v>
      </c>
      <c r="G14" s="26" t="n">
        <v>7</v>
      </c>
      <c r="H14" s="26" t="n">
        <v>7</v>
      </c>
      <c r="I14" s="26" t="n">
        <v>3</v>
      </c>
      <c r="J14" s="26" t="n">
        <v>0</v>
      </c>
      <c r="K14" s="27" t="n">
        <v>2.06</v>
      </c>
      <c r="L14" s="27" t="n">
        <v>0.3455</v>
      </c>
      <c r="M14" s="19" t="n">
        <f aca="false">K14-L14</f>
        <v>1.7145</v>
      </c>
      <c r="N14" s="26" t="n">
        <v>7</v>
      </c>
      <c r="O14" s="26" t="n">
        <v>3</v>
      </c>
      <c r="P14" s="28" t="n">
        <f aca="false">IF($C14=0,"",D14/$C14)</f>
        <v>0.25</v>
      </c>
      <c r="Q14" s="28" t="n">
        <f aca="false">IF($C14=0,"",E14/$C14)</f>
        <v>0.666666666666667</v>
      </c>
      <c r="R14" s="28" t="n">
        <f aca="false">IF($C14=0,"",F14/$C14)</f>
        <v>0.666666666666667</v>
      </c>
      <c r="S14" s="28" t="n">
        <f aca="false">IF($C14=0,"",G14/$C14)</f>
        <v>0.583333333333333</v>
      </c>
      <c r="T14" s="28" t="n">
        <f aca="false">IF($C14=0,"",H14/$C14)</f>
        <v>0.583333333333333</v>
      </c>
      <c r="U14" s="28" t="n">
        <f aca="false">IF($C14=0,"",I14/$C14)</f>
        <v>0.25</v>
      </c>
      <c r="V14" s="29" t="n">
        <f aca="false">IF($C14=0,"",K14/$C14)</f>
        <v>0.171666666666667</v>
      </c>
      <c r="W14" s="29" t="n">
        <f aca="false">IF($C14=0,"",M14/$C14)</f>
        <v>0.142875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21</v>
      </c>
      <c r="D15" s="26" t="n">
        <v>3</v>
      </c>
      <c r="E15" s="26" t="n">
        <v>13</v>
      </c>
      <c r="F15" s="26" t="n">
        <v>13</v>
      </c>
      <c r="G15" s="26" t="n">
        <v>9</v>
      </c>
      <c r="H15" s="26" t="n">
        <v>9</v>
      </c>
      <c r="I15" s="26" t="n">
        <v>3</v>
      </c>
      <c r="J15" s="26" t="n">
        <v>0</v>
      </c>
      <c r="K15" s="27" t="n">
        <v>-0.14</v>
      </c>
      <c r="L15" s="27" t="n">
        <v>0.7627</v>
      </c>
      <c r="M15" s="19" t="n">
        <f aca="false">K15-L15</f>
        <v>-0.9027</v>
      </c>
      <c r="N15" s="26" t="n">
        <v>4</v>
      </c>
      <c r="O15" s="26" t="n">
        <v>2</v>
      </c>
      <c r="P15" s="28" t="n">
        <f aca="false">IF($C15=0,"",D15/$C15)</f>
        <v>0.142857142857143</v>
      </c>
      <c r="Q15" s="28" t="n">
        <f aca="false">IF($C15=0,"",E15/$C15)</f>
        <v>0.619047619047619</v>
      </c>
      <c r="R15" s="28" t="n">
        <f aca="false">IF($C15=0,"",F15/$C15)</f>
        <v>0.619047619047619</v>
      </c>
      <c r="S15" s="28" t="n">
        <f aca="false">IF($C15=0,"",G15/$C15)</f>
        <v>0.428571428571429</v>
      </c>
      <c r="T15" s="28" t="n">
        <f aca="false">IF($C15=0,"",H15/$C15)</f>
        <v>0.428571428571429</v>
      </c>
      <c r="U15" s="28" t="n">
        <f aca="false">IF($C15=0,"",I15/$C15)</f>
        <v>0.142857142857143</v>
      </c>
      <c r="V15" s="29" t="n">
        <f aca="false">IF($C15=0,"",K15/$C15)</f>
        <v>-0.00666666666666667</v>
      </c>
      <c r="W15" s="29" t="n">
        <f aca="false">IF($C15=0,"",M15/$C15)</f>
        <v>-0.0429857142857143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13</v>
      </c>
      <c r="D16" s="26" t="n">
        <v>4</v>
      </c>
      <c r="E16" s="26" t="n">
        <v>10</v>
      </c>
      <c r="F16" s="26" t="n">
        <v>10</v>
      </c>
      <c r="G16" s="26" t="n">
        <v>8</v>
      </c>
      <c r="H16" s="26" t="n">
        <v>5</v>
      </c>
      <c r="I16" s="26" t="n">
        <v>4</v>
      </c>
      <c r="J16" s="26" t="n">
        <v>0</v>
      </c>
      <c r="K16" s="27" t="n">
        <v>2.4</v>
      </c>
      <c r="L16" s="27" t="n">
        <v>0.4119</v>
      </c>
      <c r="M16" s="19" t="n">
        <f aca="false">K16-L16</f>
        <v>1.9881</v>
      </c>
      <c r="N16" s="26" t="n">
        <v>7</v>
      </c>
      <c r="O16" s="26" t="n">
        <v>1</v>
      </c>
      <c r="P16" s="28" t="n">
        <f aca="false">IF($C16=0,"",D16/$C16)</f>
        <v>0.307692307692308</v>
      </c>
      <c r="Q16" s="28" t="n">
        <f aca="false">IF($C16=0,"",E16/$C16)</f>
        <v>0.769230769230769</v>
      </c>
      <c r="R16" s="28" t="n">
        <f aca="false">IF($C16=0,"",F16/$C16)</f>
        <v>0.769230769230769</v>
      </c>
      <c r="S16" s="28" t="n">
        <f aca="false">IF($C16=0,"",G16/$C16)</f>
        <v>0.615384615384615</v>
      </c>
      <c r="T16" s="28" t="n">
        <f aca="false">IF($C16=0,"",H16/$C16)</f>
        <v>0.384615384615385</v>
      </c>
      <c r="U16" s="28" t="n">
        <f aca="false">IF($C16=0,"",I16/$C16)</f>
        <v>0.307692307692308</v>
      </c>
      <c r="V16" s="29" t="n">
        <f aca="false">IF($C16=0,"",K16/$C16)</f>
        <v>0.184615384615385</v>
      </c>
      <c r="W16" s="29" t="n">
        <f aca="false">IF($C16=0,"",M16/$C16)</f>
        <v>0.152930769230769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11</v>
      </c>
      <c r="D17" s="26" t="n">
        <v>4</v>
      </c>
      <c r="E17" s="26" t="n">
        <v>9</v>
      </c>
      <c r="F17" s="26" t="n">
        <v>9</v>
      </c>
      <c r="G17" s="26" t="n">
        <v>8</v>
      </c>
      <c r="H17" s="26" t="n">
        <v>7</v>
      </c>
      <c r="I17" s="26" t="n">
        <v>4</v>
      </c>
      <c r="J17" s="26" t="n">
        <v>0</v>
      </c>
      <c r="K17" s="27" t="n">
        <v>4.48</v>
      </c>
      <c r="L17" s="27" t="n">
        <v>0.4381</v>
      </c>
      <c r="M17" s="19" t="n">
        <f aca="false">K17-L17</f>
        <v>4.0419</v>
      </c>
      <c r="N17" s="26" t="n">
        <v>8</v>
      </c>
      <c r="O17" s="26" t="n">
        <v>2</v>
      </c>
      <c r="P17" s="28" t="n">
        <f aca="false">IF($C17=0,"",D17/$C17)</f>
        <v>0.363636363636364</v>
      </c>
      <c r="Q17" s="28" t="n">
        <f aca="false">IF($C17=0,"",E17/$C17)</f>
        <v>0.818181818181818</v>
      </c>
      <c r="R17" s="28" t="n">
        <f aca="false">IF($C17=0,"",F17/$C17)</f>
        <v>0.818181818181818</v>
      </c>
      <c r="S17" s="28" t="n">
        <f aca="false">IF($C17=0,"",G17/$C17)</f>
        <v>0.727272727272727</v>
      </c>
      <c r="T17" s="28" t="n">
        <f aca="false">IF($C17=0,"",H17/$C17)</f>
        <v>0.636363636363636</v>
      </c>
      <c r="U17" s="28" t="n">
        <f aca="false">IF($C17=0,"",I17/$C17)</f>
        <v>0.363636363636364</v>
      </c>
      <c r="V17" s="29" t="n">
        <f aca="false">IF($C17=0,"",K17/$C17)</f>
        <v>0.407272727272727</v>
      </c>
      <c r="W17" s="29" t="n">
        <f aca="false">IF($C17=0,"",M17/$C17)</f>
        <v>0.367445454545455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180</v>
      </c>
      <c r="D18" s="30" t="n">
        <f aca="false">SUM(D6:D17)</f>
        <v>47</v>
      </c>
      <c r="E18" s="30" t="n">
        <f aca="false">SUM(E6:E17)</f>
        <v>122</v>
      </c>
      <c r="F18" s="30" t="n">
        <f aca="false">SUM(F6:F17)</f>
        <v>122</v>
      </c>
      <c r="G18" s="30" t="n">
        <f aca="false">SUM(G6:G17)</f>
        <v>101</v>
      </c>
      <c r="H18" s="30" t="n">
        <f aca="false">SUM(H6:H17)</f>
        <v>82</v>
      </c>
      <c r="I18" s="30" t="n">
        <f aca="false">SUM(I6:I17)</f>
        <v>47</v>
      </c>
      <c r="J18" s="30" t="n">
        <f aca="false">SUM(J6:J17)</f>
        <v>0</v>
      </c>
      <c r="K18" s="31" t="n">
        <f aca="false">SUM(K6:K17)</f>
        <v>19.94</v>
      </c>
      <c r="L18" s="31" t="n">
        <f aca="false">SUM(L6:L17)</f>
        <v>6.4936</v>
      </c>
      <c r="M18" s="31" t="n">
        <f aca="false">K18-L18</f>
        <v>13.4464</v>
      </c>
      <c r="N18" s="32" t="n">
        <v>18</v>
      </c>
      <c r="O18" s="32" t="n">
        <v>4</v>
      </c>
      <c r="P18" s="33" t="n">
        <f aca="false">IF($C18=0,"",D18/$C18)</f>
        <v>0.261111111111111</v>
      </c>
      <c r="Q18" s="33" t="n">
        <f aca="false">IF($C18=0,"",E18/$C18)</f>
        <v>0.677777777777778</v>
      </c>
      <c r="R18" s="33" t="n">
        <f aca="false">IF($C18=0,"",F18/$C18)</f>
        <v>0.677777777777778</v>
      </c>
      <c r="S18" s="33" t="n">
        <f aca="false">IF($C18=0,"",G18/$C18)</f>
        <v>0.561111111111111</v>
      </c>
      <c r="T18" s="33" t="n">
        <f aca="false">IF($C18=0,"",H18/$C18)</f>
        <v>0.455555555555556</v>
      </c>
      <c r="U18" s="33" t="n">
        <f aca="false">IF($C18=0,"",I18/$C18)</f>
        <v>0.261111111111111</v>
      </c>
      <c r="V18" s="34" t="n">
        <f aca="false">IF($C18=0,"",K18/$C18)</f>
        <v>0.110777777777778</v>
      </c>
      <c r="W18" s="34" t="n">
        <f aca="false">IF($C18=0,"",M18/$C18)</f>
        <v>0.0747022222222222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20</v>
      </c>
      <c r="D19" s="26" t="n">
        <v>5</v>
      </c>
      <c r="E19" s="26" t="n">
        <v>14</v>
      </c>
      <c r="F19" s="26" t="n">
        <v>14</v>
      </c>
      <c r="G19" s="26" t="n">
        <v>9</v>
      </c>
      <c r="H19" s="26" t="n">
        <v>9</v>
      </c>
      <c r="I19" s="26" t="n">
        <v>5</v>
      </c>
      <c r="J19" s="26" t="n">
        <v>0</v>
      </c>
      <c r="K19" s="27" t="n">
        <v>2.58</v>
      </c>
      <c r="L19" s="27" t="n">
        <v>0.9695</v>
      </c>
      <c r="M19" s="19" t="n">
        <f aca="false">K19-L19</f>
        <v>1.6105</v>
      </c>
      <c r="N19" s="26" t="n">
        <v>8</v>
      </c>
      <c r="O19" s="26" t="n">
        <v>3</v>
      </c>
      <c r="P19" s="28" t="n">
        <f aca="false">IF($C19=0,"",D19/$C19)</f>
        <v>0.25</v>
      </c>
      <c r="Q19" s="28" t="n">
        <f aca="false">IF($C19=0,"",E19/$C19)</f>
        <v>0.7</v>
      </c>
      <c r="R19" s="28" t="n">
        <f aca="false">IF($C19=0,"",F19/$C19)</f>
        <v>0.7</v>
      </c>
      <c r="S19" s="28" t="n">
        <f aca="false">IF($C19=0,"",G19/$C19)</f>
        <v>0.45</v>
      </c>
      <c r="T19" s="28" t="n">
        <f aca="false">IF($C19=0,"",H19/$C19)</f>
        <v>0.45</v>
      </c>
      <c r="U19" s="28" t="n">
        <f aca="false">IF($C19=0,"",I19/$C19)</f>
        <v>0.25</v>
      </c>
      <c r="V19" s="29" t="n">
        <f aca="false">IF($C19=0,"",K19/$C19)</f>
        <v>0.129</v>
      </c>
      <c r="W19" s="29" t="n">
        <f aca="false">IF($C19=0,"",M19/$C19)</f>
        <v>0.080525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19</v>
      </c>
      <c r="D20" s="26" t="n">
        <v>8</v>
      </c>
      <c r="E20" s="26" t="n">
        <v>14</v>
      </c>
      <c r="F20" s="26" t="n">
        <v>14</v>
      </c>
      <c r="G20" s="26" t="n">
        <v>13</v>
      </c>
      <c r="H20" s="26" t="n">
        <v>12</v>
      </c>
      <c r="I20" s="26" t="n">
        <v>8</v>
      </c>
      <c r="J20" s="26" t="n">
        <v>0</v>
      </c>
      <c r="K20" s="27" t="n">
        <v>6.28</v>
      </c>
      <c r="L20" s="27" t="n">
        <v>0.7746</v>
      </c>
      <c r="M20" s="19" t="n">
        <f aca="false">K20-L20</f>
        <v>5.5054</v>
      </c>
      <c r="N20" s="26" t="n">
        <v>5</v>
      </c>
      <c r="O20" s="26" t="n">
        <v>1</v>
      </c>
      <c r="P20" s="28" t="n">
        <f aca="false">IF($C20=0,"",D20/$C20)</f>
        <v>0.421052631578947</v>
      </c>
      <c r="Q20" s="28" t="n">
        <f aca="false">IF($C20=0,"",E20/$C20)</f>
        <v>0.736842105263158</v>
      </c>
      <c r="R20" s="28" t="n">
        <f aca="false">IF($C20=0,"",F20/$C20)</f>
        <v>0.736842105263158</v>
      </c>
      <c r="S20" s="28" t="n">
        <f aca="false">IF($C20=0,"",G20/$C20)</f>
        <v>0.68421052631579</v>
      </c>
      <c r="T20" s="28" t="n">
        <f aca="false">IF($C20=0,"",H20/$C20)</f>
        <v>0.631578947368421</v>
      </c>
      <c r="U20" s="28" t="n">
        <f aca="false">IF($C20=0,"",I20/$C20)</f>
        <v>0.421052631578947</v>
      </c>
      <c r="V20" s="29" t="n">
        <f aca="false">IF($C20=0,"",K20/$C20)</f>
        <v>0.330526315789474</v>
      </c>
      <c r="W20" s="29" t="n">
        <f aca="false">IF($C20=0,"",M20/$C20)</f>
        <v>0.289757894736842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24</v>
      </c>
      <c r="D21" s="26" t="n">
        <v>5</v>
      </c>
      <c r="E21" s="26" t="n">
        <v>15</v>
      </c>
      <c r="F21" s="26" t="n">
        <v>15</v>
      </c>
      <c r="G21" s="26" t="n">
        <v>13</v>
      </c>
      <c r="H21" s="26" t="n">
        <v>12</v>
      </c>
      <c r="I21" s="26" t="n">
        <v>5</v>
      </c>
      <c r="J21" s="26" t="n">
        <v>0</v>
      </c>
      <c r="K21" s="27" t="n">
        <v>1.5</v>
      </c>
      <c r="L21" s="27" t="n">
        <v>0.499</v>
      </c>
      <c r="M21" s="19" t="n">
        <f aca="false">K21-L21</f>
        <v>1.001</v>
      </c>
      <c r="N21" s="26" t="n">
        <v>3</v>
      </c>
      <c r="O21" s="26" t="n">
        <v>3</v>
      </c>
      <c r="P21" s="28" t="n">
        <f aca="false">IF($C21=0,"",D21/$C21)</f>
        <v>0.208333333333333</v>
      </c>
      <c r="Q21" s="28" t="n">
        <f aca="false">IF($C21=0,"",E21/$C21)</f>
        <v>0.625</v>
      </c>
      <c r="R21" s="28" t="n">
        <f aca="false">IF($C21=0,"",F21/$C21)</f>
        <v>0.625</v>
      </c>
      <c r="S21" s="28" t="n">
        <f aca="false">IF($C21=0,"",G21/$C21)</f>
        <v>0.541666666666667</v>
      </c>
      <c r="T21" s="28" t="n">
        <f aca="false">IF($C21=0,"",H21/$C21)</f>
        <v>0.5</v>
      </c>
      <c r="U21" s="28" t="n">
        <f aca="false">IF($C21=0,"",I21/$C21)</f>
        <v>0.208333333333333</v>
      </c>
      <c r="V21" s="29" t="n">
        <f aca="false">IF($C21=0,"",K21/$C21)</f>
        <v>0.0625</v>
      </c>
      <c r="W21" s="29" t="n">
        <f aca="false">IF($C21=0,"",M21/$C21)</f>
        <v>0.0417083333333333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14</v>
      </c>
      <c r="D22" s="26" t="n">
        <v>4</v>
      </c>
      <c r="E22" s="26" t="n">
        <v>10</v>
      </c>
      <c r="F22" s="26" t="n">
        <v>10</v>
      </c>
      <c r="G22" s="26" t="n">
        <v>9</v>
      </c>
      <c r="H22" s="26" t="n">
        <v>8</v>
      </c>
      <c r="I22" s="26" t="n">
        <v>4</v>
      </c>
      <c r="J22" s="26" t="n">
        <v>0</v>
      </c>
      <c r="K22" s="27" t="n">
        <v>3.2</v>
      </c>
      <c r="L22" s="27" t="n">
        <v>0.4226</v>
      </c>
      <c r="M22" s="19" t="n">
        <f aca="false">K22-L22</f>
        <v>2.7774</v>
      </c>
      <c r="N22" s="26" t="n">
        <v>5</v>
      </c>
      <c r="O22" s="26" t="n">
        <v>2</v>
      </c>
      <c r="P22" s="28" t="n">
        <f aca="false">IF($C22=0,"",D22/$C22)</f>
        <v>0.285714285714286</v>
      </c>
      <c r="Q22" s="28" t="n">
        <f aca="false">IF($C22=0,"",E22/$C22)</f>
        <v>0.714285714285714</v>
      </c>
      <c r="R22" s="28" t="n">
        <f aca="false">IF($C22=0,"",F22/$C22)</f>
        <v>0.714285714285714</v>
      </c>
      <c r="S22" s="28" t="n">
        <f aca="false">IF($C22=0,"",G22/$C22)</f>
        <v>0.642857142857143</v>
      </c>
      <c r="T22" s="28" t="n">
        <f aca="false">IF($C22=0,"",H22/$C22)</f>
        <v>0.571428571428571</v>
      </c>
      <c r="U22" s="28" t="n">
        <f aca="false">IF($C22=0,"",I22/$C22)</f>
        <v>0.285714285714286</v>
      </c>
      <c r="V22" s="29" t="n">
        <f aca="false">IF($C22=0,"",K22/$C22)</f>
        <v>0.228571428571429</v>
      </c>
      <c r="W22" s="29" t="n">
        <f aca="false">IF($C22=0,"",M22/$C22)</f>
        <v>0.198385714285714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18</v>
      </c>
      <c r="D23" s="26" t="n">
        <v>4</v>
      </c>
      <c r="E23" s="26" t="n">
        <v>14</v>
      </c>
      <c r="F23" s="26" t="n">
        <v>14</v>
      </c>
      <c r="G23" s="26" t="n">
        <v>12</v>
      </c>
      <c r="H23" s="26" t="n">
        <v>9</v>
      </c>
      <c r="I23" s="26" t="n">
        <v>4</v>
      </c>
      <c r="J23" s="26" t="n">
        <v>0</v>
      </c>
      <c r="K23" s="27" t="n">
        <v>4.28</v>
      </c>
      <c r="L23" s="27" t="n">
        <v>0.6937</v>
      </c>
      <c r="M23" s="19" t="n">
        <f aca="false">K23-L23</f>
        <v>3.5863</v>
      </c>
      <c r="N23" s="26" t="n">
        <v>7</v>
      </c>
      <c r="O23" s="26" t="n">
        <v>2</v>
      </c>
      <c r="P23" s="28" t="n">
        <f aca="false">IF($C23=0,"",D23/$C23)</f>
        <v>0.222222222222222</v>
      </c>
      <c r="Q23" s="28" t="n">
        <f aca="false">IF($C23=0,"",E23/$C23)</f>
        <v>0.777777777777778</v>
      </c>
      <c r="R23" s="28" t="n">
        <f aca="false">IF($C23=0,"",F23/$C23)</f>
        <v>0.777777777777778</v>
      </c>
      <c r="S23" s="28" t="n">
        <f aca="false">IF($C23=0,"",G23/$C23)</f>
        <v>0.666666666666667</v>
      </c>
      <c r="T23" s="28" t="n">
        <f aca="false">IF($C23=0,"",H23/$C23)</f>
        <v>0.5</v>
      </c>
      <c r="U23" s="28" t="n">
        <f aca="false">IF($C23=0,"",I23/$C23)</f>
        <v>0.222222222222222</v>
      </c>
      <c r="V23" s="29" t="n">
        <f aca="false">IF($C23=0,"",K23/$C23)</f>
        <v>0.237777777777778</v>
      </c>
      <c r="W23" s="29" t="n">
        <f aca="false">IF($C23=0,"",M23/$C23)</f>
        <v>0.199238888888889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12</v>
      </c>
      <c r="D24" s="26" t="n">
        <v>4</v>
      </c>
      <c r="E24" s="26" t="n">
        <v>9</v>
      </c>
      <c r="F24" s="26" t="n">
        <v>9</v>
      </c>
      <c r="G24" s="26" t="n">
        <v>6</v>
      </c>
      <c r="H24" s="26" t="n">
        <v>5</v>
      </c>
      <c r="I24" s="26" t="n">
        <v>4</v>
      </c>
      <c r="J24" s="26" t="n">
        <v>0</v>
      </c>
      <c r="K24" s="27" t="n">
        <v>2.28</v>
      </c>
      <c r="L24" s="27" t="n">
        <v>0.4307</v>
      </c>
      <c r="M24" s="19" t="n">
        <f aca="false">K24-L24</f>
        <v>1.8493</v>
      </c>
      <c r="N24" s="26" t="n">
        <v>6</v>
      </c>
      <c r="O24" s="26" t="n">
        <v>1</v>
      </c>
      <c r="P24" s="28" t="n">
        <f aca="false">IF($C24=0,"",D24/$C24)</f>
        <v>0.333333333333333</v>
      </c>
      <c r="Q24" s="28" t="n">
        <f aca="false">IF($C24=0,"",E24/$C24)</f>
        <v>0.75</v>
      </c>
      <c r="R24" s="28" t="n">
        <f aca="false">IF($C24=0,"",F24/$C24)</f>
        <v>0.75</v>
      </c>
      <c r="S24" s="28" t="n">
        <f aca="false">IF($C24=0,"",G24/$C24)</f>
        <v>0.5</v>
      </c>
      <c r="T24" s="28" t="n">
        <f aca="false">IF($C24=0,"",H24/$C24)</f>
        <v>0.416666666666667</v>
      </c>
      <c r="U24" s="28" t="n">
        <f aca="false">IF($C24=0,"",I24/$C24)</f>
        <v>0.333333333333333</v>
      </c>
      <c r="V24" s="29" t="n">
        <f aca="false">IF($C24=0,"",K24/$C24)</f>
        <v>0.19</v>
      </c>
      <c r="W24" s="29" t="n">
        <f aca="false">IF($C24=0,"",M24/$C24)</f>
        <v>0.154108333333333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17</v>
      </c>
      <c r="D25" s="26" t="n">
        <v>3</v>
      </c>
      <c r="E25" s="26" t="n">
        <v>10</v>
      </c>
      <c r="F25" s="26" t="n">
        <v>10</v>
      </c>
      <c r="G25" s="26" t="n">
        <v>9</v>
      </c>
      <c r="H25" s="26" t="n">
        <v>7</v>
      </c>
      <c r="I25" s="26" t="n">
        <v>3</v>
      </c>
      <c r="J25" s="26" t="n">
        <v>0</v>
      </c>
      <c r="K25" s="27" t="n">
        <v>-0.7</v>
      </c>
      <c r="L25" s="27" t="n">
        <v>0.914</v>
      </c>
      <c r="M25" s="19" t="n">
        <f aca="false">K25-L25</f>
        <v>-1.614</v>
      </c>
      <c r="N25" s="26" t="n">
        <v>5</v>
      </c>
      <c r="O25" s="26" t="n">
        <v>3</v>
      </c>
      <c r="P25" s="28" t="n">
        <f aca="false">IF($C25=0,"",D25/$C25)</f>
        <v>0.176470588235294</v>
      </c>
      <c r="Q25" s="28" t="n">
        <f aca="false">IF($C25=0,"",E25/$C25)</f>
        <v>0.588235294117647</v>
      </c>
      <c r="R25" s="28" t="n">
        <f aca="false">IF($C25=0,"",F25/$C25)</f>
        <v>0.588235294117647</v>
      </c>
      <c r="S25" s="28" t="n">
        <f aca="false">IF($C25=0,"",G25/$C25)</f>
        <v>0.529411764705882</v>
      </c>
      <c r="T25" s="28" t="n">
        <f aca="false">IF($C25=0,"",H25/$C25)</f>
        <v>0.411764705882353</v>
      </c>
      <c r="U25" s="28" t="n">
        <f aca="false">IF($C25=0,"",I25/$C25)</f>
        <v>0.176470588235294</v>
      </c>
      <c r="V25" s="29" t="n">
        <f aca="false">IF($C25=0,"",K25/$C25)</f>
        <v>-0.0411764705882353</v>
      </c>
      <c r="W25" s="29" t="n">
        <f aca="false">IF($C25=0,"",M25/$C25)</f>
        <v>-0.0949411764705882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18</v>
      </c>
      <c r="D26" s="26" t="n">
        <v>5</v>
      </c>
      <c r="E26" s="26" t="n">
        <v>11</v>
      </c>
      <c r="F26" s="26" t="n">
        <v>11</v>
      </c>
      <c r="G26" s="26" t="n">
        <v>9</v>
      </c>
      <c r="H26" s="26" t="n">
        <v>6</v>
      </c>
      <c r="I26" s="26" t="n">
        <v>5</v>
      </c>
      <c r="J26" s="26" t="n">
        <v>0</v>
      </c>
      <c r="K26" s="27" t="n">
        <v>-0.58</v>
      </c>
      <c r="L26" s="27" t="n">
        <v>0.7415</v>
      </c>
      <c r="M26" s="19" t="n">
        <f aca="false">K26-L26</f>
        <v>-1.3215</v>
      </c>
      <c r="N26" s="26" t="n">
        <v>5</v>
      </c>
      <c r="O26" s="26" t="n">
        <v>3</v>
      </c>
      <c r="P26" s="28" t="n">
        <f aca="false">IF($C26=0,"",D26/$C26)</f>
        <v>0.277777777777778</v>
      </c>
      <c r="Q26" s="28" t="n">
        <f aca="false">IF($C26=0,"",E26/$C26)</f>
        <v>0.611111111111111</v>
      </c>
      <c r="R26" s="28" t="n">
        <f aca="false">IF($C26=0,"",F26/$C26)</f>
        <v>0.611111111111111</v>
      </c>
      <c r="S26" s="28" t="n">
        <f aca="false">IF($C26=0,"",G26/$C26)</f>
        <v>0.5</v>
      </c>
      <c r="T26" s="28" t="n">
        <f aca="false">IF($C26=0,"",H26/$C26)</f>
        <v>0.333333333333333</v>
      </c>
      <c r="U26" s="28" t="n">
        <f aca="false">IF($C26=0,"",I26/$C26)</f>
        <v>0.277777777777778</v>
      </c>
      <c r="V26" s="29" t="n">
        <f aca="false">IF($C26=0,"",K26/$C26)</f>
        <v>-0.0322222222222222</v>
      </c>
      <c r="W26" s="29" t="n">
        <f aca="false">IF($C26=0,"",M26/$C26)</f>
        <v>-0.0734166666666667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18</v>
      </c>
      <c r="D27" s="26" t="n">
        <v>6</v>
      </c>
      <c r="E27" s="26" t="n">
        <v>13</v>
      </c>
      <c r="F27" s="26" t="n">
        <v>13</v>
      </c>
      <c r="G27" s="26" t="n">
        <v>10</v>
      </c>
      <c r="H27" s="26" t="n">
        <v>9</v>
      </c>
      <c r="I27" s="26" t="n">
        <v>6</v>
      </c>
      <c r="J27" s="26" t="n">
        <v>0</v>
      </c>
      <c r="K27" s="27" t="n">
        <v>3.76</v>
      </c>
      <c r="L27" s="27" t="n">
        <v>0.7297</v>
      </c>
      <c r="M27" s="19" t="n">
        <f aca="false">K27-L27</f>
        <v>3.0303</v>
      </c>
      <c r="N27" s="26" t="n">
        <v>5</v>
      </c>
      <c r="O27" s="26" t="n">
        <v>3</v>
      </c>
      <c r="P27" s="28" t="n">
        <f aca="false">IF($C27=0,"",D27/$C27)</f>
        <v>0.333333333333333</v>
      </c>
      <c r="Q27" s="28" t="n">
        <f aca="false">IF($C27=0,"",E27/$C27)</f>
        <v>0.722222222222222</v>
      </c>
      <c r="R27" s="28" t="n">
        <f aca="false">IF($C27=0,"",F27/$C27)</f>
        <v>0.722222222222222</v>
      </c>
      <c r="S27" s="28" t="n">
        <f aca="false">IF($C27=0,"",G27/$C27)</f>
        <v>0.555555555555556</v>
      </c>
      <c r="T27" s="28" t="n">
        <f aca="false">IF($C27=0,"",H27/$C27)</f>
        <v>0.5</v>
      </c>
      <c r="U27" s="28" t="n">
        <f aca="false">IF($C27=0,"",I27/$C27)</f>
        <v>0.333333333333333</v>
      </c>
      <c r="V27" s="29" t="n">
        <f aca="false">IF($C27=0,"",K27/$C27)</f>
        <v>0.208888888888889</v>
      </c>
      <c r="W27" s="29" t="n">
        <f aca="false">IF($C27=0,"",M27/$C27)</f>
        <v>0.16835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18</v>
      </c>
      <c r="D28" s="26" t="n">
        <v>6</v>
      </c>
      <c r="E28" s="26" t="n">
        <v>12</v>
      </c>
      <c r="F28" s="26" t="n">
        <v>12</v>
      </c>
      <c r="G28" s="26" t="n">
        <v>11</v>
      </c>
      <c r="H28" s="26" t="n">
        <v>8</v>
      </c>
      <c r="I28" s="26" t="n">
        <v>6</v>
      </c>
      <c r="J28" s="26" t="n">
        <v>0</v>
      </c>
      <c r="K28" s="27" t="n">
        <v>2.04</v>
      </c>
      <c r="L28" s="27" t="n">
        <v>0.6156</v>
      </c>
      <c r="M28" s="19" t="n">
        <f aca="false">K28-L28</f>
        <v>1.4244</v>
      </c>
      <c r="N28" s="26" t="n">
        <v>8</v>
      </c>
      <c r="O28" s="26" t="n">
        <v>2</v>
      </c>
      <c r="P28" s="28" t="n">
        <f aca="false">IF($C28=0,"",D28/$C28)</f>
        <v>0.333333333333333</v>
      </c>
      <c r="Q28" s="28" t="n">
        <f aca="false">IF($C28=0,"",E28/$C28)</f>
        <v>0.666666666666667</v>
      </c>
      <c r="R28" s="28" t="n">
        <f aca="false">IF($C28=0,"",F28/$C28)</f>
        <v>0.666666666666667</v>
      </c>
      <c r="S28" s="28" t="n">
        <f aca="false">IF($C28=0,"",G28/$C28)</f>
        <v>0.611111111111111</v>
      </c>
      <c r="T28" s="28" t="n">
        <f aca="false">IF($C28=0,"",H28/$C28)</f>
        <v>0.444444444444444</v>
      </c>
      <c r="U28" s="28" t="n">
        <f aca="false">IF($C28=0,"",I28/$C28)</f>
        <v>0.333333333333333</v>
      </c>
      <c r="V28" s="29" t="n">
        <f aca="false">IF($C28=0,"",K28/$C28)</f>
        <v>0.113333333333333</v>
      </c>
      <c r="W28" s="29" t="n">
        <f aca="false">IF($C28=0,"",M28/$C28)</f>
        <v>0.0791333333333333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23</v>
      </c>
      <c r="D29" s="26" t="n">
        <v>5</v>
      </c>
      <c r="E29" s="26" t="n">
        <v>12</v>
      </c>
      <c r="F29" s="26" t="n">
        <v>12</v>
      </c>
      <c r="G29" s="26" t="n">
        <v>10</v>
      </c>
      <c r="H29" s="26" t="n">
        <v>9</v>
      </c>
      <c r="I29" s="26" t="n">
        <v>5</v>
      </c>
      <c r="J29" s="26" t="n">
        <v>0</v>
      </c>
      <c r="K29" s="27" t="n">
        <v>-2.66</v>
      </c>
      <c r="L29" s="27" t="n">
        <v>1.0185</v>
      </c>
      <c r="M29" s="19" t="n">
        <f aca="false">K29-L29</f>
        <v>-3.6785</v>
      </c>
      <c r="N29" s="26" t="n">
        <v>3</v>
      </c>
      <c r="O29" s="26" t="n">
        <v>5</v>
      </c>
      <c r="P29" s="28" t="n">
        <f aca="false">IF($C29=0,"",D29/$C29)</f>
        <v>0.217391304347826</v>
      </c>
      <c r="Q29" s="28" t="n">
        <f aca="false">IF($C29=0,"",E29/$C29)</f>
        <v>0.521739130434783</v>
      </c>
      <c r="R29" s="28" t="n">
        <f aca="false">IF($C29=0,"",F29/$C29)</f>
        <v>0.521739130434783</v>
      </c>
      <c r="S29" s="28" t="n">
        <f aca="false">IF($C29=0,"",G29/$C29)</f>
        <v>0.434782608695652</v>
      </c>
      <c r="T29" s="28" t="n">
        <f aca="false">IF($C29=0,"",H29/$C29)</f>
        <v>0.391304347826087</v>
      </c>
      <c r="U29" s="28" t="n">
        <f aca="false">IF($C29=0,"",I29/$C29)</f>
        <v>0.217391304347826</v>
      </c>
      <c r="V29" s="29" t="n">
        <f aca="false">IF($C29=0,"",K29/$C29)</f>
        <v>-0.115652173913043</v>
      </c>
      <c r="W29" s="29" t="n">
        <f aca="false">IF($C29=0,"",M29/$C29)</f>
        <v>-0.159934782608696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19</v>
      </c>
      <c r="D30" s="26" t="n">
        <v>5</v>
      </c>
      <c r="E30" s="26" t="n">
        <v>12</v>
      </c>
      <c r="F30" s="26" t="n">
        <v>12</v>
      </c>
      <c r="G30" s="26" t="n">
        <v>11</v>
      </c>
      <c r="H30" s="26" t="n">
        <v>9</v>
      </c>
      <c r="I30" s="26" t="n">
        <v>5</v>
      </c>
      <c r="J30" s="26" t="n">
        <v>0</v>
      </c>
      <c r="K30" s="27" t="n">
        <v>1.34</v>
      </c>
      <c r="L30" s="27" t="n">
        <v>0.6744</v>
      </c>
      <c r="M30" s="19" t="n">
        <f aca="false">K30-L30</f>
        <v>0.6656</v>
      </c>
      <c r="N30" s="26" t="n">
        <v>3</v>
      </c>
      <c r="O30" s="26" t="n">
        <v>2</v>
      </c>
      <c r="P30" s="28" t="n">
        <f aca="false">IF($C30=0,"",D30/$C30)</f>
        <v>0.263157894736842</v>
      </c>
      <c r="Q30" s="28" t="n">
        <f aca="false">IF($C30=0,"",E30/$C30)</f>
        <v>0.631578947368421</v>
      </c>
      <c r="R30" s="28" t="n">
        <f aca="false">IF($C30=0,"",F30/$C30)</f>
        <v>0.631578947368421</v>
      </c>
      <c r="S30" s="28" t="n">
        <f aca="false">IF($C30=0,"",G30/$C30)</f>
        <v>0.578947368421053</v>
      </c>
      <c r="T30" s="28" t="n">
        <f aca="false">IF($C30=0,"",H30/$C30)</f>
        <v>0.473684210526316</v>
      </c>
      <c r="U30" s="28" t="n">
        <f aca="false">IF($C30=0,"",I30/$C30)</f>
        <v>0.263157894736842</v>
      </c>
      <c r="V30" s="29" t="n">
        <f aca="false">IF($C30=0,"",K30/$C30)</f>
        <v>0.0705263157894737</v>
      </c>
      <c r="W30" s="29" t="n">
        <f aca="false">IF($C30=0,"",M30/$C30)</f>
        <v>0.0350315789473684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220</v>
      </c>
      <c r="D31" s="30" t="n">
        <f aca="false">SUM(D19:D30)</f>
        <v>60</v>
      </c>
      <c r="E31" s="30" t="n">
        <f aca="false">SUM(E19:E30)</f>
        <v>146</v>
      </c>
      <c r="F31" s="30" t="n">
        <f aca="false">SUM(F19:F30)</f>
        <v>146</v>
      </c>
      <c r="G31" s="30" t="n">
        <f aca="false">SUM(G19:G30)</f>
        <v>122</v>
      </c>
      <c r="H31" s="30" t="n">
        <f aca="false">SUM(H19:H30)</f>
        <v>103</v>
      </c>
      <c r="I31" s="30" t="n">
        <f aca="false">SUM(I19:I30)</f>
        <v>60</v>
      </c>
      <c r="J31" s="30" t="n">
        <f aca="false">SUM(J19:J30)</f>
        <v>0</v>
      </c>
      <c r="K31" s="31" t="n">
        <f aca="false">SUM(K19:K30)</f>
        <v>23.32</v>
      </c>
      <c r="L31" s="31" t="n">
        <f aca="false">SUM(L19:L30)</f>
        <v>8.4838</v>
      </c>
      <c r="M31" s="31" t="n">
        <f aca="false">K31-L31</f>
        <v>14.8362</v>
      </c>
      <c r="N31" s="32" t="n">
        <v>8</v>
      </c>
      <c r="O31" s="32" t="n">
        <v>5</v>
      </c>
      <c r="P31" s="33" t="n">
        <f aca="false">IF($C31=0,"",D31/$C31)</f>
        <v>0.272727272727273</v>
      </c>
      <c r="Q31" s="33" t="n">
        <f aca="false">IF($C31=0,"",E31/$C31)</f>
        <v>0.663636363636364</v>
      </c>
      <c r="R31" s="33" t="n">
        <f aca="false">IF($C31=0,"",F31/$C31)</f>
        <v>0.663636363636364</v>
      </c>
      <c r="S31" s="33" t="n">
        <f aca="false">IF($C31=0,"",G31/$C31)</f>
        <v>0.554545454545455</v>
      </c>
      <c r="T31" s="33" t="n">
        <f aca="false">IF($C31=0,"",H31/$C31)</f>
        <v>0.468181818181818</v>
      </c>
      <c r="U31" s="33" t="n">
        <f aca="false">IF($C31=0,"",I31/$C31)</f>
        <v>0.272727272727273</v>
      </c>
      <c r="V31" s="34" t="n">
        <f aca="false">IF($C31=0,"",K31/$C31)</f>
        <v>0.106</v>
      </c>
      <c r="W31" s="34" t="n">
        <f aca="false">IF($C31=0,"",M31/$C31)</f>
        <v>0.0674372727272727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24</v>
      </c>
      <c r="D32" s="26" t="n">
        <v>2</v>
      </c>
      <c r="E32" s="26" t="n">
        <v>10</v>
      </c>
      <c r="F32" s="26" t="n">
        <v>10</v>
      </c>
      <c r="G32" s="26" t="n">
        <v>6</v>
      </c>
      <c r="H32" s="26" t="n">
        <v>3</v>
      </c>
      <c r="I32" s="26" t="n">
        <v>2</v>
      </c>
      <c r="J32" s="26" t="n">
        <v>0</v>
      </c>
      <c r="K32" s="27" t="n">
        <v>-10.4</v>
      </c>
      <c r="L32" s="27" t="n">
        <v>1.0286</v>
      </c>
      <c r="M32" s="19" t="n">
        <f aca="false">K32-L32</f>
        <v>-11.4286</v>
      </c>
      <c r="N32" s="26" t="n">
        <v>3</v>
      </c>
      <c r="O32" s="26" t="n">
        <v>5</v>
      </c>
      <c r="P32" s="28" t="n">
        <f aca="false">IF($C32=0,"",D32/$C32)</f>
        <v>0.0833333333333333</v>
      </c>
      <c r="Q32" s="28" t="n">
        <f aca="false">IF($C32=0,"",E32/$C32)</f>
        <v>0.416666666666667</v>
      </c>
      <c r="R32" s="28" t="n">
        <f aca="false">IF($C32=0,"",F32/$C32)</f>
        <v>0.416666666666667</v>
      </c>
      <c r="S32" s="28" t="n">
        <f aca="false">IF($C32=0,"",G32/$C32)</f>
        <v>0.25</v>
      </c>
      <c r="T32" s="28" t="n">
        <f aca="false">IF($C32=0,"",H32/$C32)</f>
        <v>0.125</v>
      </c>
      <c r="U32" s="28" t="n">
        <f aca="false">IF($C32=0,"",I32/$C32)</f>
        <v>0.0833333333333333</v>
      </c>
      <c r="V32" s="29" t="n">
        <f aca="false">IF($C32=0,"",K32/$C32)</f>
        <v>-0.433333333333333</v>
      </c>
      <c r="W32" s="29" t="n">
        <f aca="false">IF($C32=0,"",M32/$C32)</f>
        <v>-0.476191666666667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9</v>
      </c>
      <c r="D33" s="26" t="n">
        <v>1</v>
      </c>
      <c r="E33" s="26" t="n">
        <v>4</v>
      </c>
      <c r="F33" s="26" t="n">
        <v>4</v>
      </c>
      <c r="G33" s="26" t="n">
        <v>3</v>
      </c>
      <c r="H33" s="26" t="n">
        <v>3</v>
      </c>
      <c r="I33" s="26" t="n">
        <v>1</v>
      </c>
      <c r="J33" s="26" t="n">
        <v>0</v>
      </c>
      <c r="K33" s="27" t="n">
        <v>-2.42</v>
      </c>
      <c r="L33" s="27" t="n">
        <v>0.2789</v>
      </c>
      <c r="M33" s="19" t="n">
        <f aca="false">K33-L33</f>
        <v>-2.6989</v>
      </c>
      <c r="N33" s="26" t="n">
        <v>2</v>
      </c>
      <c r="O33" s="26" t="n">
        <v>4</v>
      </c>
      <c r="P33" s="28" t="n">
        <f aca="false">IF($C33=0,"",D33/$C33)</f>
        <v>0.111111111111111</v>
      </c>
      <c r="Q33" s="28" t="n">
        <f aca="false">IF($C33=0,"",E33/$C33)</f>
        <v>0.444444444444444</v>
      </c>
      <c r="R33" s="28" t="n">
        <f aca="false">IF($C33=0,"",F33/$C33)</f>
        <v>0.444444444444444</v>
      </c>
      <c r="S33" s="28" t="n">
        <f aca="false">IF($C33=0,"",G33/$C33)</f>
        <v>0.333333333333333</v>
      </c>
      <c r="T33" s="28" t="n">
        <f aca="false">IF($C33=0,"",H33/$C33)</f>
        <v>0.333333333333333</v>
      </c>
      <c r="U33" s="28" t="n">
        <f aca="false">IF($C33=0,"",I33/$C33)</f>
        <v>0.111111111111111</v>
      </c>
      <c r="V33" s="29" t="n">
        <f aca="false">IF($C33=0,"",K33/$C33)</f>
        <v>-0.268888888888889</v>
      </c>
      <c r="W33" s="29" t="n">
        <f aca="false">IF($C33=0,"",M33/$C33)</f>
        <v>-0.299877777777778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14</v>
      </c>
      <c r="D34" s="26" t="n">
        <v>5</v>
      </c>
      <c r="E34" s="26" t="n">
        <v>11</v>
      </c>
      <c r="F34" s="26" t="n">
        <v>11</v>
      </c>
      <c r="G34" s="26" t="n">
        <v>11</v>
      </c>
      <c r="H34" s="26" t="n">
        <v>8</v>
      </c>
      <c r="I34" s="26" t="n">
        <v>5</v>
      </c>
      <c r="J34" s="26" t="n">
        <v>0</v>
      </c>
      <c r="K34" s="27" t="n">
        <v>4.62</v>
      </c>
      <c r="L34" s="27" t="n">
        <v>0.4419</v>
      </c>
      <c r="M34" s="19" t="n">
        <f aca="false">K34-L34</f>
        <v>4.1781</v>
      </c>
      <c r="N34" s="26" t="n">
        <v>9</v>
      </c>
      <c r="O34" s="26" t="n">
        <v>3</v>
      </c>
      <c r="P34" s="28" t="n">
        <f aca="false">IF($C34=0,"",D34/$C34)</f>
        <v>0.357142857142857</v>
      </c>
      <c r="Q34" s="28" t="n">
        <f aca="false">IF($C34=0,"",E34/$C34)</f>
        <v>0.785714285714286</v>
      </c>
      <c r="R34" s="28" t="n">
        <f aca="false">IF($C34=0,"",F34/$C34)</f>
        <v>0.785714285714286</v>
      </c>
      <c r="S34" s="28" t="n">
        <f aca="false">IF($C34=0,"",G34/$C34)</f>
        <v>0.785714285714286</v>
      </c>
      <c r="T34" s="28" t="n">
        <f aca="false">IF($C34=0,"",H34/$C34)</f>
        <v>0.571428571428571</v>
      </c>
      <c r="U34" s="28" t="n">
        <f aca="false">IF($C34=0,"",I34/$C34)</f>
        <v>0.357142857142857</v>
      </c>
      <c r="V34" s="29" t="n">
        <f aca="false">IF($C34=0,"",K34/$C34)</f>
        <v>0.33</v>
      </c>
      <c r="W34" s="29" t="n">
        <f aca="false">IF($C34=0,"",M34/$C34)</f>
        <v>0.298435714285714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15</v>
      </c>
      <c r="D35" s="26" t="n">
        <v>3</v>
      </c>
      <c r="E35" s="26" t="n">
        <v>9</v>
      </c>
      <c r="F35" s="26" t="n">
        <v>9</v>
      </c>
      <c r="G35" s="26" t="n">
        <v>5</v>
      </c>
      <c r="H35" s="26" t="n">
        <v>3</v>
      </c>
      <c r="I35" s="26" t="n">
        <v>3</v>
      </c>
      <c r="J35" s="26" t="n">
        <v>0</v>
      </c>
      <c r="K35" s="27" t="n">
        <v>-2.22</v>
      </c>
      <c r="L35" s="27" t="n">
        <v>0.599</v>
      </c>
      <c r="M35" s="19" t="n">
        <f aca="false">K35-L35</f>
        <v>-2.819</v>
      </c>
      <c r="N35" s="26" t="n">
        <v>3</v>
      </c>
      <c r="O35" s="26" t="n">
        <v>2</v>
      </c>
      <c r="P35" s="28" t="n">
        <f aca="false">IF($C35=0,"",D35/$C35)</f>
        <v>0.2</v>
      </c>
      <c r="Q35" s="28" t="n">
        <f aca="false">IF($C35=0,"",E35/$C35)</f>
        <v>0.6</v>
      </c>
      <c r="R35" s="28" t="n">
        <f aca="false">IF($C35=0,"",F35/$C35)</f>
        <v>0.6</v>
      </c>
      <c r="S35" s="28" t="n">
        <f aca="false">IF($C35=0,"",G35/$C35)</f>
        <v>0.333333333333333</v>
      </c>
      <c r="T35" s="28" t="n">
        <f aca="false">IF($C35=0,"",H35/$C35)</f>
        <v>0.2</v>
      </c>
      <c r="U35" s="28" t="n">
        <f aca="false">IF($C35=0,"",I35/$C35)</f>
        <v>0.2</v>
      </c>
      <c r="V35" s="29" t="n">
        <f aca="false">IF($C35=0,"",K35/$C35)</f>
        <v>-0.148</v>
      </c>
      <c r="W35" s="29" t="n">
        <f aca="false">IF($C35=0,"",M35/$C35)</f>
        <v>-0.187933333333333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16</v>
      </c>
      <c r="D36" s="26" t="n">
        <v>5</v>
      </c>
      <c r="E36" s="26" t="n">
        <v>9</v>
      </c>
      <c r="F36" s="26" t="n">
        <v>9</v>
      </c>
      <c r="G36" s="26" t="n">
        <v>8</v>
      </c>
      <c r="H36" s="26" t="n">
        <v>6</v>
      </c>
      <c r="I36" s="26" t="n">
        <v>5</v>
      </c>
      <c r="J36" s="26" t="n">
        <v>0</v>
      </c>
      <c r="K36" s="27" t="n">
        <v>-0.82</v>
      </c>
      <c r="L36" s="27" t="n">
        <v>0.5478</v>
      </c>
      <c r="M36" s="19" t="n">
        <f aca="false">K36-L36</f>
        <v>-1.3678</v>
      </c>
      <c r="N36" s="26" t="n">
        <v>4</v>
      </c>
      <c r="O36" s="26" t="n">
        <v>3</v>
      </c>
      <c r="P36" s="28" t="n">
        <f aca="false">IF($C36=0,"",D36/$C36)</f>
        <v>0.3125</v>
      </c>
      <c r="Q36" s="28" t="n">
        <f aca="false">IF($C36=0,"",E36/$C36)</f>
        <v>0.5625</v>
      </c>
      <c r="R36" s="28" t="n">
        <f aca="false">IF($C36=0,"",F36/$C36)</f>
        <v>0.5625</v>
      </c>
      <c r="S36" s="28" t="n">
        <f aca="false">IF($C36=0,"",G36/$C36)</f>
        <v>0.5</v>
      </c>
      <c r="T36" s="28" t="n">
        <f aca="false">IF($C36=0,"",H36/$C36)</f>
        <v>0.375</v>
      </c>
      <c r="U36" s="28" t="n">
        <f aca="false">IF($C36=0,"",I36/$C36)</f>
        <v>0.3125</v>
      </c>
      <c r="V36" s="29" t="n">
        <f aca="false">IF($C36=0,"",K36/$C36)</f>
        <v>-0.05125</v>
      </c>
      <c r="W36" s="29" t="n">
        <f aca="false">IF($C36=0,"",M36/$C36)</f>
        <v>-0.0854875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16</v>
      </c>
      <c r="D37" s="26" t="n">
        <v>3</v>
      </c>
      <c r="E37" s="26" t="n">
        <v>11</v>
      </c>
      <c r="F37" s="26" t="n">
        <v>11</v>
      </c>
      <c r="G37" s="26" t="n">
        <v>8</v>
      </c>
      <c r="H37" s="26" t="n">
        <v>6</v>
      </c>
      <c r="I37" s="26" t="n">
        <v>3</v>
      </c>
      <c r="J37" s="26" t="n">
        <v>0</v>
      </c>
      <c r="K37" s="27" t="n">
        <v>0.82</v>
      </c>
      <c r="L37" s="27" t="n">
        <v>0.5926</v>
      </c>
      <c r="M37" s="19" t="n">
        <f aca="false">K37-L37</f>
        <v>0.2274</v>
      </c>
      <c r="N37" s="26" t="n">
        <v>6</v>
      </c>
      <c r="O37" s="26" t="n">
        <v>3</v>
      </c>
      <c r="P37" s="28" t="n">
        <f aca="false">IF($C37=0,"",D37/$C37)</f>
        <v>0.1875</v>
      </c>
      <c r="Q37" s="28" t="n">
        <f aca="false">IF($C37=0,"",E37/$C37)</f>
        <v>0.6875</v>
      </c>
      <c r="R37" s="28" t="n">
        <f aca="false">IF($C37=0,"",F37/$C37)</f>
        <v>0.6875</v>
      </c>
      <c r="S37" s="28" t="n">
        <f aca="false">IF($C37=0,"",G37/$C37)</f>
        <v>0.5</v>
      </c>
      <c r="T37" s="28" t="n">
        <f aca="false">IF($C37=0,"",H37/$C37)</f>
        <v>0.375</v>
      </c>
      <c r="U37" s="28" t="n">
        <f aca="false">IF($C37=0,"",I37/$C37)</f>
        <v>0.1875</v>
      </c>
      <c r="V37" s="29" t="n">
        <f aca="false">IF($C37=0,"",K37/$C37)</f>
        <v>0.05125</v>
      </c>
      <c r="W37" s="29" t="n">
        <f aca="false">IF($C37=0,"",M37/$C37)</f>
        <v>0.0142125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15</v>
      </c>
      <c r="D38" s="26" t="n">
        <v>4</v>
      </c>
      <c r="E38" s="26" t="n">
        <v>11</v>
      </c>
      <c r="F38" s="26" t="n">
        <v>11</v>
      </c>
      <c r="G38" s="26" t="n">
        <v>9</v>
      </c>
      <c r="H38" s="26" t="n">
        <v>8</v>
      </c>
      <c r="I38" s="26" t="n">
        <v>4</v>
      </c>
      <c r="J38" s="26" t="n">
        <v>0</v>
      </c>
      <c r="K38" s="27" t="n">
        <v>3.32</v>
      </c>
      <c r="L38" s="27" t="n">
        <v>0.9186</v>
      </c>
      <c r="M38" s="19" t="n">
        <f aca="false">K38-L38</f>
        <v>2.4014</v>
      </c>
      <c r="N38" s="26" t="n">
        <v>4</v>
      </c>
      <c r="O38" s="26" t="n">
        <v>2</v>
      </c>
      <c r="P38" s="28" t="n">
        <f aca="false">IF($C38=0,"",D38/$C38)</f>
        <v>0.266666666666667</v>
      </c>
      <c r="Q38" s="28" t="n">
        <f aca="false">IF($C38=0,"",E38/$C38)</f>
        <v>0.733333333333333</v>
      </c>
      <c r="R38" s="28" t="n">
        <f aca="false">IF($C38=0,"",F38/$C38)</f>
        <v>0.733333333333333</v>
      </c>
      <c r="S38" s="28" t="n">
        <f aca="false">IF($C38=0,"",G38/$C38)</f>
        <v>0.6</v>
      </c>
      <c r="T38" s="28" t="n">
        <f aca="false">IF($C38=0,"",H38/$C38)</f>
        <v>0.533333333333333</v>
      </c>
      <c r="U38" s="28" t="n">
        <f aca="false">IF($C38=0,"",I38/$C38)</f>
        <v>0.266666666666667</v>
      </c>
      <c r="V38" s="29" t="n">
        <f aca="false">IF($C38=0,"",K38/$C38)</f>
        <v>0.221333333333333</v>
      </c>
      <c r="W38" s="29" t="n">
        <f aca="false">IF($C38=0,"",M38/$C38)</f>
        <v>0.160093333333333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17</v>
      </c>
      <c r="D39" s="26" t="n">
        <v>6</v>
      </c>
      <c r="E39" s="26" t="n">
        <v>15</v>
      </c>
      <c r="F39" s="26" t="n">
        <v>15</v>
      </c>
      <c r="G39" s="26" t="n">
        <v>12</v>
      </c>
      <c r="H39" s="26" t="n">
        <v>9</v>
      </c>
      <c r="I39" s="26" t="n">
        <v>6</v>
      </c>
      <c r="J39" s="26" t="n">
        <v>0</v>
      </c>
      <c r="K39" s="27" t="n">
        <v>7</v>
      </c>
      <c r="L39" s="27" t="n">
        <v>0.9966</v>
      </c>
      <c r="M39" s="19" t="n">
        <f aca="false">K39-L39</f>
        <v>6.0034</v>
      </c>
      <c r="N39" s="26" t="n">
        <v>11</v>
      </c>
      <c r="O39" s="26" t="n">
        <v>1</v>
      </c>
      <c r="P39" s="28" t="n">
        <f aca="false">IF($C39=0,"",D39/$C39)</f>
        <v>0.352941176470588</v>
      </c>
      <c r="Q39" s="28" t="n">
        <f aca="false">IF($C39=0,"",E39/$C39)</f>
        <v>0.882352941176471</v>
      </c>
      <c r="R39" s="28" t="n">
        <f aca="false">IF($C39=0,"",F39/$C39)</f>
        <v>0.882352941176471</v>
      </c>
      <c r="S39" s="28" t="n">
        <f aca="false">IF($C39=0,"",G39/$C39)</f>
        <v>0.705882352941177</v>
      </c>
      <c r="T39" s="28" t="n">
        <f aca="false">IF($C39=0,"",H39/$C39)</f>
        <v>0.529411764705882</v>
      </c>
      <c r="U39" s="28" t="n">
        <f aca="false">IF($C39=0,"",I39/$C39)</f>
        <v>0.352941176470588</v>
      </c>
      <c r="V39" s="29" t="n">
        <f aca="false">IF($C39=0,"",K39/$C39)</f>
        <v>0.411764705882353</v>
      </c>
      <c r="W39" s="29" t="n">
        <f aca="false">IF($C39=0,"",M39/$C39)</f>
        <v>0.353141176470588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19</v>
      </c>
      <c r="D40" s="26" t="n">
        <v>6</v>
      </c>
      <c r="E40" s="26" t="n">
        <v>12</v>
      </c>
      <c r="F40" s="26" t="n">
        <v>12</v>
      </c>
      <c r="G40" s="26" t="n">
        <v>11</v>
      </c>
      <c r="H40" s="26" t="n">
        <v>10</v>
      </c>
      <c r="I40" s="26" t="n">
        <v>6</v>
      </c>
      <c r="J40" s="26" t="n">
        <v>0</v>
      </c>
      <c r="K40" s="27" t="n">
        <v>2.24</v>
      </c>
      <c r="L40" s="27" t="n">
        <v>1.8965</v>
      </c>
      <c r="M40" s="19" t="n">
        <f aca="false">K40-L40</f>
        <v>0.3435</v>
      </c>
      <c r="N40" s="26" t="n">
        <v>4</v>
      </c>
      <c r="O40" s="26" t="n">
        <v>2</v>
      </c>
      <c r="P40" s="28" t="n">
        <f aca="false">IF($C40=0,"",D40/$C40)</f>
        <v>0.315789473684211</v>
      </c>
      <c r="Q40" s="28" t="n">
        <f aca="false">IF($C40=0,"",E40/$C40)</f>
        <v>0.631578947368421</v>
      </c>
      <c r="R40" s="28" t="n">
        <f aca="false">IF($C40=0,"",F40/$C40)</f>
        <v>0.631578947368421</v>
      </c>
      <c r="S40" s="28" t="n">
        <f aca="false">IF($C40=0,"",G40/$C40)</f>
        <v>0.578947368421053</v>
      </c>
      <c r="T40" s="28" t="n">
        <f aca="false">IF($C40=0,"",H40/$C40)</f>
        <v>0.526315789473684</v>
      </c>
      <c r="U40" s="28" t="n">
        <f aca="false">IF($C40=0,"",I40/$C40)</f>
        <v>0.315789473684211</v>
      </c>
      <c r="V40" s="29" t="n">
        <f aca="false">IF($C40=0,"",K40/$C40)</f>
        <v>0.117894736842105</v>
      </c>
      <c r="W40" s="29" t="n">
        <f aca="false">IF($C40=0,"",M40/$C40)</f>
        <v>0.0180789473684211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15</v>
      </c>
      <c r="D41" s="26" t="n">
        <v>7</v>
      </c>
      <c r="E41" s="26" t="n">
        <v>14</v>
      </c>
      <c r="F41" s="26" t="n">
        <v>14</v>
      </c>
      <c r="G41" s="26" t="n">
        <v>11</v>
      </c>
      <c r="H41" s="26" t="n">
        <v>8</v>
      </c>
      <c r="I41" s="26" t="n">
        <v>7</v>
      </c>
      <c r="J41" s="26" t="n">
        <v>0</v>
      </c>
      <c r="K41" s="27" t="n">
        <v>7.58</v>
      </c>
      <c r="L41" s="27" t="n">
        <v>0.424</v>
      </c>
      <c r="M41" s="19" t="n">
        <f aca="false">K41-L41</f>
        <v>7.156</v>
      </c>
      <c r="N41" s="26" t="n">
        <v>10</v>
      </c>
      <c r="O41" s="26" t="n">
        <v>1</v>
      </c>
      <c r="P41" s="28" t="n">
        <f aca="false">IF($C41=0,"",D41/$C41)</f>
        <v>0.466666666666667</v>
      </c>
      <c r="Q41" s="28" t="n">
        <f aca="false">IF($C41=0,"",E41/$C41)</f>
        <v>0.933333333333333</v>
      </c>
      <c r="R41" s="28" t="n">
        <f aca="false">IF($C41=0,"",F41/$C41)</f>
        <v>0.933333333333333</v>
      </c>
      <c r="S41" s="28" t="n">
        <f aca="false">IF($C41=0,"",G41/$C41)</f>
        <v>0.733333333333333</v>
      </c>
      <c r="T41" s="28" t="n">
        <f aca="false">IF($C41=0,"",H41/$C41)</f>
        <v>0.533333333333333</v>
      </c>
      <c r="U41" s="28" t="n">
        <f aca="false">IF($C41=0,"",I41/$C41)</f>
        <v>0.466666666666667</v>
      </c>
      <c r="V41" s="29" t="n">
        <f aca="false">IF($C41=0,"",K41/$C41)</f>
        <v>0.505333333333333</v>
      </c>
      <c r="W41" s="29" t="n">
        <f aca="false">IF($C41=0,"",M41/$C41)</f>
        <v>0.477066666666667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15</v>
      </c>
      <c r="D42" s="26" t="n">
        <v>6</v>
      </c>
      <c r="E42" s="26" t="n">
        <v>12</v>
      </c>
      <c r="F42" s="26" t="n">
        <v>12</v>
      </c>
      <c r="G42" s="26" t="n">
        <v>9</v>
      </c>
      <c r="H42" s="26" t="n">
        <v>9</v>
      </c>
      <c r="I42" s="26" t="n">
        <v>6</v>
      </c>
      <c r="J42" s="26" t="n">
        <v>0</v>
      </c>
      <c r="K42" s="27" t="n">
        <v>5.64</v>
      </c>
      <c r="L42" s="27" t="n">
        <v>0.5233</v>
      </c>
      <c r="M42" s="19" t="n">
        <f aca="false">K42-L42</f>
        <v>5.1167</v>
      </c>
      <c r="N42" s="26" t="n">
        <v>7</v>
      </c>
      <c r="O42" s="26" t="n">
        <v>1</v>
      </c>
      <c r="P42" s="28" t="n">
        <f aca="false">IF($C42=0,"",D42/$C42)</f>
        <v>0.4</v>
      </c>
      <c r="Q42" s="28" t="n">
        <f aca="false">IF($C42=0,"",E42/$C42)</f>
        <v>0.8</v>
      </c>
      <c r="R42" s="28" t="n">
        <f aca="false">IF($C42=0,"",F42/$C42)</f>
        <v>0.8</v>
      </c>
      <c r="S42" s="28" t="n">
        <f aca="false">IF($C42=0,"",G42/$C42)</f>
        <v>0.6</v>
      </c>
      <c r="T42" s="28" t="n">
        <f aca="false">IF($C42=0,"",H42/$C42)</f>
        <v>0.6</v>
      </c>
      <c r="U42" s="28" t="n">
        <f aca="false">IF($C42=0,"",I42/$C42)</f>
        <v>0.4</v>
      </c>
      <c r="V42" s="29" t="n">
        <f aca="false">IF($C42=0,"",K42/$C42)</f>
        <v>0.376</v>
      </c>
      <c r="W42" s="29" t="n">
        <f aca="false">IF($C42=0,"",M42/$C42)</f>
        <v>0.341113333333333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10</v>
      </c>
      <c r="D43" s="26" t="n">
        <v>4</v>
      </c>
      <c r="E43" s="26" t="n">
        <v>7</v>
      </c>
      <c r="F43" s="26" t="n">
        <v>7</v>
      </c>
      <c r="G43" s="26" t="n">
        <v>7</v>
      </c>
      <c r="H43" s="26" t="n">
        <v>6</v>
      </c>
      <c r="I43" s="26" t="n">
        <v>4</v>
      </c>
      <c r="J43" s="26" t="n">
        <v>0</v>
      </c>
      <c r="K43" s="27" t="n">
        <v>2.64</v>
      </c>
      <c r="L43" s="27" t="n">
        <v>0.1333</v>
      </c>
      <c r="M43" s="19" t="n">
        <f aca="false">K43-L43</f>
        <v>2.5067</v>
      </c>
      <c r="N43" s="26" t="n">
        <v>6</v>
      </c>
      <c r="O43" s="26" t="n">
        <v>2</v>
      </c>
      <c r="P43" s="28" t="n">
        <f aca="false">IF($C43=0,"",D43/$C43)</f>
        <v>0.4</v>
      </c>
      <c r="Q43" s="28" t="n">
        <f aca="false">IF($C43=0,"",E43/$C43)</f>
        <v>0.7</v>
      </c>
      <c r="R43" s="28" t="n">
        <f aca="false">IF($C43=0,"",F43/$C43)</f>
        <v>0.7</v>
      </c>
      <c r="S43" s="28" t="n">
        <f aca="false">IF($C43=0,"",G43/$C43)</f>
        <v>0.7</v>
      </c>
      <c r="T43" s="28" t="n">
        <f aca="false">IF($C43=0,"",H43/$C43)</f>
        <v>0.6</v>
      </c>
      <c r="U43" s="28" t="n">
        <f aca="false">IF($C43=0,"",I43/$C43)</f>
        <v>0.4</v>
      </c>
      <c r="V43" s="29" t="n">
        <f aca="false">IF($C43=0,"",K43/$C43)</f>
        <v>0.264</v>
      </c>
      <c r="W43" s="29" t="n">
        <f aca="false">IF($C43=0,"",M43/$C43)</f>
        <v>0.25067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185</v>
      </c>
      <c r="D44" s="30" t="n">
        <f aca="false">SUM(D32:D43)</f>
        <v>52</v>
      </c>
      <c r="E44" s="30" t="n">
        <f aca="false">SUM(E32:E43)</f>
        <v>125</v>
      </c>
      <c r="F44" s="30" t="n">
        <f aca="false">SUM(F32:F43)</f>
        <v>125</v>
      </c>
      <c r="G44" s="30" t="n">
        <f aca="false">SUM(G32:G43)</f>
        <v>100</v>
      </c>
      <c r="H44" s="30" t="n">
        <f aca="false">SUM(H32:H43)</f>
        <v>79</v>
      </c>
      <c r="I44" s="30" t="n">
        <f aca="false">SUM(I32:I43)</f>
        <v>52</v>
      </c>
      <c r="J44" s="30" t="n">
        <f aca="false">SUM(J32:J43)</f>
        <v>0</v>
      </c>
      <c r="K44" s="31" t="n">
        <f aca="false">SUM(K32:K43)</f>
        <v>18</v>
      </c>
      <c r="L44" s="31" t="n">
        <f aca="false">SUM(L32:L43)</f>
        <v>8.3811</v>
      </c>
      <c r="M44" s="31" t="n">
        <f aca="false">K44-L44</f>
        <v>9.6189</v>
      </c>
      <c r="N44" s="32" t="n">
        <v>12</v>
      </c>
      <c r="O44" s="32" t="n">
        <v>5</v>
      </c>
      <c r="P44" s="33" t="n">
        <f aca="false">IF($C44=0,"",D44/$C44)</f>
        <v>0.281081081081081</v>
      </c>
      <c r="Q44" s="33" t="n">
        <f aca="false">IF($C44=0,"",E44/$C44)</f>
        <v>0.675675675675676</v>
      </c>
      <c r="R44" s="33" t="n">
        <f aca="false">IF($C44=0,"",F44/$C44)</f>
        <v>0.675675675675676</v>
      </c>
      <c r="S44" s="33" t="n">
        <f aca="false">IF($C44=0,"",G44/$C44)</f>
        <v>0.540540540540541</v>
      </c>
      <c r="T44" s="33" t="n">
        <f aca="false">IF($C44=0,"",H44/$C44)</f>
        <v>0.427027027027027</v>
      </c>
      <c r="U44" s="33" t="n">
        <f aca="false">IF($C44=0,"",I44/$C44)</f>
        <v>0.281081081081081</v>
      </c>
      <c r="V44" s="34" t="n">
        <f aca="false">IF($C44=0,"",K44/$C44)</f>
        <v>0.0972972972972973</v>
      </c>
      <c r="W44" s="34" t="n">
        <f aca="false">IF($C44=0,"",M44/$C44)</f>
        <v>0.0519940540540541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16</v>
      </c>
      <c r="D45" s="26" t="n">
        <v>5</v>
      </c>
      <c r="E45" s="26" t="n">
        <v>11</v>
      </c>
      <c r="F45" s="26" t="n">
        <v>11</v>
      </c>
      <c r="G45" s="26" t="n">
        <v>10</v>
      </c>
      <c r="H45" s="26" t="n">
        <v>7</v>
      </c>
      <c r="I45" s="26" t="n">
        <v>5</v>
      </c>
      <c r="J45" s="26" t="n">
        <v>0</v>
      </c>
      <c r="K45" s="27" t="n">
        <v>2.02</v>
      </c>
      <c r="L45" s="27" t="n">
        <v>0.2276</v>
      </c>
      <c r="M45" s="19" t="n">
        <f aca="false">K45-L45</f>
        <v>1.7924</v>
      </c>
      <c r="N45" s="26" t="n">
        <v>3</v>
      </c>
      <c r="O45" s="26" t="n">
        <v>2</v>
      </c>
      <c r="P45" s="28" t="n">
        <f aca="false">IF($C45=0,"",D45/$C45)</f>
        <v>0.3125</v>
      </c>
      <c r="Q45" s="28" t="n">
        <f aca="false">IF($C45=0,"",E45/$C45)</f>
        <v>0.6875</v>
      </c>
      <c r="R45" s="28" t="n">
        <f aca="false">IF($C45=0,"",F45/$C45)</f>
        <v>0.6875</v>
      </c>
      <c r="S45" s="28" t="n">
        <f aca="false">IF($C45=0,"",G45/$C45)</f>
        <v>0.625</v>
      </c>
      <c r="T45" s="28" t="n">
        <f aca="false">IF($C45=0,"",H45/$C45)</f>
        <v>0.4375</v>
      </c>
      <c r="U45" s="28" t="n">
        <f aca="false">IF($C45=0,"",I45/$C45)</f>
        <v>0.3125</v>
      </c>
      <c r="V45" s="29" t="n">
        <f aca="false">IF($C45=0,"",K45/$C45)</f>
        <v>0.12625</v>
      </c>
      <c r="W45" s="29" t="n">
        <f aca="false">IF($C45=0,"",M45/$C45)</f>
        <v>0.112025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12</v>
      </c>
      <c r="D46" s="26" t="n">
        <v>0</v>
      </c>
      <c r="E46" s="26" t="n">
        <v>8</v>
      </c>
      <c r="F46" s="26" t="n">
        <v>8</v>
      </c>
      <c r="G46" s="26" t="n">
        <v>7</v>
      </c>
      <c r="H46" s="26" t="n">
        <v>5</v>
      </c>
      <c r="I46" s="26" t="n">
        <v>0</v>
      </c>
      <c r="J46" s="26" t="n">
        <v>0</v>
      </c>
      <c r="K46" s="27" t="n">
        <v>-0.04</v>
      </c>
      <c r="L46" s="27" t="n">
        <v>0.2973</v>
      </c>
      <c r="M46" s="19" t="n">
        <f aca="false">K46-L46</f>
        <v>-0.3373</v>
      </c>
      <c r="N46" s="26" t="n">
        <v>2</v>
      </c>
      <c r="O46" s="26" t="n">
        <v>1</v>
      </c>
      <c r="P46" s="28" t="n">
        <f aca="false">IF($C46=0,"",D46/$C46)</f>
        <v>0</v>
      </c>
      <c r="Q46" s="28" t="n">
        <f aca="false">IF($C46=0,"",E46/$C46)</f>
        <v>0.666666666666667</v>
      </c>
      <c r="R46" s="28" t="n">
        <f aca="false">IF($C46=0,"",F46/$C46)</f>
        <v>0.666666666666667</v>
      </c>
      <c r="S46" s="28" t="n">
        <f aca="false">IF($C46=0,"",G46/$C46)</f>
        <v>0.583333333333333</v>
      </c>
      <c r="T46" s="28" t="n">
        <f aca="false">IF($C46=0,"",H46/$C46)</f>
        <v>0.416666666666667</v>
      </c>
      <c r="U46" s="28" t="n">
        <f aca="false">IF($C46=0,"",I46/$C46)</f>
        <v>0</v>
      </c>
      <c r="V46" s="29" t="n">
        <f aca="false">IF($C46=0,"",K46/$C46)</f>
        <v>-0.00333333333333333</v>
      </c>
      <c r="W46" s="29" t="n">
        <f aca="false">IF($C46=0,"",M46/$C46)</f>
        <v>-0.0281083333333333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18</v>
      </c>
      <c r="D47" s="26" t="n">
        <v>5</v>
      </c>
      <c r="E47" s="26" t="n">
        <v>14</v>
      </c>
      <c r="F47" s="26" t="n">
        <v>14</v>
      </c>
      <c r="G47" s="26" t="n">
        <v>11</v>
      </c>
      <c r="H47" s="26" t="n">
        <v>9</v>
      </c>
      <c r="I47" s="26" t="n">
        <v>5</v>
      </c>
      <c r="J47" s="26" t="n">
        <v>0</v>
      </c>
      <c r="K47" s="27" t="n">
        <v>4.58</v>
      </c>
      <c r="L47" s="27" t="n">
        <v>0.3862</v>
      </c>
      <c r="M47" s="19" t="n">
        <f aca="false">K47-L47</f>
        <v>4.1938</v>
      </c>
      <c r="N47" s="26" t="n">
        <v>5</v>
      </c>
      <c r="O47" s="26" t="n">
        <v>1</v>
      </c>
      <c r="P47" s="28" t="n">
        <f aca="false">IF($C47=0,"",D47/$C47)</f>
        <v>0.277777777777778</v>
      </c>
      <c r="Q47" s="28" t="n">
        <f aca="false">IF($C47=0,"",E47/$C47)</f>
        <v>0.777777777777778</v>
      </c>
      <c r="R47" s="28" t="n">
        <f aca="false">IF($C47=0,"",F47/$C47)</f>
        <v>0.777777777777778</v>
      </c>
      <c r="S47" s="28" t="n">
        <f aca="false">IF($C47=0,"",G47/$C47)</f>
        <v>0.611111111111111</v>
      </c>
      <c r="T47" s="28" t="n">
        <f aca="false">IF($C47=0,"",H47/$C47)</f>
        <v>0.5</v>
      </c>
      <c r="U47" s="28" t="n">
        <f aca="false">IF($C47=0,"",I47/$C47)</f>
        <v>0.277777777777778</v>
      </c>
      <c r="V47" s="29" t="n">
        <f aca="false">IF($C47=0,"",K47/$C47)</f>
        <v>0.254444444444445</v>
      </c>
      <c r="W47" s="29" t="n">
        <f aca="false">IF($C47=0,"",M47/$C47)</f>
        <v>0.232988888888889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16</v>
      </c>
      <c r="D48" s="26" t="n">
        <v>2</v>
      </c>
      <c r="E48" s="26" t="n">
        <v>8</v>
      </c>
      <c r="F48" s="26" t="n">
        <v>8</v>
      </c>
      <c r="G48" s="26" t="n">
        <v>7</v>
      </c>
      <c r="H48" s="26" t="n">
        <v>5</v>
      </c>
      <c r="I48" s="26" t="n">
        <v>2</v>
      </c>
      <c r="J48" s="26" t="n">
        <v>0</v>
      </c>
      <c r="K48" s="27" t="n">
        <v>-3.44</v>
      </c>
      <c r="L48" s="27" t="n">
        <v>0.1259</v>
      </c>
      <c r="M48" s="19" t="n">
        <f aca="false">K48-L48</f>
        <v>-3.5659</v>
      </c>
      <c r="N48" s="26" t="n">
        <v>3</v>
      </c>
      <c r="O48" s="26" t="n">
        <v>3</v>
      </c>
      <c r="P48" s="28" t="n">
        <f aca="false">IF($C48=0,"",D48/$C48)</f>
        <v>0.125</v>
      </c>
      <c r="Q48" s="28" t="n">
        <f aca="false">IF($C48=0,"",E48/$C48)</f>
        <v>0.5</v>
      </c>
      <c r="R48" s="28" t="n">
        <f aca="false">IF($C48=0,"",F48/$C48)</f>
        <v>0.5</v>
      </c>
      <c r="S48" s="28" t="n">
        <f aca="false">IF($C48=0,"",G48/$C48)</f>
        <v>0.4375</v>
      </c>
      <c r="T48" s="28" t="n">
        <f aca="false">IF($C48=0,"",H48/$C48)</f>
        <v>0.3125</v>
      </c>
      <c r="U48" s="28" t="n">
        <f aca="false">IF($C48=0,"",I48/$C48)</f>
        <v>0.125</v>
      </c>
      <c r="V48" s="29" t="n">
        <f aca="false">IF($C48=0,"",K48/$C48)</f>
        <v>-0.215</v>
      </c>
      <c r="W48" s="29" t="n">
        <f aca="false">IF($C48=0,"",M48/$C48)</f>
        <v>-0.22286875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15</v>
      </c>
      <c r="D49" s="26" t="n">
        <v>6</v>
      </c>
      <c r="E49" s="26" t="n">
        <v>10</v>
      </c>
      <c r="F49" s="26" t="n">
        <v>10</v>
      </c>
      <c r="G49" s="26" t="n">
        <v>9</v>
      </c>
      <c r="H49" s="26" t="n">
        <v>9</v>
      </c>
      <c r="I49" s="26" t="n">
        <v>6</v>
      </c>
      <c r="J49" s="26" t="n">
        <v>0</v>
      </c>
      <c r="K49" s="27" t="n">
        <v>3.4</v>
      </c>
      <c r="L49" s="27" t="n">
        <v>0.239</v>
      </c>
      <c r="M49" s="19" t="n">
        <f aca="false">K49-L49</f>
        <v>3.161</v>
      </c>
      <c r="N49" s="26" t="n">
        <v>8</v>
      </c>
      <c r="O49" s="26" t="n">
        <v>3</v>
      </c>
      <c r="P49" s="28" t="n">
        <f aca="false">IF($C49=0,"",D49/$C49)</f>
        <v>0.4</v>
      </c>
      <c r="Q49" s="28" t="n">
        <f aca="false">IF($C49=0,"",E49/$C49)</f>
        <v>0.666666666666667</v>
      </c>
      <c r="R49" s="28" t="n">
        <f aca="false">IF($C49=0,"",F49/$C49)</f>
        <v>0.666666666666667</v>
      </c>
      <c r="S49" s="28" t="n">
        <f aca="false">IF($C49=0,"",G49/$C49)</f>
        <v>0.6</v>
      </c>
      <c r="T49" s="28" t="n">
        <f aca="false">IF($C49=0,"",H49/$C49)</f>
        <v>0.6</v>
      </c>
      <c r="U49" s="28" t="n">
        <f aca="false">IF($C49=0,"",I49/$C49)</f>
        <v>0.4</v>
      </c>
      <c r="V49" s="29" t="n">
        <f aca="false">IF($C49=0,"",K49/$C49)</f>
        <v>0.226666666666667</v>
      </c>
      <c r="W49" s="29" t="n">
        <f aca="false">IF($C49=0,"",M49/$C49)</f>
        <v>0.210733333333333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8</v>
      </c>
      <c r="D50" s="26" t="n">
        <v>1</v>
      </c>
      <c r="E50" s="26" t="n">
        <v>8</v>
      </c>
      <c r="F50" s="26" t="n">
        <v>8</v>
      </c>
      <c r="G50" s="26" t="n">
        <v>6</v>
      </c>
      <c r="H50" s="26" t="n">
        <v>4</v>
      </c>
      <c r="I50" s="26" t="n">
        <v>1</v>
      </c>
      <c r="J50" s="26" t="n">
        <v>0</v>
      </c>
      <c r="K50" s="27" t="n">
        <v>3.66</v>
      </c>
      <c r="L50" s="27" t="n">
        <v>0.1587</v>
      </c>
      <c r="M50" s="19" t="n">
        <f aca="false">K50-L50</f>
        <v>3.5013</v>
      </c>
      <c r="N50" s="26" t="n">
        <v>8</v>
      </c>
      <c r="O50" s="26" t="n">
        <v>0</v>
      </c>
      <c r="P50" s="28" t="n">
        <f aca="false">IF($C50=0,"",D50/$C50)</f>
        <v>0.125</v>
      </c>
      <c r="Q50" s="28" t="n">
        <f aca="false">IF($C50=0,"",E50/$C50)</f>
        <v>1</v>
      </c>
      <c r="R50" s="28" t="n">
        <f aca="false">IF($C50=0,"",F50/$C50)</f>
        <v>1</v>
      </c>
      <c r="S50" s="28" t="n">
        <f aca="false">IF($C50=0,"",G50/$C50)</f>
        <v>0.75</v>
      </c>
      <c r="T50" s="28" t="n">
        <f aca="false">IF($C50=0,"",H50/$C50)</f>
        <v>0.5</v>
      </c>
      <c r="U50" s="28" t="n">
        <f aca="false">IF($C50=0,"",I50/$C50)</f>
        <v>0.125</v>
      </c>
      <c r="V50" s="29" t="n">
        <f aca="false">IF($C50=0,"",K50/$C50)</f>
        <v>0.4575</v>
      </c>
      <c r="W50" s="29" t="n">
        <f aca="false">IF($C50=0,"",M50/$C50)</f>
        <v>0.4376625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23</v>
      </c>
      <c r="D51" s="26" t="n">
        <v>8</v>
      </c>
      <c r="E51" s="26" t="n">
        <v>15</v>
      </c>
      <c r="F51" s="26" t="n">
        <v>15</v>
      </c>
      <c r="G51" s="26" t="n">
        <v>13</v>
      </c>
      <c r="H51" s="26" t="n">
        <v>12</v>
      </c>
      <c r="I51" s="26" t="n">
        <v>8</v>
      </c>
      <c r="J51" s="26" t="n">
        <v>0</v>
      </c>
      <c r="K51" s="27" t="n">
        <v>3.4</v>
      </c>
      <c r="L51" s="27" t="n">
        <v>0.3517</v>
      </c>
      <c r="M51" s="19" t="n">
        <f aca="false">K51-L51</f>
        <v>3.0483</v>
      </c>
      <c r="N51" s="26" t="n">
        <v>6</v>
      </c>
      <c r="O51" s="26" t="n">
        <v>3</v>
      </c>
      <c r="P51" s="28" t="n">
        <f aca="false">IF($C51=0,"",D51/$C51)</f>
        <v>0.347826086956522</v>
      </c>
      <c r="Q51" s="28" t="n">
        <f aca="false">IF($C51=0,"",E51/$C51)</f>
        <v>0.652173913043478</v>
      </c>
      <c r="R51" s="28" t="n">
        <f aca="false">IF($C51=0,"",F51/$C51)</f>
        <v>0.652173913043478</v>
      </c>
      <c r="S51" s="28" t="n">
        <f aca="false">IF($C51=0,"",G51/$C51)</f>
        <v>0.565217391304348</v>
      </c>
      <c r="T51" s="28" t="n">
        <f aca="false">IF($C51=0,"",H51/$C51)</f>
        <v>0.521739130434783</v>
      </c>
      <c r="U51" s="28" t="n">
        <f aca="false">IF($C51=0,"",I51/$C51)</f>
        <v>0.347826086956522</v>
      </c>
      <c r="V51" s="29" t="n">
        <f aca="false">IF($C51=0,"",K51/$C51)</f>
        <v>0.147826086956522</v>
      </c>
      <c r="W51" s="29" t="n">
        <f aca="false">IF($C51=0,"",M51/$C51)</f>
        <v>0.132534782608696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21</v>
      </c>
      <c r="D52" s="26" t="n">
        <v>3</v>
      </c>
      <c r="E52" s="26" t="n">
        <v>16</v>
      </c>
      <c r="F52" s="26" t="n">
        <v>16</v>
      </c>
      <c r="G52" s="26" t="n">
        <v>12</v>
      </c>
      <c r="H52" s="26" t="n">
        <v>10</v>
      </c>
      <c r="I52" s="26" t="n">
        <v>3</v>
      </c>
      <c r="J52" s="26" t="n">
        <v>0</v>
      </c>
      <c r="K52" s="27" t="n">
        <v>3.82</v>
      </c>
      <c r="L52" s="27" t="n">
        <v>0.2698</v>
      </c>
      <c r="M52" s="19" t="n">
        <f aca="false">K52-L52</f>
        <v>3.5502</v>
      </c>
      <c r="N52" s="26" t="n">
        <v>7</v>
      </c>
      <c r="O52" s="26" t="n">
        <v>3</v>
      </c>
      <c r="P52" s="28" t="n">
        <f aca="false">IF($C52=0,"",D52/$C52)</f>
        <v>0.142857142857143</v>
      </c>
      <c r="Q52" s="28" t="n">
        <f aca="false">IF($C52=0,"",E52/$C52)</f>
        <v>0.761904761904762</v>
      </c>
      <c r="R52" s="28" t="n">
        <f aca="false">IF($C52=0,"",F52/$C52)</f>
        <v>0.761904761904762</v>
      </c>
      <c r="S52" s="28" t="n">
        <f aca="false">IF($C52=0,"",G52/$C52)</f>
        <v>0.571428571428571</v>
      </c>
      <c r="T52" s="28" t="n">
        <f aca="false">IF($C52=0,"",H52/$C52)</f>
        <v>0.476190476190476</v>
      </c>
      <c r="U52" s="28" t="n">
        <f aca="false">IF($C52=0,"",I52/$C52)</f>
        <v>0.142857142857143</v>
      </c>
      <c r="V52" s="29" t="n">
        <f aca="false">IF($C52=0,"",K52/$C52)</f>
        <v>0.181904761904762</v>
      </c>
      <c r="W52" s="29" t="n">
        <f aca="false">IF($C52=0,"",M52/$C52)</f>
        <v>0.169057142857143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16</v>
      </c>
      <c r="D53" s="26" t="n">
        <v>6</v>
      </c>
      <c r="E53" s="26" t="n">
        <v>11</v>
      </c>
      <c r="F53" s="26" t="n">
        <v>11</v>
      </c>
      <c r="G53" s="26" t="n">
        <v>11</v>
      </c>
      <c r="H53" s="26" t="n">
        <v>9</v>
      </c>
      <c r="I53" s="26" t="n">
        <v>6</v>
      </c>
      <c r="J53" s="26" t="n">
        <v>0</v>
      </c>
      <c r="K53" s="27" t="n">
        <v>3.52</v>
      </c>
      <c r="L53" s="27" t="n">
        <v>0.1941</v>
      </c>
      <c r="M53" s="19" t="n">
        <f aca="false">K53-L53</f>
        <v>3.3259</v>
      </c>
      <c r="N53" s="26" t="n">
        <v>5</v>
      </c>
      <c r="O53" s="26" t="n">
        <v>2</v>
      </c>
      <c r="P53" s="28" t="n">
        <f aca="false">IF($C53=0,"",D53/$C53)</f>
        <v>0.375</v>
      </c>
      <c r="Q53" s="28" t="n">
        <f aca="false">IF($C53=0,"",E53/$C53)</f>
        <v>0.6875</v>
      </c>
      <c r="R53" s="28" t="n">
        <f aca="false">IF($C53=0,"",F53/$C53)</f>
        <v>0.6875</v>
      </c>
      <c r="S53" s="28" t="n">
        <f aca="false">IF($C53=0,"",G53/$C53)</f>
        <v>0.6875</v>
      </c>
      <c r="T53" s="28" t="n">
        <f aca="false">IF($C53=0,"",H53/$C53)</f>
        <v>0.5625</v>
      </c>
      <c r="U53" s="28" t="n">
        <f aca="false">IF($C53=0,"",I53/$C53)</f>
        <v>0.375</v>
      </c>
      <c r="V53" s="29" t="n">
        <f aca="false">IF($C53=0,"",K53/$C53)</f>
        <v>0.22</v>
      </c>
      <c r="W53" s="29" t="n">
        <f aca="false">IF($C53=0,"",M53/$C53)</f>
        <v>0.20786875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4</v>
      </c>
      <c r="E54" s="26" t="n">
        <v>16</v>
      </c>
      <c r="F54" s="26" t="n">
        <v>16</v>
      </c>
      <c r="G54" s="26" t="n">
        <v>13</v>
      </c>
      <c r="H54" s="26" t="n">
        <v>9</v>
      </c>
      <c r="I54" s="26" t="n">
        <v>4</v>
      </c>
      <c r="J54" s="26" t="n">
        <v>0</v>
      </c>
      <c r="K54" s="27" t="n">
        <v>-3.48</v>
      </c>
      <c r="L54" s="27" t="n">
        <v>0.4784</v>
      </c>
      <c r="M54" s="19" t="n">
        <f aca="false">K54-L54</f>
        <v>-3.9584</v>
      </c>
      <c r="N54" s="26" t="n">
        <v>4</v>
      </c>
      <c r="O54" s="26" t="n">
        <v>3</v>
      </c>
      <c r="P54" s="28" t="n">
        <f aca="false">IF($C54=0,"",D54/$C54)</f>
        <v>0.142857142857143</v>
      </c>
      <c r="Q54" s="28" t="n">
        <f aca="false">IF($C54=0,"",E54/$C54)</f>
        <v>0.571428571428571</v>
      </c>
      <c r="R54" s="28" t="n">
        <f aca="false">IF($C54=0,"",F54/$C54)</f>
        <v>0.571428571428571</v>
      </c>
      <c r="S54" s="28" t="n">
        <f aca="false">IF($C54=0,"",G54/$C54)</f>
        <v>0.464285714285714</v>
      </c>
      <c r="T54" s="28" t="n">
        <f aca="false">IF($C54=0,"",H54/$C54)</f>
        <v>0.321428571428571</v>
      </c>
      <c r="U54" s="28" t="n">
        <f aca="false">IF($C54=0,"",I54/$C54)</f>
        <v>0.142857142857143</v>
      </c>
      <c r="V54" s="29" t="n">
        <f aca="false">IF($C54=0,"",K54/$C54)</f>
        <v>-0.124285714285714</v>
      </c>
      <c r="W54" s="29" t="n">
        <f aca="false">IF($C54=0,"",M54/$C54)</f>
        <v>-0.141371428571429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9</v>
      </c>
      <c r="D55" s="26" t="n">
        <v>6</v>
      </c>
      <c r="E55" s="26" t="n">
        <v>7</v>
      </c>
      <c r="F55" s="26" t="n">
        <v>7</v>
      </c>
      <c r="G55" s="26" t="n">
        <v>7</v>
      </c>
      <c r="H55" s="26" t="n">
        <v>7</v>
      </c>
      <c r="I55" s="26" t="n">
        <v>6</v>
      </c>
      <c r="J55" s="26" t="n">
        <v>0</v>
      </c>
      <c r="K55" s="27" t="n">
        <v>4.84</v>
      </c>
      <c r="L55" s="27" t="n">
        <v>0.066</v>
      </c>
      <c r="M55" s="19" t="n">
        <f aca="false">K55-L55</f>
        <v>4.774</v>
      </c>
      <c r="N55" s="26" t="n">
        <v>5</v>
      </c>
      <c r="O55" s="26" t="n">
        <v>1</v>
      </c>
      <c r="P55" s="28" t="n">
        <f aca="false">IF($C55=0,"",D55/$C55)</f>
        <v>0.666666666666667</v>
      </c>
      <c r="Q55" s="28" t="n">
        <f aca="false">IF($C55=0,"",E55/$C55)</f>
        <v>0.777777777777778</v>
      </c>
      <c r="R55" s="28" t="n">
        <f aca="false">IF($C55=0,"",F55/$C55)</f>
        <v>0.777777777777778</v>
      </c>
      <c r="S55" s="28" t="n">
        <f aca="false">IF($C55=0,"",G55/$C55)</f>
        <v>0.777777777777778</v>
      </c>
      <c r="T55" s="28" t="n">
        <f aca="false">IF($C55=0,"",H55/$C55)</f>
        <v>0.777777777777778</v>
      </c>
      <c r="U55" s="28" t="n">
        <f aca="false">IF($C55=0,"",I55/$C55)</f>
        <v>0.666666666666667</v>
      </c>
      <c r="V55" s="29" t="n">
        <f aca="false">IF($C55=0,"",K55/$C55)</f>
        <v>0.537777777777778</v>
      </c>
      <c r="W55" s="29" t="n">
        <f aca="false">IF($C55=0,"",M55/$C55)</f>
        <v>0.530444444444445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18</v>
      </c>
      <c r="D56" s="26" t="n">
        <v>4</v>
      </c>
      <c r="E56" s="26" t="n">
        <v>12</v>
      </c>
      <c r="F56" s="26" t="n">
        <v>12</v>
      </c>
      <c r="G56" s="26" t="n">
        <v>12</v>
      </c>
      <c r="H56" s="26" t="n">
        <v>10</v>
      </c>
      <c r="I56" s="26" t="n">
        <v>4</v>
      </c>
      <c r="J56" s="26" t="n">
        <v>0</v>
      </c>
      <c r="K56" s="27" t="n">
        <v>2.64</v>
      </c>
      <c r="L56" s="27" t="n">
        <v>0.2121</v>
      </c>
      <c r="M56" s="19" t="n">
        <f aca="false">K56-L56</f>
        <v>2.4279</v>
      </c>
      <c r="N56" s="26" t="n">
        <v>3</v>
      </c>
      <c r="O56" s="26" t="n">
        <v>1</v>
      </c>
      <c r="P56" s="28" t="n">
        <f aca="false">IF($C56=0,"",D56/$C56)</f>
        <v>0.222222222222222</v>
      </c>
      <c r="Q56" s="28" t="n">
        <f aca="false">IF($C56=0,"",E56/$C56)</f>
        <v>0.666666666666667</v>
      </c>
      <c r="R56" s="28" t="n">
        <f aca="false">IF($C56=0,"",F56/$C56)</f>
        <v>0.666666666666667</v>
      </c>
      <c r="S56" s="28" t="n">
        <f aca="false">IF($C56=0,"",G56/$C56)</f>
        <v>0.666666666666667</v>
      </c>
      <c r="T56" s="28" t="n">
        <f aca="false">IF($C56=0,"",H56/$C56)</f>
        <v>0.555555555555556</v>
      </c>
      <c r="U56" s="28" t="n">
        <f aca="false">IF($C56=0,"",I56/$C56)</f>
        <v>0.222222222222222</v>
      </c>
      <c r="V56" s="29" t="n">
        <f aca="false">IF($C56=0,"",K56/$C56)</f>
        <v>0.146666666666667</v>
      </c>
      <c r="W56" s="29" t="n">
        <f aca="false">IF($C56=0,"",M56/$C56)</f>
        <v>0.134883333333333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200</v>
      </c>
      <c r="D57" s="30" t="n">
        <f aca="false">SUM(D45:D56)</f>
        <v>50</v>
      </c>
      <c r="E57" s="30" t="n">
        <f aca="false">SUM(E45:E56)</f>
        <v>136</v>
      </c>
      <c r="F57" s="30" t="n">
        <f aca="false">SUM(F45:F56)</f>
        <v>136</v>
      </c>
      <c r="G57" s="30" t="n">
        <f aca="false">SUM(G45:G56)</f>
        <v>118</v>
      </c>
      <c r="H57" s="30" t="n">
        <f aca="false">SUM(H45:H56)</f>
        <v>96</v>
      </c>
      <c r="I57" s="30" t="n">
        <f aca="false">SUM(I45:I56)</f>
        <v>50</v>
      </c>
      <c r="J57" s="30" t="n">
        <f aca="false">SUM(J45:J56)</f>
        <v>0</v>
      </c>
      <c r="K57" s="31" t="n">
        <f aca="false">SUM(K45:K56)</f>
        <v>24.92</v>
      </c>
      <c r="L57" s="31" t="n">
        <f aca="false">SUM(L45:L56)</f>
        <v>3.0068</v>
      </c>
      <c r="M57" s="31" t="n">
        <f aca="false">K57-L57</f>
        <v>21.9132</v>
      </c>
      <c r="N57" s="32" t="n">
        <v>9</v>
      </c>
      <c r="O57" s="32" t="n">
        <v>4</v>
      </c>
      <c r="P57" s="33" t="n">
        <f aca="false">IF($C57=0,"",D57/$C57)</f>
        <v>0.25</v>
      </c>
      <c r="Q57" s="33" t="n">
        <f aca="false">IF($C57=0,"",E57/$C57)</f>
        <v>0.68</v>
      </c>
      <c r="R57" s="33" t="n">
        <f aca="false">IF($C57=0,"",F57/$C57)</f>
        <v>0.68</v>
      </c>
      <c r="S57" s="33" t="n">
        <f aca="false">IF($C57=0,"",G57/$C57)</f>
        <v>0.59</v>
      </c>
      <c r="T57" s="33" t="n">
        <f aca="false">IF($C57=0,"",H57/$C57)</f>
        <v>0.48</v>
      </c>
      <c r="U57" s="33" t="n">
        <f aca="false">IF($C57=0,"",I57/$C57)</f>
        <v>0.25</v>
      </c>
      <c r="V57" s="34" t="n">
        <f aca="false">IF($C57=0,"",K57/$C57)</f>
        <v>0.1246</v>
      </c>
      <c r="W57" s="34" t="n">
        <f aca="false">IF($C57=0,"",M57/$C57)</f>
        <v>0.109566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22</v>
      </c>
      <c r="D58" s="26" t="n">
        <v>9</v>
      </c>
      <c r="E58" s="26" t="n">
        <v>14</v>
      </c>
      <c r="F58" s="26" t="n">
        <v>14</v>
      </c>
      <c r="G58" s="26" t="n">
        <v>12</v>
      </c>
      <c r="H58" s="26" t="n">
        <v>12</v>
      </c>
      <c r="I58" s="26" t="n">
        <v>9</v>
      </c>
      <c r="J58" s="26" t="n">
        <v>0</v>
      </c>
      <c r="K58" s="27" t="n">
        <v>3.58</v>
      </c>
      <c r="L58" s="27" t="n">
        <v>0.2584</v>
      </c>
      <c r="M58" s="19" t="n">
        <f aca="false">K58-L58</f>
        <v>3.3216</v>
      </c>
      <c r="N58" s="26" t="n">
        <v>3</v>
      </c>
      <c r="O58" s="26" t="n">
        <v>2</v>
      </c>
      <c r="P58" s="28" t="n">
        <f aca="false">IF($C58=0,"",D58/$C58)</f>
        <v>0.409090909090909</v>
      </c>
      <c r="Q58" s="28" t="n">
        <f aca="false">IF($C58=0,"",E58/$C58)</f>
        <v>0.636363636363636</v>
      </c>
      <c r="R58" s="28" t="n">
        <f aca="false">IF($C58=0,"",F58/$C58)</f>
        <v>0.636363636363636</v>
      </c>
      <c r="S58" s="28" t="n">
        <f aca="false">IF($C58=0,"",G58/$C58)</f>
        <v>0.545454545454545</v>
      </c>
      <c r="T58" s="28" t="n">
        <f aca="false">IF($C58=0,"",H58/$C58)</f>
        <v>0.545454545454545</v>
      </c>
      <c r="U58" s="28" t="n">
        <f aca="false">IF($C58=0,"",I58/$C58)</f>
        <v>0.409090909090909</v>
      </c>
      <c r="V58" s="29" t="n">
        <f aca="false">IF($C58=0,"",K58/$C58)</f>
        <v>0.162727272727273</v>
      </c>
      <c r="W58" s="29" t="n">
        <f aca="false">IF($C58=0,"",M58/$C58)</f>
        <v>0.150981818181818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19</v>
      </c>
      <c r="D59" s="26" t="n">
        <v>5</v>
      </c>
      <c r="E59" s="26" t="n">
        <v>11</v>
      </c>
      <c r="F59" s="26" t="n">
        <v>11</v>
      </c>
      <c r="G59" s="26" t="n">
        <v>11</v>
      </c>
      <c r="H59" s="26" t="n">
        <v>8</v>
      </c>
      <c r="I59" s="26" t="n">
        <v>5</v>
      </c>
      <c r="J59" s="26" t="n">
        <v>0</v>
      </c>
      <c r="K59" s="27" t="n">
        <v>-0.38</v>
      </c>
      <c r="L59" s="27" t="n">
        <v>0.1643</v>
      </c>
      <c r="M59" s="19" t="n">
        <f aca="false">K59-L59</f>
        <v>-0.5443</v>
      </c>
      <c r="N59" s="26" t="n">
        <v>4</v>
      </c>
      <c r="O59" s="26" t="n">
        <v>3</v>
      </c>
      <c r="P59" s="28" t="n">
        <f aca="false">IF($C59=0,"",D59/$C59)</f>
        <v>0.263157894736842</v>
      </c>
      <c r="Q59" s="28" t="n">
        <f aca="false">IF($C59=0,"",E59/$C59)</f>
        <v>0.578947368421053</v>
      </c>
      <c r="R59" s="28" t="n">
        <f aca="false">IF($C59=0,"",F59/$C59)</f>
        <v>0.578947368421053</v>
      </c>
      <c r="S59" s="28" t="n">
        <f aca="false">IF($C59=0,"",G59/$C59)</f>
        <v>0.578947368421053</v>
      </c>
      <c r="T59" s="28" t="n">
        <f aca="false">IF($C59=0,"",H59/$C59)</f>
        <v>0.421052631578947</v>
      </c>
      <c r="U59" s="28" t="n">
        <f aca="false">IF($C59=0,"",I59/$C59)</f>
        <v>0.263157894736842</v>
      </c>
      <c r="V59" s="29" t="n">
        <f aca="false">IF($C59=0,"",K59/$C59)</f>
        <v>-0.02</v>
      </c>
      <c r="W59" s="29" t="n">
        <f aca="false">IF($C59=0,"",M59/$C59)</f>
        <v>-0.0286473684210526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19</v>
      </c>
      <c r="D60" s="26" t="n">
        <v>5</v>
      </c>
      <c r="E60" s="26" t="n">
        <v>12</v>
      </c>
      <c r="F60" s="26" t="n">
        <v>12</v>
      </c>
      <c r="G60" s="26" t="n">
        <v>10</v>
      </c>
      <c r="H60" s="26" t="n">
        <v>9</v>
      </c>
      <c r="I60" s="26" t="n">
        <v>5</v>
      </c>
      <c r="J60" s="26" t="n">
        <v>0</v>
      </c>
      <c r="K60" s="27" t="n">
        <v>1.34</v>
      </c>
      <c r="L60" s="27" t="n">
        <v>0.2043</v>
      </c>
      <c r="M60" s="19" t="n">
        <f aca="false">K60-L60</f>
        <v>1.1357</v>
      </c>
      <c r="N60" s="26" t="n">
        <v>5</v>
      </c>
      <c r="O60" s="26" t="n">
        <v>4</v>
      </c>
      <c r="P60" s="28" t="n">
        <f aca="false">IF($C60=0,"",D60/$C60)</f>
        <v>0.263157894736842</v>
      </c>
      <c r="Q60" s="28" t="n">
        <f aca="false">IF($C60=0,"",E60/$C60)</f>
        <v>0.631578947368421</v>
      </c>
      <c r="R60" s="28" t="n">
        <f aca="false">IF($C60=0,"",F60/$C60)</f>
        <v>0.631578947368421</v>
      </c>
      <c r="S60" s="28" t="n">
        <f aca="false">IF($C60=0,"",G60/$C60)</f>
        <v>0.526315789473684</v>
      </c>
      <c r="T60" s="28" t="n">
        <f aca="false">IF($C60=0,"",H60/$C60)</f>
        <v>0.473684210526316</v>
      </c>
      <c r="U60" s="28" t="n">
        <f aca="false">IF($C60=0,"",I60/$C60)</f>
        <v>0.263157894736842</v>
      </c>
      <c r="V60" s="29" t="n">
        <f aca="false">IF($C60=0,"",K60/$C60)</f>
        <v>0.0705263157894737</v>
      </c>
      <c r="W60" s="29" t="n">
        <f aca="false">IF($C60=0,"",M60/$C60)</f>
        <v>0.0597736842105263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21</v>
      </c>
      <c r="D61" s="26" t="n">
        <v>8</v>
      </c>
      <c r="E61" s="26" t="n">
        <v>11</v>
      </c>
      <c r="F61" s="26" t="n">
        <v>11</v>
      </c>
      <c r="G61" s="26" t="n">
        <v>10</v>
      </c>
      <c r="H61" s="26" t="n">
        <v>10</v>
      </c>
      <c r="I61" s="26" t="n">
        <v>8</v>
      </c>
      <c r="J61" s="26" t="n">
        <v>0</v>
      </c>
      <c r="K61" s="27" t="n">
        <v>-0.28</v>
      </c>
      <c r="L61" s="27" t="n">
        <v>0.1114</v>
      </c>
      <c r="M61" s="19" t="n">
        <f aca="false">K61-L61</f>
        <v>-0.3914</v>
      </c>
      <c r="N61" s="26" t="n">
        <v>3</v>
      </c>
      <c r="O61" s="26" t="n">
        <v>3</v>
      </c>
      <c r="P61" s="28" t="n">
        <f aca="false">IF($C61=0,"",D61/$C61)</f>
        <v>0.380952380952381</v>
      </c>
      <c r="Q61" s="28" t="n">
        <f aca="false">IF($C61=0,"",E61/$C61)</f>
        <v>0.523809523809524</v>
      </c>
      <c r="R61" s="28" t="n">
        <f aca="false">IF($C61=0,"",F61/$C61)</f>
        <v>0.523809523809524</v>
      </c>
      <c r="S61" s="28" t="n">
        <f aca="false">IF($C61=0,"",G61/$C61)</f>
        <v>0.476190476190476</v>
      </c>
      <c r="T61" s="28" t="n">
        <f aca="false">IF($C61=0,"",H61/$C61)</f>
        <v>0.476190476190476</v>
      </c>
      <c r="U61" s="28" t="n">
        <f aca="false">IF($C61=0,"",I61/$C61)</f>
        <v>0.380952380952381</v>
      </c>
      <c r="V61" s="29" t="n">
        <f aca="false">IF($C61=0,"",K61/$C61)</f>
        <v>-0.0133333333333333</v>
      </c>
      <c r="W61" s="29" t="n">
        <f aca="false">IF($C61=0,"",M61/$C61)</f>
        <v>-0.0186380952380952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18</v>
      </c>
      <c r="D62" s="26" t="n">
        <v>6</v>
      </c>
      <c r="E62" s="26" t="n">
        <v>8</v>
      </c>
      <c r="F62" s="26" t="n">
        <v>8</v>
      </c>
      <c r="G62" s="26" t="n">
        <v>8</v>
      </c>
      <c r="H62" s="26" t="n">
        <v>8</v>
      </c>
      <c r="I62" s="26" t="n">
        <v>6</v>
      </c>
      <c r="J62" s="26" t="n">
        <v>0</v>
      </c>
      <c r="K62" s="27" t="n">
        <v>-2.44</v>
      </c>
      <c r="L62" s="27" t="n">
        <v>0.0871</v>
      </c>
      <c r="M62" s="19" t="n">
        <f aca="false">K62-L62</f>
        <v>-2.5271</v>
      </c>
      <c r="N62" s="26" t="n">
        <v>3</v>
      </c>
      <c r="O62" s="26" t="n">
        <v>5</v>
      </c>
      <c r="P62" s="28" t="n">
        <f aca="false">IF($C62=0,"",D62/$C62)</f>
        <v>0.333333333333333</v>
      </c>
      <c r="Q62" s="28" t="n">
        <f aca="false">IF($C62=0,"",E62/$C62)</f>
        <v>0.444444444444444</v>
      </c>
      <c r="R62" s="28" t="n">
        <f aca="false">IF($C62=0,"",F62/$C62)</f>
        <v>0.444444444444444</v>
      </c>
      <c r="S62" s="28" t="n">
        <f aca="false">IF($C62=0,"",G62/$C62)</f>
        <v>0.444444444444444</v>
      </c>
      <c r="T62" s="28" t="n">
        <f aca="false">IF($C62=0,"",H62/$C62)</f>
        <v>0.444444444444444</v>
      </c>
      <c r="U62" s="28" t="n">
        <f aca="false">IF($C62=0,"",I62/$C62)</f>
        <v>0.333333333333333</v>
      </c>
      <c r="V62" s="29" t="n">
        <f aca="false">IF($C62=0,"",K62/$C62)</f>
        <v>-0.135555555555556</v>
      </c>
      <c r="W62" s="29" t="n">
        <f aca="false">IF($C62=0,"",M62/$C62)</f>
        <v>-0.140394444444444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13</v>
      </c>
      <c r="D63" s="26" t="n">
        <v>2</v>
      </c>
      <c r="E63" s="26" t="n">
        <v>9</v>
      </c>
      <c r="F63" s="26" t="n">
        <v>9</v>
      </c>
      <c r="G63" s="26" t="n">
        <v>8</v>
      </c>
      <c r="H63" s="26" t="n">
        <v>5</v>
      </c>
      <c r="I63" s="26" t="n">
        <v>2</v>
      </c>
      <c r="J63" s="26" t="n">
        <v>0</v>
      </c>
      <c r="K63" s="27" t="n">
        <v>0.68</v>
      </c>
      <c r="L63" s="27" t="n">
        <v>0.0765</v>
      </c>
      <c r="M63" s="19" t="n">
        <f aca="false">K63-L63</f>
        <v>0.6035</v>
      </c>
      <c r="N63" s="26" t="n">
        <v>3</v>
      </c>
      <c r="O63" s="26" t="n">
        <v>3</v>
      </c>
      <c r="P63" s="28" t="n">
        <f aca="false">IF($C63=0,"",D63/$C63)</f>
        <v>0.153846153846154</v>
      </c>
      <c r="Q63" s="28" t="n">
        <f aca="false">IF($C63=0,"",E63/$C63)</f>
        <v>0.692307692307692</v>
      </c>
      <c r="R63" s="28" t="n">
        <f aca="false">IF($C63=0,"",F63/$C63)</f>
        <v>0.692307692307692</v>
      </c>
      <c r="S63" s="28" t="n">
        <f aca="false">IF($C63=0,"",G63/$C63)</f>
        <v>0.615384615384615</v>
      </c>
      <c r="T63" s="28" t="n">
        <f aca="false">IF($C63=0,"",H63/$C63)</f>
        <v>0.384615384615385</v>
      </c>
      <c r="U63" s="28" t="n">
        <f aca="false">IF($C63=0,"",I63/$C63)</f>
        <v>0.153846153846154</v>
      </c>
      <c r="V63" s="29" t="n">
        <f aca="false">IF($C63=0,"",K63/$C63)</f>
        <v>0.0523076923076923</v>
      </c>
      <c r="W63" s="29" t="n">
        <f aca="false">IF($C63=0,"",M63/$C63)</f>
        <v>0.0464230769230769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21</v>
      </c>
      <c r="D64" s="26" t="n">
        <v>7</v>
      </c>
      <c r="E64" s="26" t="n">
        <v>14</v>
      </c>
      <c r="F64" s="26" t="n">
        <v>14</v>
      </c>
      <c r="G64" s="26" t="n">
        <v>14</v>
      </c>
      <c r="H64" s="26" t="n">
        <v>10</v>
      </c>
      <c r="I64" s="26" t="n">
        <v>7</v>
      </c>
      <c r="J64" s="26" t="n">
        <v>0</v>
      </c>
      <c r="K64" s="27" t="n">
        <v>2.78</v>
      </c>
      <c r="L64" s="27" t="n">
        <v>0.2682</v>
      </c>
      <c r="M64" s="19" t="n">
        <f aca="false">K64-L64</f>
        <v>2.5118</v>
      </c>
      <c r="N64" s="26" t="n">
        <v>6</v>
      </c>
      <c r="O64" s="26" t="n">
        <v>2</v>
      </c>
      <c r="P64" s="28" t="n">
        <f aca="false">IF($C64=0,"",D64/$C64)</f>
        <v>0.333333333333333</v>
      </c>
      <c r="Q64" s="28" t="n">
        <f aca="false">IF($C64=0,"",E64/$C64)</f>
        <v>0.666666666666667</v>
      </c>
      <c r="R64" s="28" t="n">
        <f aca="false">IF($C64=0,"",F64/$C64)</f>
        <v>0.666666666666667</v>
      </c>
      <c r="S64" s="28" t="n">
        <f aca="false">IF($C64=0,"",G64/$C64)</f>
        <v>0.666666666666667</v>
      </c>
      <c r="T64" s="28" t="n">
        <f aca="false">IF($C64=0,"",H64/$C64)</f>
        <v>0.476190476190476</v>
      </c>
      <c r="U64" s="28" t="n">
        <f aca="false">IF($C64=0,"",I64/$C64)</f>
        <v>0.333333333333333</v>
      </c>
      <c r="V64" s="29" t="n">
        <f aca="false">IF($C64=0,"",K64/$C64)</f>
        <v>0.132380952380952</v>
      </c>
      <c r="W64" s="29" t="n">
        <f aca="false">IF($C64=0,"",M64/$C64)</f>
        <v>0.119609523809524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</v>
      </c>
      <c r="D65" s="26" t="n">
        <v>2</v>
      </c>
      <c r="E65" s="26" t="n">
        <v>6</v>
      </c>
      <c r="F65" s="26" t="n">
        <v>6</v>
      </c>
      <c r="G65" s="26" t="n">
        <v>5</v>
      </c>
      <c r="H65" s="26" t="n">
        <v>4</v>
      </c>
      <c r="I65" s="26" t="n">
        <v>2</v>
      </c>
      <c r="J65" s="26" t="n">
        <v>0</v>
      </c>
      <c r="K65" s="27" t="n">
        <v>-0.28</v>
      </c>
      <c r="L65" s="27" t="n">
        <v>0.0848</v>
      </c>
      <c r="M65" s="19" t="n">
        <f aca="false">K65-L65</f>
        <v>-0.3648</v>
      </c>
      <c r="N65" s="26" t="n">
        <v>3</v>
      </c>
      <c r="O65" s="26" t="n">
        <v>2</v>
      </c>
      <c r="P65" s="28" t="n">
        <f aca="false">IF($C65=0,"",D65/$C65)</f>
        <v>0.2</v>
      </c>
      <c r="Q65" s="28" t="n">
        <f aca="false">IF($C65=0,"",E65/$C65)</f>
        <v>0.6</v>
      </c>
      <c r="R65" s="28" t="n">
        <f aca="false">IF($C65=0,"",F65/$C65)</f>
        <v>0.6</v>
      </c>
      <c r="S65" s="28" t="n">
        <f aca="false">IF($C65=0,"",G65/$C65)</f>
        <v>0.5</v>
      </c>
      <c r="T65" s="28" t="n">
        <f aca="false">IF($C65=0,"",H65/$C65)</f>
        <v>0.4</v>
      </c>
      <c r="U65" s="28" t="n">
        <f aca="false">IF($C65=0,"",I65/$C65)</f>
        <v>0.2</v>
      </c>
      <c r="V65" s="29" t="n">
        <f aca="false">IF($C65=0,"",K65/$C65)</f>
        <v>-0.028</v>
      </c>
      <c r="W65" s="29" t="n">
        <f aca="false">IF($C65=0,"",M65/$C65)</f>
        <v>-0.03648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15</v>
      </c>
      <c r="D66" s="26" t="n">
        <v>3</v>
      </c>
      <c r="E66" s="26" t="n">
        <v>10</v>
      </c>
      <c r="F66" s="26" t="n">
        <v>10</v>
      </c>
      <c r="G66" s="26" t="n">
        <v>7</v>
      </c>
      <c r="H66" s="26" t="n">
        <v>5</v>
      </c>
      <c r="I66" s="26" t="n">
        <v>3</v>
      </c>
      <c r="J66" s="26" t="n">
        <v>0</v>
      </c>
      <c r="K66" s="27" t="n">
        <v>0.1</v>
      </c>
      <c r="L66" s="27" t="n">
        <v>0.1527</v>
      </c>
      <c r="M66" s="19" t="n">
        <f aca="false">K66-L66</f>
        <v>-0.0527</v>
      </c>
      <c r="N66" s="26" t="n">
        <v>3</v>
      </c>
      <c r="O66" s="26" t="n">
        <v>2</v>
      </c>
      <c r="P66" s="28" t="n">
        <f aca="false">IF($C66=0,"",D66/$C66)</f>
        <v>0.2</v>
      </c>
      <c r="Q66" s="28" t="n">
        <f aca="false">IF($C66=0,"",E66/$C66)</f>
        <v>0.666666666666667</v>
      </c>
      <c r="R66" s="28" t="n">
        <f aca="false">IF($C66=0,"",F66/$C66)</f>
        <v>0.666666666666667</v>
      </c>
      <c r="S66" s="28" t="n">
        <f aca="false">IF($C66=0,"",G66/$C66)</f>
        <v>0.466666666666667</v>
      </c>
      <c r="T66" s="28" t="n">
        <f aca="false">IF($C66=0,"",H66/$C66)</f>
        <v>0.333333333333333</v>
      </c>
      <c r="U66" s="28" t="n">
        <f aca="false">IF($C66=0,"",I66/$C66)</f>
        <v>0.2</v>
      </c>
      <c r="V66" s="29" t="n">
        <f aca="false">IF($C66=0,"",K66/$C66)</f>
        <v>0.00666666666666667</v>
      </c>
      <c r="W66" s="29" t="n">
        <f aca="false">IF($C66=0,"",M66/$C66)</f>
        <v>-0.00351333333333333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18</v>
      </c>
      <c r="D67" s="26" t="n">
        <v>5</v>
      </c>
      <c r="E67" s="26" t="n">
        <v>12</v>
      </c>
      <c r="F67" s="26" t="n">
        <v>12</v>
      </c>
      <c r="G67" s="26" t="n">
        <v>11</v>
      </c>
      <c r="H67" s="26" t="n">
        <v>9</v>
      </c>
      <c r="I67" s="26" t="n">
        <v>5</v>
      </c>
      <c r="J67" s="26" t="n">
        <v>0</v>
      </c>
      <c r="K67" s="27" t="n">
        <v>2.34</v>
      </c>
      <c r="L67" s="27" t="n">
        <v>0.0883</v>
      </c>
      <c r="M67" s="19" t="n">
        <f aca="false">K67-L67</f>
        <v>2.2517</v>
      </c>
      <c r="N67" s="26" t="n">
        <v>4</v>
      </c>
      <c r="O67" s="26" t="n">
        <v>2</v>
      </c>
      <c r="P67" s="28" t="n">
        <f aca="false">IF($C67=0,"",D67/$C67)</f>
        <v>0.277777777777778</v>
      </c>
      <c r="Q67" s="28" t="n">
        <f aca="false">IF($C67=0,"",E67/$C67)</f>
        <v>0.666666666666667</v>
      </c>
      <c r="R67" s="28" t="n">
        <f aca="false">IF($C67=0,"",F67/$C67)</f>
        <v>0.666666666666667</v>
      </c>
      <c r="S67" s="28" t="n">
        <f aca="false">IF($C67=0,"",G67/$C67)</f>
        <v>0.611111111111111</v>
      </c>
      <c r="T67" s="28" t="n">
        <f aca="false">IF($C67=0,"",H67/$C67)</f>
        <v>0.5</v>
      </c>
      <c r="U67" s="28" t="n">
        <f aca="false">IF($C67=0,"",I67/$C67)</f>
        <v>0.277777777777778</v>
      </c>
      <c r="V67" s="29" t="n">
        <f aca="false">IF($C67=0,"",K67/$C67)</f>
        <v>0.13</v>
      </c>
      <c r="W67" s="29" t="n">
        <f aca="false">IF($C67=0,"",M67/$C67)</f>
        <v>0.125094444444444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8</v>
      </c>
      <c r="D68" s="26" t="n">
        <v>3</v>
      </c>
      <c r="E68" s="26" t="n">
        <v>6</v>
      </c>
      <c r="F68" s="26" t="n">
        <v>6</v>
      </c>
      <c r="G68" s="26" t="n">
        <v>5</v>
      </c>
      <c r="H68" s="26" t="n">
        <v>4</v>
      </c>
      <c r="I68" s="26" t="n">
        <v>3</v>
      </c>
      <c r="J68" s="26" t="n">
        <v>0</v>
      </c>
      <c r="K68" s="27" t="n">
        <v>2.02</v>
      </c>
      <c r="L68" s="27" t="n">
        <v>0.0482</v>
      </c>
      <c r="M68" s="19" t="n">
        <f aca="false">K68-L68</f>
        <v>1.9718</v>
      </c>
      <c r="N68" s="26" t="n">
        <v>4</v>
      </c>
      <c r="O68" s="26" t="n">
        <v>1</v>
      </c>
      <c r="P68" s="28" t="n">
        <f aca="false">IF($C68=0,"",D68/$C68)</f>
        <v>0.375</v>
      </c>
      <c r="Q68" s="28" t="n">
        <f aca="false">IF($C68=0,"",E68/$C68)</f>
        <v>0.75</v>
      </c>
      <c r="R68" s="28" t="n">
        <f aca="false">IF($C68=0,"",F68/$C68)</f>
        <v>0.75</v>
      </c>
      <c r="S68" s="28" t="n">
        <f aca="false">IF($C68=0,"",G68/$C68)</f>
        <v>0.625</v>
      </c>
      <c r="T68" s="28" t="n">
        <f aca="false">IF($C68=0,"",H68/$C68)</f>
        <v>0.5</v>
      </c>
      <c r="U68" s="28" t="n">
        <f aca="false">IF($C68=0,"",I68/$C68)</f>
        <v>0.375</v>
      </c>
      <c r="V68" s="29" t="n">
        <f aca="false">IF($C68=0,"",K68/$C68)</f>
        <v>0.2525</v>
      </c>
      <c r="W68" s="29" t="n">
        <f aca="false">IF($C68=0,"",M68/$C68)</f>
        <v>0.246475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19</v>
      </c>
      <c r="D69" s="26" t="n">
        <v>3</v>
      </c>
      <c r="E69" s="26" t="n">
        <v>9</v>
      </c>
      <c r="F69" s="26" t="n">
        <v>9</v>
      </c>
      <c r="G69" s="26" t="n">
        <v>6</v>
      </c>
      <c r="H69" s="26" t="n">
        <v>4</v>
      </c>
      <c r="I69" s="26" t="n">
        <v>3</v>
      </c>
      <c r="J69" s="26" t="n">
        <v>0</v>
      </c>
      <c r="K69" s="27" t="n">
        <v>-5.62</v>
      </c>
      <c r="L69" s="27" t="n">
        <v>0.1129</v>
      </c>
      <c r="M69" s="19" t="n">
        <f aca="false">K69-L69</f>
        <v>-5.7329</v>
      </c>
      <c r="N69" s="26" t="n">
        <v>3</v>
      </c>
      <c r="O69" s="26" t="n">
        <v>3</v>
      </c>
      <c r="P69" s="28" t="n">
        <f aca="false">IF($C69=0,"",D69/$C69)</f>
        <v>0.157894736842105</v>
      </c>
      <c r="Q69" s="28" t="n">
        <f aca="false">IF($C69=0,"",E69/$C69)</f>
        <v>0.473684210526316</v>
      </c>
      <c r="R69" s="28" t="n">
        <f aca="false">IF($C69=0,"",F69/$C69)</f>
        <v>0.473684210526316</v>
      </c>
      <c r="S69" s="28" t="n">
        <f aca="false">IF($C69=0,"",G69/$C69)</f>
        <v>0.315789473684211</v>
      </c>
      <c r="T69" s="28" t="n">
        <f aca="false">IF($C69=0,"",H69/$C69)</f>
        <v>0.210526315789474</v>
      </c>
      <c r="U69" s="28" t="n">
        <f aca="false">IF($C69=0,"",I69/$C69)</f>
        <v>0.157894736842105</v>
      </c>
      <c r="V69" s="29" t="n">
        <f aca="false">IF($C69=0,"",K69/$C69)</f>
        <v>-0.295789473684211</v>
      </c>
      <c r="W69" s="29" t="n">
        <f aca="false">IF($C69=0,"",M69/$C69)</f>
        <v>-0.301731578947368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203</v>
      </c>
      <c r="D70" s="30" t="n">
        <f aca="false">SUM(D58:D69)</f>
        <v>58</v>
      </c>
      <c r="E70" s="30" t="n">
        <f aca="false">SUM(E58:E69)</f>
        <v>122</v>
      </c>
      <c r="F70" s="30" t="n">
        <f aca="false">SUM(F58:F69)</f>
        <v>122</v>
      </c>
      <c r="G70" s="30" t="n">
        <f aca="false">SUM(G58:G69)</f>
        <v>107</v>
      </c>
      <c r="H70" s="30" t="n">
        <f aca="false">SUM(H58:H69)</f>
        <v>88</v>
      </c>
      <c r="I70" s="30" t="n">
        <f aca="false">SUM(I58:I69)</f>
        <v>58</v>
      </c>
      <c r="J70" s="30" t="n">
        <f aca="false">SUM(J58:J69)</f>
        <v>0</v>
      </c>
      <c r="K70" s="31" t="n">
        <f aca="false">SUM(K58:K69)</f>
        <v>3.84</v>
      </c>
      <c r="L70" s="31" t="n">
        <f aca="false">SUM(L58:L69)</f>
        <v>1.6571</v>
      </c>
      <c r="M70" s="31" t="n">
        <f aca="false">K70-L70</f>
        <v>2.1829</v>
      </c>
      <c r="N70" s="32" t="n">
        <v>6</v>
      </c>
      <c r="O70" s="32" t="n">
        <v>5</v>
      </c>
      <c r="P70" s="33" t="n">
        <f aca="false">IF($C70=0,"",D70/$C70)</f>
        <v>0.285714285714286</v>
      </c>
      <c r="Q70" s="33" t="n">
        <f aca="false">IF($C70=0,"",E70/$C70)</f>
        <v>0.600985221674877</v>
      </c>
      <c r="R70" s="33" t="n">
        <f aca="false">IF($C70=0,"",F70/$C70)</f>
        <v>0.600985221674877</v>
      </c>
      <c r="S70" s="33" t="n">
        <f aca="false">IF($C70=0,"",G70/$C70)</f>
        <v>0.527093596059113</v>
      </c>
      <c r="T70" s="33" t="n">
        <f aca="false">IF($C70=0,"",H70/$C70)</f>
        <v>0.433497536945813</v>
      </c>
      <c r="U70" s="33" t="n">
        <f aca="false">IF($C70=0,"",I70/$C70)</f>
        <v>0.285714285714286</v>
      </c>
      <c r="V70" s="34" t="n">
        <f aca="false">IF($C70=0,"",K70/$C70)</f>
        <v>0.0189162561576355</v>
      </c>
      <c r="W70" s="34" t="n">
        <f aca="false">IF($C70=0,"",M70/$C70)</f>
        <v>0.0107532019704434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17</v>
      </c>
      <c r="D71" s="26" t="n">
        <v>6</v>
      </c>
      <c r="E71" s="26" t="n">
        <v>12</v>
      </c>
      <c r="F71" s="26" t="n">
        <v>12</v>
      </c>
      <c r="G71" s="26" t="n">
        <v>9</v>
      </c>
      <c r="H71" s="26" t="n">
        <v>7</v>
      </c>
      <c r="I71" s="26" t="n">
        <v>6</v>
      </c>
      <c r="J71" s="26" t="n">
        <v>0</v>
      </c>
      <c r="K71" s="27" t="n">
        <v>2.44</v>
      </c>
      <c r="L71" s="27" t="n">
        <v>0.1061</v>
      </c>
      <c r="M71" s="19" t="n">
        <f aca="false">K71-L71</f>
        <v>2.3339</v>
      </c>
      <c r="N71" s="26" t="n">
        <v>5</v>
      </c>
      <c r="O71" s="26" t="n">
        <v>2</v>
      </c>
      <c r="P71" s="28" t="n">
        <f aca="false">IF($C71=0,"",D71/$C71)</f>
        <v>0.352941176470588</v>
      </c>
      <c r="Q71" s="28" t="n">
        <f aca="false">IF($C71=0,"",E71/$C71)</f>
        <v>0.705882352941177</v>
      </c>
      <c r="R71" s="28" t="n">
        <f aca="false">IF($C71=0,"",F71/$C71)</f>
        <v>0.705882352941177</v>
      </c>
      <c r="S71" s="28" t="n">
        <f aca="false">IF($C71=0,"",G71/$C71)</f>
        <v>0.529411764705882</v>
      </c>
      <c r="T71" s="28" t="n">
        <f aca="false">IF($C71=0,"",H71/$C71)</f>
        <v>0.411764705882353</v>
      </c>
      <c r="U71" s="28" t="n">
        <f aca="false">IF($C71=0,"",I71/$C71)</f>
        <v>0.352941176470588</v>
      </c>
      <c r="V71" s="29" t="n">
        <f aca="false">IF($C71=0,"",K71/$C71)</f>
        <v>0.143529411764706</v>
      </c>
      <c r="W71" s="29" t="n">
        <f aca="false">IF($C71=0,"",M71/$C71)</f>
        <v>0.137288235294118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16</v>
      </c>
      <c r="D72" s="26" t="n">
        <v>5</v>
      </c>
      <c r="E72" s="26" t="n">
        <v>11</v>
      </c>
      <c r="F72" s="26" t="n">
        <v>11</v>
      </c>
      <c r="G72" s="26" t="n">
        <v>8</v>
      </c>
      <c r="H72" s="26" t="n">
        <v>8</v>
      </c>
      <c r="I72" s="26" t="n">
        <v>5</v>
      </c>
      <c r="J72" s="26" t="n">
        <v>0</v>
      </c>
      <c r="K72" s="27" t="n">
        <v>2.62</v>
      </c>
      <c r="L72" s="27" t="n">
        <v>0.0583</v>
      </c>
      <c r="M72" s="19" t="n">
        <f aca="false">K72-L72</f>
        <v>2.5617</v>
      </c>
      <c r="N72" s="26" t="n">
        <v>4</v>
      </c>
      <c r="O72" s="26" t="n">
        <v>2</v>
      </c>
      <c r="P72" s="28" t="n">
        <f aca="false">IF($C72=0,"",D72/$C72)</f>
        <v>0.3125</v>
      </c>
      <c r="Q72" s="28" t="n">
        <f aca="false">IF($C72=0,"",E72/$C72)</f>
        <v>0.6875</v>
      </c>
      <c r="R72" s="28" t="n">
        <f aca="false">IF($C72=0,"",F72/$C72)</f>
        <v>0.6875</v>
      </c>
      <c r="S72" s="28" t="n">
        <f aca="false">IF($C72=0,"",G72/$C72)</f>
        <v>0.5</v>
      </c>
      <c r="T72" s="28" t="n">
        <f aca="false">IF($C72=0,"",H72/$C72)</f>
        <v>0.5</v>
      </c>
      <c r="U72" s="28" t="n">
        <f aca="false">IF($C72=0,"",I72/$C72)</f>
        <v>0.3125</v>
      </c>
      <c r="V72" s="29" t="n">
        <f aca="false">IF($C72=0,"",K72/$C72)</f>
        <v>0.16375</v>
      </c>
      <c r="W72" s="29" t="n">
        <f aca="false">IF($C72=0,"",M72/$C72)</f>
        <v>0.16010625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14</v>
      </c>
      <c r="D73" s="26" t="n">
        <v>3</v>
      </c>
      <c r="E73" s="26" t="n">
        <v>9</v>
      </c>
      <c r="F73" s="26" t="n">
        <v>9</v>
      </c>
      <c r="G73" s="26" t="n">
        <v>6</v>
      </c>
      <c r="H73" s="26" t="n">
        <v>5</v>
      </c>
      <c r="I73" s="26" t="n">
        <v>3</v>
      </c>
      <c r="J73" s="26" t="n">
        <v>0</v>
      </c>
      <c r="K73" s="27" t="n">
        <v>-0.02</v>
      </c>
      <c r="L73" s="27" t="n">
        <v>0.0352</v>
      </c>
      <c r="M73" s="19" t="n">
        <f aca="false">K73-L73</f>
        <v>-0.0552</v>
      </c>
      <c r="N73" s="26" t="n">
        <v>4</v>
      </c>
      <c r="O73" s="26" t="n">
        <v>2</v>
      </c>
      <c r="P73" s="28" t="n">
        <f aca="false">IF($C73=0,"",D73/$C73)</f>
        <v>0.214285714285714</v>
      </c>
      <c r="Q73" s="28" t="n">
        <f aca="false">IF($C73=0,"",E73/$C73)</f>
        <v>0.642857142857143</v>
      </c>
      <c r="R73" s="28" t="n">
        <f aca="false">IF($C73=0,"",F73/$C73)</f>
        <v>0.642857142857143</v>
      </c>
      <c r="S73" s="28" t="n">
        <f aca="false">IF($C73=0,"",G73/$C73)</f>
        <v>0.428571428571429</v>
      </c>
      <c r="T73" s="28" t="n">
        <f aca="false">IF($C73=0,"",H73/$C73)</f>
        <v>0.357142857142857</v>
      </c>
      <c r="U73" s="28" t="n">
        <f aca="false">IF($C73=0,"",I73/$C73)</f>
        <v>0.214285714285714</v>
      </c>
      <c r="V73" s="29" t="n">
        <f aca="false">IF($C73=0,"",K73/$C73)</f>
        <v>-0.00142857142857143</v>
      </c>
      <c r="W73" s="29" t="n">
        <f aca="false">IF($C73=0,"",M73/$C73)</f>
        <v>-0.00394285714285714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14</v>
      </c>
      <c r="D74" s="26" t="n">
        <v>2</v>
      </c>
      <c r="E74" s="26" t="n">
        <v>7</v>
      </c>
      <c r="F74" s="26" t="n">
        <v>7</v>
      </c>
      <c r="G74" s="26" t="n">
        <v>5</v>
      </c>
      <c r="H74" s="26" t="n">
        <v>5</v>
      </c>
      <c r="I74" s="26" t="n">
        <v>2</v>
      </c>
      <c r="J74" s="26" t="n">
        <v>0</v>
      </c>
      <c r="K74" s="27" t="n">
        <v>-2.56</v>
      </c>
      <c r="L74" s="27" t="n">
        <v>0.0818</v>
      </c>
      <c r="M74" s="19" t="n">
        <f aca="false">K74-L74</f>
        <v>-2.6418</v>
      </c>
      <c r="N74" s="26" t="n">
        <v>4</v>
      </c>
      <c r="O74" s="26" t="n">
        <v>4</v>
      </c>
      <c r="P74" s="28" t="n">
        <f aca="false">IF($C74=0,"",D74/$C74)</f>
        <v>0.142857142857143</v>
      </c>
      <c r="Q74" s="28" t="n">
        <f aca="false">IF($C74=0,"",E74/$C74)</f>
        <v>0.5</v>
      </c>
      <c r="R74" s="28" t="n">
        <f aca="false">IF($C74=0,"",F74/$C74)</f>
        <v>0.5</v>
      </c>
      <c r="S74" s="28" t="n">
        <f aca="false">IF($C74=0,"",G74/$C74)</f>
        <v>0.357142857142857</v>
      </c>
      <c r="T74" s="28" t="n">
        <f aca="false">IF($C74=0,"",H74/$C74)</f>
        <v>0.357142857142857</v>
      </c>
      <c r="U74" s="28" t="n">
        <f aca="false">IF($C74=0,"",I74/$C74)</f>
        <v>0.142857142857143</v>
      </c>
      <c r="V74" s="29" t="n">
        <f aca="false">IF($C74=0,"",K74/$C74)</f>
        <v>-0.182857142857143</v>
      </c>
      <c r="W74" s="29" t="n">
        <f aca="false">IF($C74=0,"",M74/$C74)</f>
        <v>-0.1887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14</v>
      </c>
      <c r="D75" s="26" t="n">
        <v>4</v>
      </c>
      <c r="E75" s="26" t="n">
        <v>11</v>
      </c>
      <c r="F75" s="26" t="n">
        <v>11</v>
      </c>
      <c r="G75" s="26" t="n">
        <v>8</v>
      </c>
      <c r="H75" s="26" t="n">
        <v>6</v>
      </c>
      <c r="I75" s="26" t="n">
        <v>4</v>
      </c>
      <c r="J75" s="26" t="n">
        <v>0</v>
      </c>
      <c r="K75" s="27" t="n">
        <v>3.12</v>
      </c>
      <c r="L75" s="27" t="n">
        <v>0.1267</v>
      </c>
      <c r="M75" s="19" t="n">
        <f aca="false">K75-L75</f>
        <v>2.9933</v>
      </c>
      <c r="N75" s="26" t="n">
        <v>5</v>
      </c>
      <c r="O75" s="26" t="n">
        <v>1</v>
      </c>
      <c r="P75" s="28" t="n">
        <f aca="false">IF($C75=0,"",D75/$C75)</f>
        <v>0.285714285714286</v>
      </c>
      <c r="Q75" s="28" t="n">
        <f aca="false">IF($C75=0,"",E75/$C75)</f>
        <v>0.785714285714286</v>
      </c>
      <c r="R75" s="28" t="n">
        <f aca="false">IF($C75=0,"",F75/$C75)</f>
        <v>0.785714285714286</v>
      </c>
      <c r="S75" s="28" t="n">
        <f aca="false">IF($C75=0,"",G75/$C75)</f>
        <v>0.571428571428571</v>
      </c>
      <c r="T75" s="28" t="n">
        <f aca="false">IF($C75=0,"",H75/$C75)</f>
        <v>0.428571428571429</v>
      </c>
      <c r="U75" s="28" t="n">
        <f aca="false">IF($C75=0,"",I75/$C75)</f>
        <v>0.285714285714286</v>
      </c>
      <c r="V75" s="29" t="n">
        <f aca="false">IF($C75=0,"",K75/$C75)</f>
        <v>0.222857142857143</v>
      </c>
      <c r="W75" s="29" t="n">
        <f aca="false">IF($C75=0,"",M75/$C75)</f>
        <v>0.213807142857143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20</v>
      </c>
      <c r="D76" s="26" t="n">
        <v>5</v>
      </c>
      <c r="E76" s="26" t="n">
        <v>14</v>
      </c>
      <c r="F76" s="26" t="n">
        <v>14</v>
      </c>
      <c r="G76" s="26" t="n">
        <v>14</v>
      </c>
      <c r="H76" s="26" t="n">
        <v>12</v>
      </c>
      <c r="I76" s="26" t="n">
        <v>5</v>
      </c>
      <c r="J76" s="26" t="n">
        <v>0</v>
      </c>
      <c r="K76" s="27" t="n">
        <v>4.38</v>
      </c>
      <c r="L76" s="27" t="n">
        <v>0.1735</v>
      </c>
      <c r="M76" s="19" t="n">
        <f aca="false">K76-L76</f>
        <v>4.2065</v>
      </c>
      <c r="N76" s="26" t="n">
        <v>6</v>
      </c>
      <c r="O76" s="26" t="n">
        <v>2</v>
      </c>
      <c r="P76" s="28" t="n">
        <f aca="false">IF($C76=0,"",D76/$C76)</f>
        <v>0.25</v>
      </c>
      <c r="Q76" s="28" t="n">
        <f aca="false">IF($C76=0,"",E76/$C76)</f>
        <v>0.7</v>
      </c>
      <c r="R76" s="28" t="n">
        <f aca="false">IF($C76=0,"",F76/$C76)</f>
        <v>0.7</v>
      </c>
      <c r="S76" s="28" t="n">
        <f aca="false">IF($C76=0,"",G76/$C76)</f>
        <v>0.7</v>
      </c>
      <c r="T76" s="28" t="n">
        <f aca="false">IF($C76=0,"",H76/$C76)</f>
        <v>0.6</v>
      </c>
      <c r="U76" s="28" t="n">
        <f aca="false">IF($C76=0,"",I76/$C76)</f>
        <v>0.25</v>
      </c>
      <c r="V76" s="29" t="n">
        <f aca="false">IF($C76=0,"",K76/$C76)</f>
        <v>0.219</v>
      </c>
      <c r="W76" s="29" t="n">
        <f aca="false">IF($C76=0,"",M76/$C76)</f>
        <v>0.210325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20</v>
      </c>
      <c r="D77" s="26" t="n">
        <v>4</v>
      </c>
      <c r="E77" s="26" t="n">
        <v>14</v>
      </c>
      <c r="F77" s="26" t="n">
        <v>14</v>
      </c>
      <c r="G77" s="26" t="n">
        <v>13</v>
      </c>
      <c r="H77" s="26" t="n">
        <v>10</v>
      </c>
      <c r="I77" s="26" t="n">
        <v>4</v>
      </c>
      <c r="J77" s="26" t="n">
        <v>0</v>
      </c>
      <c r="K77" s="27" t="n">
        <v>2.88</v>
      </c>
      <c r="L77" s="27" t="n">
        <v>0.1325</v>
      </c>
      <c r="M77" s="19" t="n">
        <f aca="false">K77-L77</f>
        <v>2.7475</v>
      </c>
      <c r="N77" s="26" t="n">
        <v>4</v>
      </c>
      <c r="O77" s="26" t="n">
        <v>4</v>
      </c>
      <c r="P77" s="28" t="n">
        <f aca="false">IF($C77=0,"",D77/$C77)</f>
        <v>0.2</v>
      </c>
      <c r="Q77" s="28" t="n">
        <f aca="false">IF($C77=0,"",E77/$C77)</f>
        <v>0.7</v>
      </c>
      <c r="R77" s="28" t="n">
        <f aca="false">IF($C77=0,"",F77/$C77)</f>
        <v>0.7</v>
      </c>
      <c r="S77" s="28" t="n">
        <f aca="false">IF($C77=0,"",G77/$C77)</f>
        <v>0.65</v>
      </c>
      <c r="T77" s="28" t="n">
        <f aca="false">IF($C77=0,"",H77/$C77)</f>
        <v>0.5</v>
      </c>
      <c r="U77" s="28" t="n">
        <f aca="false">IF($C77=0,"",I77/$C77)</f>
        <v>0.2</v>
      </c>
      <c r="V77" s="29" t="n">
        <f aca="false">IF($C77=0,"",K77/$C77)</f>
        <v>0.144</v>
      </c>
      <c r="W77" s="29" t="n">
        <f aca="false">IF($C77=0,"",M77/$C77)</f>
        <v>0.137375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10</v>
      </c>
      <c r="D78" s="26" t="n">
        <v>0</v>
      </c>
      <c r="E78" s="26" t="n">
        <v>8</v>
      </c>
      <c r="F78" s="26" t="n">
        <v>8</v>
      </c>
      <c r="G78" s="26" t="n">
        <v>7</v>
      </c>
      <c r="H78" s="26" t="n">
        <v>4</v>
      </c>
      <c r="I78" s="26" t="n">
        <v>0</v>
      </c>
      <c r="J78" s="26" t="n">
        <v>0</v>
      </c>
      <c r="K78" s="27" t="n">
        <v>1.36</v>
      </c>
      <c r="L78" s="27" t="n">
        <v>0.0691</v>
      </c>
      <c r="M78" s="19" t="n">
        <f aca="false">K78-L78</f>
        <v>1.2909</v>
      </c>
      <c r="N78" s="26" t="n">
        <v>7</v>
      </c>
      <c r="O78" s="26" t="n">
        <v>1</v>
      </c>
      <c r="P78" s="28" t="n">
        <f aca="false">IF($C78=0,"",D78/$C78)</f>
        <v>0</v>
      </c>
      <c r="Q78" s="28" t="n">
        <f aca="false">IF($C78=0,"",E78/$C78)</f>
        <v>0.8</v>
      </c>
      <c r="R78" s="28" t="n">
        <f aca="false">IF($C78=0,"",F78/$C78)</f>
        <v>0.8</v>
      </c>
      <c r="S78" s="28" t="n">
        <f aca="false">IF($C78=0,"",G78/$C78)</f>
        <v>0.7</v>
      </c>
      <c r="T78" s="28" t="n">
        <f aca="false">IF($C78=0,"",H78/$C78)</f>
        <v>0.4</v>
      </c>
      <c r="U78" s="28" t="n">
        <f aca="false">IF($C78=0,"",I78/$C78)</f>
        <v>0</v>
      </c>
      <c r="V78" s="29" t="n">
        <f aca="false">IF($C78=0,"",K78/$C78)</f>
        <v>0.136</v>
      </c>
      <c r="W78" s="29" t="n">
        <f aca="false">IF($C78=0,"",M78/$C78)</f>
        <v>0.12909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22</v>
      </c>
      <c r="D79" s="26" t="n">
        <v>5</v>
      </c>
      <c r="E79" s="26" t="n">
        <v>14</v>
      </c>
      <c r="F79" s="26" t="n">
        <v>14</v>
      </c>
      <c r="G79" s="26" t="n">
        <v>12</v>
      </c>
      <c r="H79" s="26" t="n">
        <v>10</v>
      </c>
      <c r="I79" s="26" t="n">
        <v>5</v>
      </c>
      <c r="J79" s="26" t="n">
        <v>0</v>
      </c>
      <c r="K79" s="27" t="n">
        <v>1.18</v>
      </c>
      <c r="L79" s="27" t="n">
        <v>0.1685</v>
      </c>
      <c r="M79" s="19" t="n">
        <f aca="false">K79-L79</f>
        <v>1.0115</v>
      </c>
      <c r="N79" s="26" t="n">
        <v>4</v>
      </c>
      <c r="O79" s="26" t="n">
        <v>2</v>
      </c>
      <c r="P79" s="28" t="n">
        <f aca="false">IF($C79=0,"",D79/$C79)</f>
        <v>0.227272727272727</v>
      </c>
      <c r="Q79" s="28" t="n">
        <f aca="false">IF($C79=0,"",E79/$C79)</f>
        <v>0.636363636363636</v>
      </c>
      <c r="R79" s="28" t="n">
        <f aca="false">IF($C79=0,"",F79/$C79)</f>
        <v>0.636363636363636</v>
      </c>
      <c r="S79" s="28" t="n">
        <f aca="false">IF($C79=0,"",G79/$C79)</f>
        <v>0.545454545454545</v>
      </c>
      <c r="T79" s="28" t="n">
        <f aca="false">IF($C79=0,"",H79/$C79)</f>
        <v>0.454545454545455</v>
      </c>
      <c r="U79" s="28" t="n">
        <f aca="false">IF($C79=0,"",I79/$C79)</f>
        <v>0.227272727272727</v>
      </c>
      <c r="V79" s="29" t="n">
        <f aca="false">IF($C79=0,"",K79/$C79)</f>
        <v>0.0536363636363636</v>
      </c>
      <c r="W79" s="29" t="n">
        <f aca="false">IF($C79=0,"",M79/$C79)</f>
        <v>0.0459772727272727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1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-0.88</v>
      </c>
      <c r="L80" s="27" t="n">
        <v>0.0169</v>
      </c>
      <c r="M80" s="19" t="n">
        <f aca="false">K80-L80</f>
        <v>-0.8969</v>
      </c>
      <c r="N80" s="26" t="n">
        <v>1</v>
      </c>
      <c r="O80" s="26" t="n">
        <v>1</v>
      </c>
      <c r="P80" s="28" t="n">
        <f aca="false">IF($C80=0,"",D80/$C80)</f>
        <v>0</v>
      </c>
      <c r="Q80" s="28" t="n">
        <f aca="false">IF($C80=0,"",E80/$C80)</f>
        <v>0.5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-0.44</v>
      </c>
      <c r="W80" s="29" t="n">
        <f aca="false">IF($C80=0,"",M80/$C80)</f>
        <v>-0.44845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149</v>
      </c>
      <c r="D81" s="30" t="n">
        <f aca="false">SUM(D71:D80)</f>
        <v>34</v>
      </c>
      <c r="E81" s="30" t="n">
        <f aca="false">SUM(E71:E80)</f>
        <v>101</v>
      </c>
      <c r="F81" s="30" t="n">
        <f aca="false">SUM(F71:F80)</f>
        <v>101</v>
      </c>
      <c r="G81" s="30" t="n">
        <f aca="false">SUM(G71:G80)</f>
        <v>82</v>
      </c>
      <c r="H81" s="30" t="n">
        <f aca="false">SUM(H71:H80)</f>
        <v>67</v>
      </c>
      <c r="I81" s="30" t="n">
        <f aca="false">SUM(I71:I80)</f>
        <v>34</v>
      </c>
      <c r="J81" s="30" t="n">
        <f aca="false">SUM(J71:J80)</f>
        <v>0</v>
      </c>
      <c r="K81" s="31" t="n">
        <f aca="false">SUM(K71:K80)</f>
        <v>14.52</v>
      </c>
      <c r="L81" s="31" t="n">
        <f aca="false">SUM(L71:L80)</f>
        <v>0.9686</v>
      </c>
      <c r="M81" s="31" t="n">
        <f aca="false">K81-L81</f>
        <v>13.5514</v>
      </c>
      <c r="N81" s="32" t="n">
        <v>11</v>
      </c>
      <c r="O81" s="32" t="n">
        <v>4</v>
      </c>
      <c r="P81" s="33" t="n">
        <f aca="false">IF($C81=0,"",D81/$C81)</f>
        <v>0.228187919463087</v>
      </c>
      <c r="Q81" s="33" t="n">
        <f aca="false">IF($C81=0,"",E81/$C81)</f>
        <v>0.677852348993289</v>
      </c>
      <c r="R81" s="33" t="n">
        <f aca="false">IF($C81=0,"",F81/$C81)</f>
        <v>0.677852348993289</v>
      </c>
      <c r="S81" s="33" t="n">
        <f aca="false">IF($C81=0,"",G81/$C81)</f>
        <v>0.550335570469799</v>
      </c>
      <c r="T81" s="33" t="n">
        <f aca="false">IF($C81=0,"",H81/$C81)</f>
        <v>0.449664429530201</v>
      </c>
      <c r="U81" s="33" t="n">
        <f aca="false">IF($C81=0,"",I81/$C81)</f>
        <v>0.228187919463087</v>
      </c>
      <c r="V81" s="34" t="n">
        <f aca="false">IF($C81=0,"",K81/$C81)</f>
        <v>0.0974496644295302</v>
      </c>
      <c r="W81" s="34" t="n">
        <f aca="false">IF($C81=0,"",M81/$C81)</f>
        <v>0.0909489932885906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1137</v>
      </c>
      <c r="D82" s="5" t="n">
        <f aca="false">D18+D31+D44+D57+D70+D81</f>
        <v>301</v>
      </c>
      <c r="E82" s="5" t="n">
        <f aca="false">E18+E31+E44+E57+E70+E81</f>
        <v>752</v>
      </c>
      <c r="F82" s="5" t="n">
        <f aca="false">F18+F31+F44+F57+F70+F81</f>
        <v>752</v>
      </c>
      <c r="G82" s="5" t="n">
        <f aca="false">G18+G31+G44+G57+G70+G81</f>
        <v>630</v>
      </c>
      <c r="H82" s="5" t="n">
        <f aca="false">H18+H31+H44+H57+H70+H81</f>
        <v>515</v>
      </c>
      <c r="I82" s="5" t="n">
        <f aca="false">I18+I31+I44+I57+I70+I81</f>
        <v>301</v>
      </c>
      <c r="J82" s="5" t="n">
        <f aca="false">J18+J31+J44+J57+J70+J81</f>
        <v>0</v>
      </c>
      <c r="K82" s="21" t="n">
        <f aca="false">K18+K31+K44+K57+K70+K81</f>
        <v>104.54</v>
      </c>
      <c r="L82" s="21" t="n">
        <f aca="false">L18+L31+L44+L57+L70+L81</f>
        <v>28.991</v>
      </c>
      <c r="M82" s="21" t="n">
        <f aca="false">K82-L82</f>
        <v>75.549</v>
      </c>
      <c r="N82" s="35" t="n">
        <v>18</v>
      </c>
      <c r="O82" s="35" t="n">
        <v>5</v>
      </c>
      <c r="P82" s="36" t="n">
        <f aca="false">IF($C82=0,"",D82/$C82)</f>
        <v>0.264731750219877</v>
      </c>
      <c r="Q82" s="36" t="n">
        <f aca="false">IF($C82=0,"",E82/$C82)</f>
        <v>0.661389621811785</v>
      </c>
      <c r="R82" s="36" t="n">
        <f aca="false">IF($C82=0,"",F82/$C82)</f>
        <v>0.661389621811785</v>
      </c>
      <c r="S82" s="36" t="n">
        <f aca="false">IF($C82=0,"",G82/$C82)</f>
        <v>0.554089709762533</v>
      </c>
      <c r="T82" s="36" t="n">
        <f aca="false">IF($C82=0,"",H82/$C82)</f>
        <v>0.452946350043975</v>
      </c>
      <c r="U82" s="36" t="n">
        <f aca="false">IF($C82=0,"",I82/$C82)</f>
        <v>0.264731750219877</v>
      </c>
      <c r="V82" s="37" t="n">
        <f aca="false">IF($C82=0,"",K82/$C82)</f>
        <v>0.0919437115215479</v>
      </c>
      <c r="W82" s="37" t="n">
        <f aca="false">IF($C82=0,"",M82/$C82)</f>
        <v>0.0664459102902375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201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13</v>
      </c>
      <c r="D6" s="26" t="n">
        <v>4</v>
      </c>
      <c r="E6" s="26" t="n">
        <v>4</v>
      </c>
      <c r="F6" s="26" t="n">
        <v>7</v>
      </c>
      <c r="G6" s="26" t="n">
        <v>5</v>
      </c>
      <c r="H6" s="26" t="n">
        <v>4</v>
      </c>
      <c r="I6" s="26" t="n">
        <v>4</v>
      </c>
      <c r="J6" s="26" t="n">
        <v>0</v>
      </c>
      <c r="K6" s="27" t="n">
        <v>-1</v>
      </c>
      <c r="L6" s="27" t="n">
        <v>0.2998</v>
      </c>
      <c r="M6" s="19" t="n">
        <f aca="false">K6-L6</f>
        <v>-1.2998</v>
      </c>
      <c r="N6" s="26" t="n">
        <v>2</v>
      </c>
      <c r="O6" s="26" t="n">
        <v>6</v>
      </c>
      <c r="P6" s="28" t="n">
        <f aca="false">IF($C6=0,"",D6/$C6)</f>
        <v>0.307692307692308</v>
      </c>
      <c r="Q6" s="28" t="n">
        <f aca="false">IF($C6=0,"",E6/$C6)</f>
        <v>0.307692307692308</v>
      </c>
      <c r="R6" s="28" t="n">
        <f aca="false">IF($C6=0,"",F6/$C6)</f>
        <v>0.538461538461538</v>
      </c>
      <c r="S6" s="28" t="n">
        <f aca="false">IF($C6=0,"",G6/$C6)</f>
        <v>0.384615384615385</v>
      </c>
      <c r="T6" s="28" t="n">
        <f aca="false">IF($C6=0,"",H6/$C6)</f>
        <v>0.307692307692308</v>
      </c>
      <c r="U6" s="28" t="n">
        <f aca="false">IF($C6=0,"",I6/$C6)</f>
        <v>0.307692307692308</v>
      </c>
      <c r="V6" s="29" t="n">
        <f aca="false">IF($C6=0,"",K6/$C6)</f>
        <v>-0.0769230769230769</v>
      </c>
      <c r="W6" s="29" t="n">
        <f aca="false">IF($C6=0,"",M6/$C6)</f>
        <v>-0.0999846153846154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15</v>
      </c>
      <c r="D7" s="26" t="n">
        <v>6</v>
      </c>
      <c r="E7" s="26" t="n">
        <v>6</v>
      </c>
      <c r="F7" s="26" t="n">
        <v>8</v>
      </c>
      <c r="G7" s="26" t="n">
        <v>7</v>
      </c>
      <c r="H7" s="26" t="n">
        <v>6</v>
      </c>
      <c r="I7" s="26" t="n">
        <v>6</v>
      </c>
      <c r="J7" s="26" t="n">
        <v>0</v>
      </c>
      <c r="K7" s="27" t="n">
        <v>3</v>
      </c>
      <c r="L7" s="27" t="n">
        <v>0.3707</v>
      </c>
      <c r="M7" s="19" t="n">
        <f aca="false">K7-L7</f>
        <v>2.6293</v>
      </c>
      <c r="N7" s="26" t="n">
        <v>3</v>
      </c>
      <c r="O7" s="26" t="n">
        <v>4</v>
      </c>
      <c r="P7" s="28" t="n">
        <f aca="false">IF($C7=0,"",D7/$C7)</f>
        <v>0.4</v>
      </c>
      <c r="Q7" s="28" t="n">
        <f aca="false">IF($C7=0,"",E7/$C7)</f>
        <v>0.4</v>
      </c>
      <c r="R7" s="28" t="n">
        <f aca="false">IF($C7=0,"",F7/$C7)</f>
        <v>0.533333333333333</v>
      </c>
      <c r="S7" s="28" t="n">
        <f aca="false">IF($C7=0,"",G7/$C7)</f>
        <v>0.466666666666667</v>
      </c>
      <c r="T7" s="28" t="n">
        <f aca="false">IF($C7=0,"",H7/$C7)</f>
        <v>0.4</v>
      </c>
      <c r="U7" s="28" t="n">
        <f aca="false">IF($C7=0,"",I7/$C7)</f>
        <v>0.4</v>
      </c>
      <c r="V7" s="29" t="n">
        <f aca="false">IF($C7=0,"",K7/$C7)</f>
        <v>0.2</v>
      </c>
      <c r="W7" s="29" t="n">
        <f aca="false">IF($C7=0,"",M7/$C7)</f>
        <v>0.175286666666667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14</v>
      </c>
      <c r="D8" s="26" t="n">
        <v>5</v>
      </c>
      <c r="E8" s="26" t="n">
        <v>5</v>
      </c>
      <c r="F8" s="26" t="n">
        <v>8</v>
      </c>
      <c r="G8" s="26" t="n">
        <v>6</v>
      </c>
      <c r="H8" s="26" t="n">
        <v>5</v>
      </c>
      <c r="I8" s="26" t="n">
        <v>5</v>
      </c>
      <c r="J8" s="26" t="n">
        <v>0</v>
      </c>
      <c r="K8" s="27" t="n">
        <v>1</v>
      </c>
      <c r="L8" s="27" t="n">
        <v>0.3487</v>
      </c>
      <c r="M8" s="19" t="n">
        <f aca="false">K8-L8</f>
        <v>0.6513</v>
      </c>
      <c r="N8" s="26" t="n">
        <v>2</v>
      </c>
      <c r="O8" s="26" t="n">
        <v>3</v>
      </c>
      <c r="P8" s="28" t="n">
        <f aca="false">IF($C8=0,"",D8/$C8)</f>
        <v>0.357142857142857</v>
      </c>
      <c r="Q8" s="28" t="n">
        <f aca="false">IF($C8=0,"",E8/$C8)</f>
        <v>0.357142857142857</v>
      </c>
      <c r="R8" s="28" t="n">
        <f aca="false">IF($C8=0,"",F8/$C8)</f>
        <v>0.571428571428571</v>
      </c>
      <c r="S8" s="28" t="n">
        <f aca="false">IF($C8=0,"",G8/$C8)</f>
        <v>0.428571428571429</v>
      </c>
      <c r="T8" s="28" t="n">
        <f aca="false">IF($C8=0,"",H8/$C8)</f>
        <v>0.357142857142857</v>
      </c>
      <c r="U8" s="28" t="n">
        <f aca="false">IF($C8=0,"",I8/$C8)</f>
        <v>0.357142857142857</v>
      </c>
      <c r="V8" s="29" t="n">
        <f aca="false">IF($C8=0,"",K8/$C8)</f>
        <v>0.0714285714285714</v>
      </c>
      <c r="W8" s="29" t="n">
        <f aca="false">IF($C8=0,"",M8/$C8)</f>
        <v>0.0465214285714286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14</v>
      </c>
      <c r="D9" s="26" t="n">
        <v>3</v>
      </c>
      <c r="E9" s="26" t="n">
        <v>3</v>
      </c>
      <c r="F9" s="26" t="n">
        <v>9</v>
      </c>
      <c r="G9" s="26" t="n">
        <v>6</v>
      </c>
      <c r="H9" s="26" t="n">
        <v>4</v>
      </c>
      <c r="I9" s="26" t="n">
        <v>3</v>
      </c>
      <c r="J9" s="26" t="n">
        <v>0</v>
      </c>
      <c r="K9" s="27" t="n">
        <v>-5</v>
      </c>
      <c r="L9" s="27" t="n">
        <v>0.5155</v>
      </c>
      <c r="M9" s="19" t="n">
        <f aca="false">K9-L9</f>
        <v>-5.5155</v>
      </c>
      <c r="N9" s="26" t="n">
        <v>1</v>
      </c>
      <c r="O9" s="26" t="n">
        <v>10</v>
      </c>
      <c r="P9" s="28" t="n">
        <f aca="false">IF($C9=0,"",D9/$C9)</f>
        <v>0.214285714285714</v>
      </c>
      <c r="Q9" s="28" t="n">
        <f aca="false">IF($C9=0,"",E9/$C9)</f>
        <v>0.214285714285714</v>
      </c>
      <c r="R9" s="28" t="n">
        <f aca="false">IF($C9=0,"",F9/$C9)</f>
        <v>0.642857142857143</v>
      </c>
      <c r="S9" s="28" t="n">
        <f aca="false">IF($C9=0,"",G9/$C9)</f>
        <v>0.428571428571429</v>
      </c>
      <c r="T9" s="28" t="n">
        <f aca="false">IF($C9=0,"",H9/$C9)</f>
        <v>0.285714285714286</v>
      </c>
      <c r="U9" s="28" t="n">
        <f aca="false">IF($C9=0,"",I9/$C9)</f>
        <v>0.214285714285714</v>
      </c>
      <c r="V9" s="29" t="n">
        <f aca="false">IF($C9=0,"",K9/$C9)</f>
        <v>-0.357142857142857</v>
      </c>
      <c r="W9" s="29" t="n">
        <f aca="false">IF($C9=0,"",M9/$C9)</f>
        <v>-0.393964285714286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15</v>
      </c>
      <c r="D10" s="26" t="n">
        <v>2</v>
      </c>
      <c r="E10" s="26" t="n">
        <v>2</v>
      </c>
      <c r="F10" s="26" t="n">
        <v>8</v>
      </c>
      <c r="G10" s="26" t="n">
        <v>5</v>
      </c>
      <c r="H10" s="26" t="n">
        <v>3</v>
      </c>
      <c r="I10" s="26" t="n">
        <v>2</v>
      </c>
      <c r="J10" s="26" t="n">
        <v>0</v>
      </c>
      <c r="K10" s="27" t="n">
        <v>-9</v>
      </c>
      <c r="L10" s="27" t="n">
        <v>0.5342</v>
      </c>
      <c r="M10" s="19" t="n">
        <f aca="false">K10-L10</f>
        <v>-9.5342</v>
      </c>
      <c r="N10" s="26" t="n">
        <v>1</v>
      </c>
      <c r="O10" s="26" t="n">
        <v>11</v>
      </c>
      <c r="P10" s="28" t="n">
        <f aca="false">IF($C10=0,"",D10/$C10)</f>
        <v>0.133333333333333</v>
      </c>
      <c r="Q10" s="28" t="n">
        <f aca="false">IF($C10=0,"",E10/$C10)</f>
        <v>0.133333333333333</v>
      </c>
      <c r="R10" s="28" t="n">
        <f aca="false">IF($C10=0,"",F10/$C10)</f>
        <v>0.533333333333333</v>
      </c>
      <c r="S10" s="28" t="n">
        <f aca="false">IF($C10=0,"",G10/$C10)</f>
        <v>0.333333333333333</v>
      </c>
      <c r="T10" s="28" t="n">
        <f aca="false">IF($C10=0,"",H10/$C10)</f>
        <v>0.2</v>
      </c>
      <c r="U10" s="28" t="n">
        <f aca="false">IF($C10=0,"",I10/$C10)</f>
        <v>0.133333333333333</v>
      </c>
      <c r="V10" s="29" t="n">
        <f aca="false">IF($C10=0,"",K10/$C10)</f>
        <v>-0.6</v>
      </c>
      <c r="W10" s="29" t="n">
        <f aca="false">IF($C10=0,"",M10/$C10)</f>
        <v>-0.635613333333333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16</v>
      </c>
      <c r="D11" s="26" t="n">
        <v>5</v>
      </c>
      <c r="E11" s="26" t="n">
        <v>5</v>
      </c>
      <c r="F11" s="26" t="n">
        <v>10</v>
      </c>
      <c r="G11" s="26" t="n">
        <v>8</v>
      </c>
      <c r="H11" s="26" t="n">
        <v>7</v>
      </c>
      <c r="I11" s="26" t="n">
        <v>5</v>
      </c>
      <c r="J11" s="26" t="n">
        <v>0</v>
      </c>
      <c r="K11" s="27" t="n">
        <v>-1</v>
      </c>
      <c r="L11" s="27" t="n">
        <v>0.5574</v>
      </c>
      <c r="M11" s="19" t="n">
        <f aca="false">K11-L11</f>
        <v>-1.5574</v>
      </c>
      <c r="N11" s="26" t="n">
        <v>4</v>
      </c>
      <c r="O11" s="26" t="n">
        <v>6</v>
      </c>
      <c r="P11" s="28" t="n">
        <f aca="false">IF($C11=0,"",D11/$C11)</f>
        <v>0.3125</v>
      </c>
      <c r="Q11" s="28" t="n">
        <f aca="false">IF($C11=0,"",E11/$C11)</f>
        <v>0.3125</v>
      </c>
      <c r="R11" s="28" t="n">
        <f aca="false">IF($C11=0,"",F11/$C11)</f>
        <v>0.625</v>
      </c>
      <c r="S11" s="28" t="n">
        <f aca="false">IF($C11=0,"",G11/$C11)</f>
        <v>0.5</v>
      </c>
      <c r="T11" s="28" t="n">
        <f aca="false">IF($C11=0,"",H11/$C11)</f>
        <v>0.4375</v>
      </c>
      <c r="U11" s="28" t="n">
        <f aca="false">IF($C11=0,"",I11/$C11)</f>
        <v>0.3125</v>
      </c>
      <c r="V11" s="29" t="n">
        <f aca="false">IF($C11=0,"",K11/$C11)</f>
        <v>-0.0625</v>
      </c>
      <c r="W11" s="29" t="n">
        <f aca="false">IF($C11=0,"",M11/$C11)</f>
        <v>-0.0973375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15</v>
      </c>
      <c r="D12" s="26" t="n">
        <v>2</v>
      </c>
      <c r="E12" s="26" t="n">
        <v>2</v>
      </c>
      <c r="F12" s="26" t="n">
        <v>10</v>
      </c>
      <c r="G12" s="26" t="n">
        <v>6</v>
      </c>
      <c r="H12" s="26" t="n">
        <v>3</v>
      </c>
      <c r="I12" s="26" t="n">
        <v>2</v>
      </c>
      <c r="J12" s="26" t="n">
        <v>0</v>
      </c>
      <c r="K12" s="27" t="n">
        <v>-9</v>
      </c>
      <c r="L12" s="27" t="n">
        <v>0.5656</v>
      </c>
      <c r="M12" s="19" t="n">
        <f aca="false">K12-L12</f>
        <v>-9.5656</v>
      </c>
      <c r="N12" s="26" t="n">
        <v>2</v>
      </c>
      <c r="O12" s="26" t="n">
        <v>13</v>
      </c>
      <c r="P12" s="28" t="n">
        <f aca="false">IF($C12=0,"",D12/$C12)</f>
        <v>0.133333333333333</v>
      </c>
      <c r="Q12" s="28" t="n">
        <f aca="false">IF($C12=0,"",E12/$C12)</f>
        <v>0.133333333333333</v>
      </c>
      <c r="R12" s="28" t="n">
        <f aca="false">IF($C12=0,"",F12/$C12)</f>
        <v>0.666666666666667</v>
      </c>
      <c r="S12" s="28" t="n">
        <f aca="false">IF($C12=0,"",G12/$C12)</f>
        <v>0.4</v>
      </c>
      <c r="T12" s="28" t="n">
        <f aca="false">IF($C12=0,"",H12/$C12)</f>
        <v>0.2</v>
      </c>
      <c r="U12" s="28" t="n">
        <f aca="false">IF($C12=0,"",I12/$C12)</f>
        <v>0.133333333333333</v>
      </c>
      <c r="V12" s="29" t="n">
        <f aca="false">IF($C12=0,"",K12/$C12)</f>
        <v>-0.6</v>
      </c>
      <c r="W12" s="29" t="n">
        <f aca="false">IF($C12=0,"",M12/$C12)</f>
        <v>-0.637706666666667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9</v>
      </c>
      <c r="D13" s="26" t="n">
        <v>2</v>
      </c>
      <c r="E13" s="26" t="n">
        <v>2</v>
      </c>
      <c r="F13" s="26" t="n">
        <v>2</v>
      </c>
      <c r="G13" s="26" t="n">
        <v>2</v>
      </c>
      <c r="H13" s="26" t="n">
        <v>2</v>
      </c>
      <c r="I13" s="26" t="n">
        <v>2</v>
      </c>
      <c r="J13" s="26" t="n">
        <v>0</v>
      </c>
      <c r="K13" s="27" t="n">
        <v>-3</v>
      </c>
      <c r="L13" s="27" t="n">
        <v>0.347</v>
      </c>
      <c r="M13" s="19" t="n">
        <f aca="false">K13-L13</f>
        <v>-3.347</v>
      </c>
      <c r="N13" s="26" t="n">
        <v>1</v>
      </c>
      <c r="O13" s="26" t="n">
        <v>3</v>
      </c>
      <c r="P13" s="28" t="n">
        <f aca="false">IF($C13=0,"",D13/$C13)</f>
        <v>0.222222222222222</v>
      </c>
      <c r="Q13" s="28" t="n">
        <f aca="false">IF($C13=0,"",E13/$C13)</f>
        <v>0.222222222222222</v>
      </c>
      <c r="R13" s="28" t="n">
        <f aca="false">IF($C13=0,"",F13/$C13)</f>
        <v>0.222222222222222</v>
      </c>
      <c r="S13" s="28" t="n">
        <f aca="false">IF($C13=0,"",G13/$C13)</f>
        <v>0.222222222222222</v>
      </c>
      <c r="T13" s="28" t="n">
        <f aca="false">IF($C13=0,"",H13/$C13)</f>
        <v>0.222222222222222</v>
      </c>
      <c r="U13" s="28" t="n">
        <f aca="false">IF($C13=0,"",I13/$C13)</f>
        <v>0.222222222222222</v>
      </c>
      <c r="V13" s="29" t="n">
        <f aca="false">IF($C13=0,"",K13/$C13)</f>
        <v>-0.333333333333333</v>
      </c>
      <c r="W13" s="29" t="n">
        <f aca="false">IF($C13=0,"",M13/$C13)</f>
        <v>-0.371888888888889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13</v>
      </c>
      <c r="D14" s="26" t="n">
        <v>2</v>
      </c>
      <c r="E14" s="26" t="n">
        <v>2</v>
      </c>
      <c r="F14" s="26" t="n">
        <v>3</v>
      </c>
      <c r="G14" s="26" t="n">
        <v>2</v>
      </c>
      <c r="H14" s="26" t="n">
        <v>2</v>
      </c>
      <c r="I14" s="26" t="n">
        <v>2</v>
      </c>
      <c r="J14" s="26" t="n">
        <v>0</v>
      </c>
      <c r="K14" s="27" t="n">
        <v>-7</v>
      </c>
      <c r="L14" s="27" t="n">
        <v>0.4165</v>
      </c>
      <c r="M14" s="19" t="n">
        <f aca="false">K14-L14</f>
        <v>-7.4165</v>
      </c>
      <c r="N14" s="26" t="n">
        <v>1</v>
      </c>
      <c r="O14" s="26" t="n">
        <v>5</v>
      </c>
      <c r="P14" s="28" t="n">
        <f aca="false">IF($C14=0,"",D14/$C14)</f>
        <v>0.153846153846154</v>
      </c>
      <c r="Q14" s="28" t="n">
        <f aca="false">IF($C14=0,"",E14/$C14)</f>
        <v>0.153846153846154</v>
      </c>
      <c r="R14" s="28" t="n">
        <f aca="false">IF($C14=0,"",F14/$C14)</f>
        <v>0.230769230769231</v>
      </c>
      <c r="S14" s="28" t="n">
        <f aca="false">IF($C14=0,"",G14/$C14)</f>
        <v>0.153846153846154</v>
      </c>
      <c r="T14" s="28" t="n">
        <f aca="false">IF($C14=0,"",H14/$C14)</f>
        <v>0.153846153846154</v>
      </c>
      <c r="U14" s="28" t="n">
        <f aca="false">IF($C14=0,"",I14/$C14)</f>
        <v>0.153846153846154</v>
      </c>
      <c r="V14" s="29" t="n">
        <f aca="false">IF($C14=0,"",K14/$C14)</f>
        <v>-0.538461538461538</v>
      </c>
      <c r="W14" s="29" t="n">
        <f aca="false">IF($C14=0,"",M14/$C14)</f>
        <v>-0.5705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16</v>
      </c>
      <c r="D15" s="26" t="n">
        <v>4</v>
      </c>
      <c r="E15" s="26" t="n">
        <v>4</v>
      </c>
      <c r="F15" s="26" t="n">
        <v>9</v>
      </c>
      <c r="G15" s="26" t="n">
        <v>6</v>
      </c>
      <c r="H15" s="26" t="n">
        <v>5</v>
      </c>
      <c r="I15" s="26" t="n">
        <v>4</v>
      </c>
      <c r="J15" s="26" t="n">
        <v>0</v>
      </c>
      <c r="K15" s="27" t="n">
        <v>-4</v>
      </c>
      <c r="L15" s="27" t="n">
        <v>0.5196</v>
      </c>
      <c r="M15" s="19" t="n">
        <f aca="false">K15-L15</f>
        <v>-4.5196</v>
      </c>
      <c r="N15" s="26" t="n">
        <v>1</v>
      </c>
      <c r="O15" s="26" t="n">
        <v>5</v>
      </c>
      <c r="P15" s="28" t="n">
        <f aca="false">IF($C15=0,"",D15/$C15)</f>
        <v>0.25</v>
      </c>
      <c r="Q15" s="28" t="n">
        <f aca="false">IF($C15=0,"",E15/$C15)</f>
        <v>0.25</v>
      </c>
      <c r="R15" s="28" t="n">
        <f aca="false">IF($C15=0,"",F15/$C15)</f>
        <v>0.5625</v>
      </c>
      <c r="S15" s="28" t="n">
        <f aca="false">IF($C15=0,"",G15/$C15)</f>
        <v>0.375</v>
      </c>
      <c r="T15" s="28" t="n">
        <f aca="false">IF($C15=0,"",H15/$C15)</f>
        <v>0.3125</v>
      </c>
      <c r="U15" s="28" t="n">
        <f aca="false">IF($C15=0,"",I15/$C15)</f>
        <v>0.25</v>
      </c>
      <c r="V15" s="29" t="n">
        <f aca="false">IF($C15=0,"",K15/$C15)</f>
        <v>-0.25</v>
      </c>
      <c r="W15" s="29" t="n">
        <f aca="false">IF($C15=0,"",M15/$C15)</f>
        <v>-0.282475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10</v>
      </c>
      <c r="D16" s="26" t="n">
        <v>3</v>
      </c>
      <c r="E16" s="26" t="n">
        <v>3</v>
      </c>
      <c r="F16" s="26" t="n">
        <v>6</v>
      </c>
      <c r="G16" s="26" t="n">
        <v>5</v>
      </c>
      <c r="H16" s="26" t="n">
        <v>4</v>
      </c>
      <c r="I16" s="26" t="n">
        <v>3</v>
      </c>
      <c r="J16" s="26" t="n">
        <v>0</v>
      </c>
      <c r="K16" s="27" t="n">
        <v>-1</v>
      </c>
      <c r="L16" s="27" t="n">
        <v>0.3239</v>
      </c>
      <c r="M16" s="19" t="n">
        <f aca="false">K16-L16</f>
        <v>-1.3239</v>
      </c>
      <c r="N16" s="26" t="n">
        <v>2</v>
      </c>
      <c r="O16" s="26" t="n">
        <v>4</v>
      </c>
      <c r="P16" s="28" t="n">
        <f aca="false">IF($C16=0,"",D16/$C16)</f>
        <v>0.3</v>
      </c>
      <c r="Q16" s="28" t="n">
        <f aca="false">IF($C16=0,"",E16/$C16)</f>
        <v>0.3</v>
      </c>
      <c r="R16" s="28" t="n">
        <f aca="false">IF($C16=0,"",F16/$C16)</f>
        <v>0.6</v>
      </c>
      <c r="S16" s="28" t="n">
        <f aca="false">IF($C16=0,"",G16/$C16)</f>
        <v>0.5</v>
      </c>
      <c r="T16" s="28" t="n">
        <f aca="false">IF($C16=0,"",H16/$C16)</f>
        <v>0.4</v>
      </c>
      <c r="U16" s="28" t="n">
        <f aca="false">IF($C16=0,"",I16/$C16)</f>
        <v>0.3</v>
      </c>
      <c r="V16" s="29" t="n">
        <f aca="false">IF($C16=0,"",K16/$C16)</f>
        <v>-0.1</v>
      </c>
      <c r="W16" s="29" t="n">
        <f aca="false">IF($C16=0,"",M16/$C16)</f>
        <v>-0.13239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17</v>
      </c>
      <c r="D17" s="26" t="n">
        <v>2</v>
      </c>
      <c r="E17" s="26" t="n">
        <v>2</v>
      </c>
      <c r="F17" s="26" t="n">
        <v>9</v>
      </c>
      <c r="G17" s="26" t="n">
        <v>7</v>
      </c>
      <c r="H17" s="26" t="n">
        <v>4</v>
      </c>
      <c r="I17" s="26" t="n">
        <v>2</v>
      </c>
      <c r="J17" s="26" t="n">
        <v>0</v>
      </c>
      <c r="K17" s="27" t="n">
        <v>-11</v>
      </c>
      <c r="L17" s="27" t="n">
        <v>0.8422</v>
      </c>
      <c r="M17" s="19" t="n">
        <f aca="false">K17-L17</f>
        <v>-11.8422</v>
      </c>
      <c r="N17" s="26" t="n">
        <v>2</v>
      </c>
      <c r="O17" s="26" t="n">
        <v>9</v>
      </c>
      <c r="P17" s="28" t="n">
        <f aca="false">IF($C17=0,"",D17/$C17)</f>
        <v>0.117647058823529</v>
      </c>
      <c r="Q17" s="28" t="n">
        <f aca="false">IF($C17=0,"",E17/$C17)</f>
        <v>0.117647058823529</v>
      </c>
      <c r="R17" s="28" t="n">
        <f aca="false">IF($C17=0,"",F17/$C17)</f>
        <v>0.529411764705882</v>
      </c>
      <c r="S17" s="28" t="n">
        <f aca="false">IF($C17=0,"",G17/$C17)</f>
        <v>0.411764705882353</v>
      </c>
      <c r="T17" s="28" t="n">
        <f aca="false">IF($C17=0,"",H17/$C17)</f>
        <v>0.235294117647059</v>
      </c>
      <c r="U17" s="28" t="n">
        <f aca="false">IF($C17=0,"",I17/$C17)</f>
        <v>0.117647058823529</v>
      </c>
      <c r="V17" s="29" t="n">
        <f aca="false">IF($C17=0,"",K17/$C17)</f>
        <v>-0.647058823529412</v>
      </c>
      <c r="W17" s="29" t="n">
        <f aca="false">IF($C17=0,"",M17/$C17)</f>
        <v>-0.6966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167</v>
      </c>
      <c r="D18" s="30" t="n">
        <f aca="false">SUM(D6:D17)</f>
        <v>40</v>
      </c>
      <c r="E18" s="30" t="n">
        <f aca="false">SUM(E6:E17)</f>
        <v>40</v>
      </c>
      <c r="F18" s="30" t="n">
        <f aca="false">SUM(F6:F17)</f>
        <v>89</v>
      </c>
      <c r="G18" s="30" t="n">
        <f aca="false">SUM(G6:G17)</f>
        <v>65</v>
      </c>
      <c r="H18" s="30" t="n">
        <f aca="false">SUM(H6:H17)</f>
        <v>49</v>
      </c>
      <c r="I18" s="30" t="n">
        <f aca="false">SUM(I6:I17)</f>
        <v>40</v>
      </c>
      <c r="J18" s="30" t="n">
        <f aca="false">SUM(J6:J17)</f>
        <v>0</v>
      </c>
      <c r="K18" s="31" t="n">
        <f aca="false">SUM(K6:K17)</f>
        <v>-47</v>
      </c>
      <c r="L18" s="31" t="n">
        <f aca="false">SUM(L6:L17)</f>
        <v>5.6411</v>
      </c>
      <c r="M18" s="31" t="n">
        <f aca="false">K18-L18</f>
        <v>-52.6411</v>
      </c>
      <c r="N18" s="32" t="n">
        <v>4</v>
      </c>
      <c r="O18" s="32" t="n">
        <v>15</v>
      </c>
      <c r="P18" s="33" t="n">
        <f aca="false">IF($C18=0,"",D18/$C18)</f>
        <v>0.239520958083832</v>
      </c>
      <c r="Q18" s="33" t="n">
        <f aca="false">IF($C18=0,"",E18/$C18)</f>
        <v>0.239520958083832</v>
      </c>
      <c r="R18" s="33" t="n">
        <f aca="false">IF($C18=0,"",F18/$C18)</f>
        <v>0.532934131736527</v>
      </c>
      <c r="S18" s="33" t="n">
        <f aca="false">IF($C18=0,"",G18/$C18)</f>
        <v>0.389221556886228</v>
      </c>
      <c r="T18" s="33" t="n">
        <f aca="false">IF($C18=0,"",H18/$C18)</f>
        <v>0.293413173652695</v>
      </c>
      <c r="U18" s="33" t="n">
        <f aca="false">IF($C18=0,"",I18/$C18)</f>
        <v>0.239520958083832</v>
      </c>
      <c r="V18" s="34" t="n">
        <f aca="false">IF($C18=0,"",K18/$C18)</f>
        <v>-0.281437125748503</v>
      </c>
      <c r="W18" s="34" t="n">
        <f aca="false">IF($C18=0,"",M18/$C18)</f>
        <v>-0.315216167664671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11</v>
      </c>
      <c r="D19" s="26" t="n">
        <v>5</v>
      </c>
      <c r="E19" s="26" t="n">
        <v>5</v>
      </c>
      <c r="F19" s="26" t="n">
        <v>9</v>
      </c>
      <c r="G19" s="26" t="n">
        <v>7</v>
      </c>
      <c r="H19" s="26" t="n">
        <v>6</v>
      </c>
      <c r="I19" s="26" t="n">
        <v>5</v>
      </c>
      <c r="J19" s="26" t="n">
        <v>0</v>
      </c>
      <c r="K19" s="27" t="n">
        <v>4</v>
      </c>
      <c r="L19" s="27" t="n">
        <v>0.4007</v>
      </c>
      <c r="M19" s="19" t="n">
        <f aca="false">K19-L19</f>
        <v>3.5993</v>
      </c>
      <c r="N19" s="26" t="n">
        <v>2</v>
      </c>
      <c r="O19" s="26" t="n">
        <v>3</v>
      </c>
      <c r="P19" s="28" t="n">
        <f aca="false">IF($C19=0,"",D19/$C19)</f>
        <v>0.454545454545455</v>
      </c>
      <c r="Q19" s="28" t="n">
        <f aca="false">IF($C19=0,"",E19/$C19)</f>
        <v>0.454545454545455</v>
      </c>
      <c r="R19" s="28" t="n">
        <f aca="false">IF($C19=0,"",F19/$C19)</f>
        <v>0.818181818181818</v>
      </c>
      <c r="S19" s="28" t="n">
        <f aca="false">IF($C19=0,"",G19/$C19)</f>
        <v>0.636363636363636</v>
      </c>
      <c r="T19" s="28" t="n">
        <f aca="false">IF($C19=0,"",H19/$C19)</f>
        <v>0.545454545454545</v>
      </c>
      <c r="U19" s="28" t="n">
        <f aca="false">IF($C19=0,"",I19/$C19)</f>
        <v>0.454545454545455</v>
      </c>
      <c r="V19" s="29" t="n">
        <f aca="false">IF($C19=0,"",K19/$C19)</f>
        <v>0.363636363636364</v>
      </c>
      <c r="W19" s="29" t="n">
        <f aca="false">IF($C19=0,"",M19/$C19)</f>
        <v>0.327209090909091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12</v>
      </c>
      <c r="D20" s="26" t="n">
        <v>4</v>
      </c>
      <c r="E20" s="26" t="n">
        <v>4</v>
      </c>
      <c r="F20" s="26" t="n">
        <v>7</v>
      </c>
      <c r="G20" s="26" t="n">
        <v>5</v>
      </c>
      <c r="H20" s="26" t="n">
        <v>4</v>
      </c>
      <c r="I20" s="26" t="n">
        <v>4</v>
      </c>
      <c r="J20" s="26" t="n">
        <v>0</v>
      </c>
      <c r="K20" s="27" t="n">
        <v>0</v>
      </c>
      <c r="L20" s="27" t="n">
        <v>0.3112</v>
      </c>
      <c r="M20" s="19" t="n">
        <f aca="false">K20-L20</f>
        <v>-0.3112</v>
      </c>
      <c r="N20" s="26" t="n">
        <v>2</v>
      </c>
      <c r="O20" s="26" t="n">
        <v>4</v>
      </c>
      <c r="P20" s="28" t="n">
        <f aca="false">IF($C20=0,"",D20/$C20)</f>
        <v>0.333333333333333</v>
      </c>
      <c r="Q20" s="28" t="n">
        <f aca="false">IF($C20=0,"",E20/$C20)</f>
        <v>0.333333333333333</v>
      </c>
      <c r="R20" s="28" t="n">
        <f aca="false">IF($C20=0,"",F20/$C20)</f>
        <v>0.583333333333333</v>
      </c>
      <c r="S20" s="28" t="n">
        <f aca="false">IF($C20=0,"",G20/$C20)</f>
        <v>0.416666666666667</v>
      </c>
      <c r="T20" s="28" t="n">
        <f aca="false">IF($C20=0,"",H20/$C20)</f>
        <v>0.333333333333333</v>
      </c>
      <c r="U20" s="28" t="n">
        <f aca="false">IF($C20=0,"",I20/$C20)</f>
        <v>0.333333333333333</v>
      </c>
      <c r="V20" s="29" t="n">
        <f aca="false">IF($C20=0,"",K20/$C20)</f>
        <v>0</v>
      </c>
      <c r="W20" s="29" t="n">
        <f aca="false">IF($C20=0,"",M20/$C20)</f>
        <v>-0.0259333333333333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15</v>
      </c>
      <c r="D21" s="26" t="n">
        <v>8</v>
      </c>
      <c r="E21" s="26" t="n">
        <v>8</v>
      </c>
      <c r="F21" s="26" t="n">
        <v>10</v>
      </c>
      <c r="G21" s="26" t="n">
        <v>8</v>
      </c>
      <c r="H21" s="26" t="n">
        <v>8</v>
      </c>
      <c r="I21" s="26" t="n">
        <v>8</v>
      </c>
      <c r="J21" s="26" t="n">
        <v>0</v>
      </c>
      <c r="K21" s="27" t="n">
        <v>9</v>
      </c>
      <c r="L21" s="27" t="n">
        <v>0.3296</v>
      </c>
      <c r="M21" s="19" t="n">
        <f aca="false">K21-L21</f>
        <v>8.6704</v>
      </c>
      <c r="N21" s="26" t="n">
        <v>2</v>
      </c>
      <c r="O21" s="26" t="n">
        <v>2</v>
      </c>
      <c r="P21" s="28" t="n">
        <f aca="false">IF($C21=0,"",D21/$C21)</f>
        <v>0.533333333333333</v>
      </c>
      <c r="Q21" s="28" t="n">
        <f aca="false">IF($C21=0,"",E21/$C21)</f>
        <v>0.533333333333333</v>
      </c>
      <c r="R21" s="28" t="n">
        <f aca="false">IF($C21=0,"",F21/$C21)</f>
        <v>0.666666666666667</v>
      </c>
      <c r="S21" s="28" t="n">
        <f aca="false">IF($C21=0,"",G21/$C21)</f>
        <v>0.533333333333333</v>
      </c>
      <c r="T21" s="28" t="n">
        <f aca="false">IF($C21=0,"",H21/$C21)</f>
        <v>0.533333333333333</v>
      </c>
      <c r="U21" s="28" t="n">
        <f aca="false">IF($C21=0,"",I21/$C21)</f>
        <v>0.533333333333333</v>
      </c>
      <c r="V21" s="29" t="n">
        <f aca="false">IF($C21=0,"",K21/$C21)</f>
        <v>0.6</v>
      </c>
      <c r="W21" s="29" t="n">
        <f aca="false">IF($C21=0,"",M21/$C21)</f>
        <v>0.578026666666667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9</v>
      </c>
      <c r="D22" s="26" t="n">
        <v>3</v>
      </c>
      <c r="E22" s="26" t="n">
        <v>3</v>
      </c>
      <c r="F22" s="26" t="n">
        <v>6</v>
      </c>
      <c r="G22" s="26" t="n">
        <v>4</v>
      </c>
      <c r="H22" s="26" t="n">
        <v>4</v>
      </c>
      <c r="I22" s="26" t="n">
        <v>3</v>
      </c>
      <c r="J22" s="26" t="n">
        <v>0</v>
      </c>
      <c r="K22" s="27" t="n">
        <v>0</v>
      </c>
      <c r="L22" s="27" t="n">
        <v>0.2473</v>
      </c>
      <c r="M22" s="19" t="n">
        <f aca="false">K22-L22</f>
        <v>-0.2473</v>
      </c>
      <c r="N22" s="26" t="n">
        <v>1</v>
      </c>
      <c r="O22" s="26" t="n">
        <v>2</v>
      </c>
      <c r="P22" s="28" t="n">
        <f aca="false">IF($C22=0,"",D22/$C22)</f>
        <v>0.333333333333333</v>
      </c>
      <c r="Q22" s="28" t="n">
        <f aca="false">IF($C22=0,"",E22/$C22)</f>
        <v>0.333333333333333</v>
      </c>
      <c r="R22" s="28" t="n">
        <f aca="false">IF($C22=0,"",F22/$C22)</f>
        <v>0.666666666666667</v>
      </c>
      <c r="S22" s="28" t="n">
        <f aca="false">IF($C22=0,"",G22/$C22)</f>
        <v>0.444444444444444</v>
      </c>
      <c r="T22" s="28" t="n">
        <f aca="false">IF($C22=0,"",H22/$C22)</f>
        <v>0.444444444444444</v>
      </c>
      <c r="U22" s="28" t="n">
        <f aca="false">IF($C22=0,"",I22/$C22)</f>
        <v>0.333333333333333</v>
      </c>
      <c r="V22" s="29" t="n">
        <f aca="false">IF($C22=0,"",K22/$C22)</f>
        <v>0</v>
      </c>
      <c r="W22" s="29" t="n">
        <f aca="false">IF($C22=0,"",M22/$C22)</f>
        <v>-0.0274777777777778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12</v>
      </c>
      <c r="D23" s="26" t="n">
        <v>5</v>
      </c>
      <c r="E23" s="26" t="n">
        <v>5</v>
      </c>
      <c r="F23" s="26" t="n">
        <v>10</v>
      </c>
      <c r="G23" s="26" t="n">
        <v>7</v>
      </c>
      <c r="H23" s="26" t="n">
        <v>6</v>
      </c>
      <c r="I23" s="26" t="n">
        <v>5</v>
      </c>
      <c r="J23" s="26" t="n">
        <v>0</v>
      </c>
      <c r="K23" s="27" t="n">
        <v>3</v>
      </c>
      <c r="L23" s="27" t="n">
        <v>0.2775</v>
      </c>
      <c r="M23" s="19" t="n">
        <f aca="false">K23-L23</f>
        <v>2.7225</v>
      </c>
      <c r="N23" s="26" t="n">
        <v>2</v>
      </c>
      <c r="O23" s="26" t="n">
        <v>2</v>
      </c>
      <c r="P23" s="28" t="n">
        <f aca="false">IF($C23=0,"",D23/$C23)</f>
        <v>0.416666666666667</v>
      </c>
      <c r="Q23" s="28" t="n">
        <f aca="false">IF($C23=0,"",E23/$C23)</f>
        <v>0.416666666666667</v>
      </c>
      <c r="R23" s="28" t="n">
        <f aca="false">IF($C23=0,"",F23/$C23)</f>
        <v>0.833333333333333</v>
      </c>
      <c r="S23" s="28" t="n">
        <f aca="false">IF($C23=0,"",G23/$C23)</f>
        <v>0.583333333333333</v>
      </c>
      <c r="T23" s="28" t="n">
        <f aca="false">IF($C23=0,"",H23/$C23)</f>
        <v>0.5</v>
      </c>
      <c r="U23" s="28" t="n">
        <f aca="false">IF($C23=0,"",I23/$C23)</f>
        <v>0.416666666666667</v>
      </c>
      <c r="V23" s="29" t="n">
        <f aca="false">IF($C23=0,"",K23/$C23)</f>
        <v>0.25</v>
      </c>
      <c r="W23" s="29" t="n">
        <f aca="false">IF($C23=0,"",M23/$C23)</f>
        <v>0.226875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17</v>
      </c>
      <c r="D24" s="26" t="n">
        <v>4</v>
      </c>
      <c r="E24" s="26" t="n">
        <v>4</v>
      </c>
      <c r="F24" s="26" t="n">
        <v>6</v>
      </c>
      <c r="G24" s="26" t="n">
        <v>6</v>
      </c>
      <c r="H24" s="26" t="n">
        <v>4</v>
      </c>
      <c r="I24" s="26" t="n">
        <v>4</v>
      </c>
      <c r="J24" s="26" t="n">
        <v>0</v>
      </c>
      <c r="K24" s="27" t="n">
        <v>-5</v>
      </c>
      <c r="L24" s="27" t="n">
        <v>0.5956</v>
      </c>
      <c r="M24" s="19" t="n">
        <f aca="false">K24-L24</f>
        <v>-5.5956</v>
      </c>
      <c r="N24" s="26" t="n">
        <v>2</v>
      </c>
      <c r="O24" s="26" t="n">
        <v>7</v>
      </c>
      <c r="P24" s="28" t="n">
        <f aca="false">IF($C24=0,"",D24/$C24)</f>
        <v>0.235294117647059</v>
      </c>
      <c r="Q24" s="28" t="n">
        <f aca="false">IF($C24=0,"",E24/$C24)</f>
        <v>0.235294117647059</v>
      </c>
      <c r="R24" s="28" t="n">
        <f aca="false">IF($C24=0,"",F24/$C24)</f>
        <v>0.352941176470588</v>
      </c>
      <c r="S24" s="28" t="n">
        <f aca="false">IF($C24=0,"",G24/$C24)</f>
        <v>0.352941176470588</v>
      </c>
      <c r="T24" s="28" t="n">
        <f aca="false">IF($C24=0,"",H24/$C24)</f>
        <v>0.235294117647059</v>
      </c>
      <c r="U24" s="28" t="n">
        <f aca="false">IF($C24=0,"",I24/$C24)</f>
        <v>0.235294117647059</v>
      </c>
      <c r="V24" s="29" t="n">
        <f aca="false">IF($C24=0,"",K24/$C24)</f>
        <v>-0.294117647058824</v>
      </c>
      <c r="W24" s="29" t="n">
        <f aca="false">IF($C24=0,"",M24/$C24)</f>
        <v>-0.329152941176471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13</v>
      </c>
      <c r="D25" s="26" t="n">
        <v>4</v>
      </c>
      <c r="E25" s="26" t="n">
        <v>4</v>
      </c>
      <c r="F25" s="26" t="n">
        <v>6</v>
      </c>
      <c r="G25" s="26" t="n">
        <v>5</v>
      </c>
      <c r="H25" s="26" t="n">
        <v>4</v>
      </c>
      <c r="I25" s="26" t="n">
        <v>4</v>
      </c>
      <c r="J25" s="26" t="n">
        <v>0</v>
      </c>
      <c r="K25" s="27" t="n">
        <v>-1</v>
      </c>
      <c r="L25" s="27" t="n">
        <v>0.4548</v>
      </c>
      <c r="M25" s="19" t="n">
        <f aca="false">K25-L25</f>
        <v>-1.4548</v>
      </c>
      <c r="N25" s="26" t="n">
        <v>2</v>
      </c>
      <c r="O25" s="26" t="n">
        <v>3</v>
      </c>
      <c r="P25" s="28" t="n">
        <f aca="false">IF($C25=0,"",D25/$C25)</f>
        <v>0.307692307692308</v>
      </c>
      <c r="Q25" s="28" t="n">
        <f aca="false">IF($C25=0,"",E25/$C25)</f>
        <v>0.307692307692308</v>
      </c>
      <c r="R25" s="28" t="n">
        <f aca="false">IF($C25=0,"",F25/$C25)</f>
        <v>0.461538461538462</v>
      </c>
      <c r="S25" s="28" t="n">
        <f aca="false">IF($C25=0,"",G25/$C25)</f>
        <v>0.384615384615385</v>
      </c>
      <c r="T25" s="28" t="n">
        <f aca="false">IF($C25=0,"",H25/$C25)</f>
        <v>0.307692307692308</v>
      </c>
      <c r="U25" s="28" t="n">
        <f aca="false">IF($C25=0,"",I25/$C25)</f>
        <v>0.307692307692308</v>
      </c>
      <c r="V25" s="29" t="n">
        <f aca="false">IF($C25=0,"",K25/$C25)</f>
        <v>-0.0769230769230769</v>
      </c>
      <c r="W25" s="29" t="n">
        <f aca="false">IF($C25=0,"",M25/$C25)</f>
        <v>-0.111907692307692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14</v>
      </c>
      <c r="D26" s="26" t="n">
        <v>6</v>
      </c>
      <c r="E26" s="26" t="n">
        <v>6</v>
      </c>
      <c r="F26" s="26" t="n">
        <v>7</v>
      </c>
      <c r="G26" s="26" t="n">
        <v>6</v>
      </c>
      <c r="H26" s="26" t="n">
        <v>6</v>
      </c>
      <c r="I26" s="26" t="n">
        <v>6</v>
      </c>
      <c r="J26" s="26" t="n">
        <v>0</v>
      </c>
      <c r="K26" s="27" t="n">
        <v>4</v>
      </c>
      <c r="L26" s="27" t="n">
        <v>0.5197</v>
      </c>
      <c r="M26" s="19" t="n">
        <f aca="false">K26-L26</f>
        <v>3.4803</v>
      </c>
      <c r="N26" s="26" t="n">
        <v>3</v>
      </c>
      <c r="O26" s="26" t="n">
        <v>5</v>
      </c>
      <c r="P26" s="28" t="n">
        <f aca="false">IF($C26=0,"",D26/$C26)</f>
        <v>0.428571428571429</v>
      </c>
      <c r="Q26" s="28" t="n">
        <f aca="false">IF($C26=0,"",E26/$C26)</f>
        <v>0.428571428571429</v>
      </c>
      <c r="R26" s="28" t="n">
        <f aca="false">IF($C26=0,"",F26/$C26)</f>
        <v>0.5</v>
      </c>
      <c r="S26" s="28" t="n">
        <f aca="false">IF($C26=0,"",G26/$C26)</f>
        <v>0.428571428571429</v>
      </c>
      <c r="T26" s="28" t="n">
        <f aca="false">IF($C26=0,"",H26/$C26)</f>
        <v>0.428571428571429</v>
      </c>
      <c r="U26" s="28" t="n">
        <f aca="false">IF($C26=0,"",I26/$C26)</f>
        <v>0.428571428571429</v>
      </c>
      <c r="V26" s="29" t="n">
        <f aca="false">IF($C26=0,"",K26/$C26)</f>
        <v>0.285714285714286</v>
      </c>
      <c r="W26" s="29" t="n">
        <f aca="false">IF($C26=0,"",M26/$C26)</f>
        <v>0.248592857142857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11</v>
      </c>
      <c r="D27" s="26" t="n">
        <v>4</v>
      </c>
      <c r="E27" s="26" t="n">
        <v>4</v>
      </c>
      <c r="F27" s="26" t="n">
        <v>8</v>
      </c>
      <c r="G27" s="26" t="n">
        <v>5</v>
      </c>
      <c r="H27" s="26" t="n">
        <v>5</v>
      </c>
      <c r="I27" s="26" t="n">
        <v>4</v>
      </c>
      <c r="J27" s="26" t="n">
        <v>0</v>
      </c>
      <c r="K27" s="27" t="n">
        <v>1</v>
      </c>
      <c r="L27" s="27" t="n">
        <v>0.333</v>
      </c>
      <c r="M27" s="19" t="n">
        <f aca="false">K27-L27</f>
        <v>0.667</v>
      </c>
      <c r="N27" s="26" t="n">
        <v>2</v>
      </c>
      <c r="O27" s="26" t="n">
        <v>5</v>
      </c>
      <c r="P27" s="28" t="n">
        <f aca="false">IF($C27=0,"",D27/$C27)</f>
        <v>0.363636363636364</v>
      </c>
      <c r="Q27" s="28" t="n">
        <f aca="false">IF($C27=0,"",E27/$C27)</f>
        <v>0.363636363636364</v>
      </c>
      <c r="R27" s="28" t="n">
        <f aca="false">IF($C27=0,"",F27/$C27)</f>
        <v>0.727272727272727</v>
      </c>
      <c r="S27" s="28" t="n">
        <f aca="false">IF($C27=0,"",G27/$C27)</f>
        <v>0.454545454545455</v>
      </c>
      <c r="T27" s="28" t="n">
        <f aca="false">IF($C27=0,"",H27/$C27)</f>
        <v>0.454545454545455</v>
      </c>
      <c r="U27" s="28" t="n">
        <f aca="false">IF($C27=0,"",I27/$C27)</f>
        <v>0.363636363636364</v>
      </c>
      <c r="V27" s="29" t="n">
        <f aca="false">IF($C27=0,"",K27/$C27)</f>
        <v>0.0909090909090909</v>
      </c>
      <c r="W27" s="29" t="n">
        <f aca="false">IF($C27=0,"",M27/$C27)</f>
        <v>0.0606363636363636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10</v>
      </c>
      <c r="D28" s="26" t="n">
        <v>4</v>
      </c>
      <c r="E28" s="26" t="n">
        <v>4</v>
      </c>
      <c r="F28" s="26" t="n">
        <v>7</v>
      </c>
      <c r="G28" s="26" t="n">
        <v>7</v>
      </c>
      <c r="H28" s="26" t="n">
        <v>6</v>
      </c>
      <c r="I28" s="26" t="n">
        <v>4</v>
      </c>
      <c r="J28" s="26" t="n">
        <v>0</v>
      </c>
      <c r="K28" s="27" t="n">
        <v>2</v>
      </c>
      <c r="L28" s="27" t="n">
        <v>0.3031</v>
      </c>
      <c r="M28" s="19" t="n">
        <f aca="false">K28-L28</f>
        <v>1.6969</v>
      </c>
      <c r="N28" s="26" t="n">
        <v>2</v>
      </c>
      <c r="O28" s="26" t="n">
        <v>4</v>
      </c>
      <c r="P28" s="28" t="n">
        <f aca="false">IF($C28=0,"",D28/$C28)</f>
        <v>0.4</v>
      </c>
      <c r="Q28" s="28" t="n">
        <f aca="false">IF($C28=0,"",E28/$C28)</f>
        <v>0.4</v>
      </c>
      <c r="R28" s="28" t="n">
        <f aca="false">IF($C28=0,"",F28/$C28)</f>
        <v>0.7</v>
      </c>
      <c r="S28" s="28" t="n">
        <f aca="false">IF($C28=0,"",G28/$C28)</f>
        <v>0.7</v>
      </c>
      <c r="T28" s="28" t="n">
        <f aca="false">IF($C28=0,"",H28/$C28)</f>
        <v>0.6</v>
      </c>
      <c r="U28" s="28" t="n">
        <f aca="false">IF($C28=0,"",I28/$C28)</f>
        <v>0.4</v>
      </c>
      <c r="V28" s="29" t="n">
        <f aca="false">IF($C28=0,"",K28/$C28)</f>
        <v>0.2</v>
      </c>
      <c r="W28" s="29" t="n">
        <f aca="false">IF($C28=0,"",M28/$C28)</f>
        <v>0.16969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9</v>
      </c>
      <c r="D29" s="26" t="n">
        <v>2</v>
      </c>
      <c r="E29" s="26" t="n">
        <v>2</v>
      </c>
      <c r="F29" s="26" t="n">
        <v>5</v>
      </c>
      <c r="G29" s="26" t="n">
        <v>4</v>
      </c>
      <c r="H29" s="26" t="n">
        <v>2</v>
      </c>
      <c r="I29" s="26" t="n">
        <v>2</v>
      </c>
      <c r="J29" s="26" t="n">
        <v>0</v>
      </c>
      <c r="K29" s="27" t="n">
        <v>-3</v>
      </c>
      <c r="L29" s="27" t="n">
        <v>0.3543</v>
      </c>
      <c r="M29" s="19" t="n">
        <f aca="false">K29-L29</f>
        <v>-3.3543</v>
      </c>
      <c r="N29" s="26" t="n">
        <v>2</v>
      </c>
      <c r="O29" s="26" t="n">
        <v>4</v>
      </c>
      <c r="P29" s="28" t="n">
        <f aca="false">IF($C29=0,"",D29/$C29)</f>
        <v>0.222222222222222</v>
      </c>
      <c r="Q29" s="28" t="n">
        <f aca="false">IF($C29=0,"",E29/$C29)</f>
        <v>0.222222222222222</v>
      </c>
      <c r="R29" s="28" t="n">
        <f aca="false">IF($C29=0,"",F29/$C29)</f>
        <v>0.555555555555556</v>
      </c>
      <c r="S29" s="28" t="n">
        <f aca="false">IF($C29=0,"",G29/$C29)</f>
        <v>0.444444444444444</v>
      </c>
      <c r="T29" s="28" t="n">
        <f aca="false">IF($C29=0,"",H29/$C29)</f>
        <v>0.222222222222222</v>
      </c>
      <c r="U29" s="28" t="n">
        <f aca="false">IF($C29=0,"",I29/$C29)</f>
        <v>0.222222222222222</v>
      </c>
      <c r="V29" s="29" t="n">
        <f aca="false">IF($C29=0,"",K29/$C29)</f>
        <v>-0.333333333333333</v>
      </c>
      <c r="W29" s="29" t="n">
        <f aca="false">IF($C29=0,"",M29/$C29)</f>
        <v>-0.3727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14</v>
      </c>
      <c r="D30" s="26" t="n">
        <v>8</v>
      </c>
      <c r="E30" s="26" t="n">
        <v>8</v>
      </c>
      <c r="F30" s="26" t="n">
        <v>10</v>
      </c>
      <c r="G30" s="26" t="n">
        <v>9</v>
      </c>
      <c r="H30" s="26" t="n">
        <v>8</v>
      </c>
      <c r="I30" s="26" t="n">
        <v>8</v>
      </c>
      <c r="J30" s="26" t="n">
        <v>0</v>
      </c>
      <c r="K30" s="27" t="n">
        <v>10</v>
      </c>
      <c r="L30" s="27" t="n">
        <v>0.4791</v>
      </c>
      <c r="M30" s="19" t="n">
        <f aca="false">K30-L30</f>
        <v>9.5209</v>
      </c>
      <c r="N30" s="26" t="n">
        <v>2</v>
      </c>
      <c r="O30" s="26" t="n">
        <v>2</v>
      </c>
      <c r="P30" s="28" t="n">
        <f aca="false">IF($C30=0,"",D30/$C30)</f>
        <v>0.571428571428571</v>
      </c>
      <c r="Q30" s="28" t="n">
        <f aca="false">IF($C30=0,"",E30/$C30)</f>
        <v>0.571428571428571</v>
      </c>
      <c r="R30" s="28" t="n">
        <f aca="false">IF($C30=0,"",F30/$C30)</f>
        <v>0.714285714285714</v>
      </c>
      <c r="S30" s="28" t="n">
        <f aca="false">IF($C30=0,"",G30/$C30)</f>
        <v>0.642857142857143</v>
      </c>
      <c r="T30" s="28" t="n">
        <f aca="false">IF($C30=0,"",H30/$C30)</f>
        <v>0.571428571428571</v>
      </c>
      <c r="U30" s="28" t="n">
        <f aca="false">IF($C30=0,"",I30/$C30)</f>
        <v>0.571428571428571</v>
      </c>
      <c r="V30" s="29" t="n">
        <f aca="false">IF($C30=0,"",K30/$C30)</f>
        <v>0.714285714285714</v>
      </c>
      <c r="W30" s="29" t="n">
        <f aca="false">IF($C30=0,"",M30/$C30)</f>
        <v>0.680064285714286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147</v>
      </c>
      <c r="D31" s="30" t="n">
        <f aca="false">SUM(D19:D30)</f>
        <v>57</v>
      </c>
      <c r="E31" s="30" t="n">
        <f aca="false">SUM(E19:E30)</f>
        <v>57</v>
      </c>
      <c r="F31" s="30" t="n">
        <f aca="false">SUM(F19:F30)</f>
        <v>91</v>
      </c>
      <c r="G31" s="30" t="n">
        <f aca="false">SUM(G19:G30)</f>
        <v>73</v>
      </c>
      <c r="H31" s="30" t="n">
        <f aca="false">SUM(H19:H30)</f>
        <v>63</v>
      </c>
      <c r="I31" s="30" t="n">
        <f aca="false">SUM(I19:I30)</f>
        <v>57</v>
      </c>
      <c r="J31" s="30" t="n">
        <f aca="false">SUM(J19:J30)</f>
        <v>0</v>
      </c>
      <c r="K31" s="31" t="n">
        <f aca="false">SUM(K19:K30)</f>
        <v>24</v>
      </c>
      <c r="L31" s="31" t="n">
        <f aca="false">SUM(L19:L30)</f>
        <v>4.6059</v>
      </c>
      <c r="M31" s="31" t="n">
        <f aca="false">K31-L31</f>
        <v>19.3941</v>
      </c>
      <c r="N31" s="32" t="n">
        <v>5</v>
      </c>
      <c r="O31" s="32" t="n">
        <v>7</v>
      </c>
      <c r="P31" s="33" t="n">
        <f aca="false">IF($C31=0,"",D31/$C31)</f>
        <v>0.387755102040816</v>
      </c>
      <c r="Q31" s="33" t="n">
        <f aca="false">IF($C31=0,"",E31/$C31)</f>
        <v>0.387755102040816</v>
      </c>
      <c r="R31" s="33" t="n">
        <f aca="false">IF($C31=0,"",F31/$C31)</f>
        <v>0.619047619047619</v>
      </c>
      <c r="S31" s="33" t="n">
        <f aca="false">IF($C31=0,"",G31/$C31)</f>
        <v>0.496598639455782</v>
      </c>
      <c r="T31" s="33" t="n">
        <f aca="false">IF($C31=0,"",H31/$C31)</f>
        <v>0.428571428571429</v>
      </c>
      <c r="U31" s="33" t="n">
        <f aca="false">IF($C31=0,"",I31/$C31)</f>
        <v>0.387755102040816</v>
      </c>
      <c r="V31" s="34" t="n">
        <f aca="false">IF($C31=0,"",K31/$C31)</f>
        <v>0.163265306122449</v>
      </c>
      <c r="W31" s="34" t="n">
        <f aca="false">IF($C31=0,"",M31/$C31)</f>
        <v>0.131932653061225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12</v>
      </c>
      <c r="D32" s="26" t="n">
        <v>4</v>
      </c>
      <c r="E32" s="26" t="n">
        <v>4</v>
      </c>
      <c r="F32" s="26" t="n">
        <v>8</v>
      </c>
      <c r="G32" s="26" t="n">
        <v>8</v>
      </c>
      <c r="H32" s="26" t="n">
        <v>5</v>
      </c>
      <c r="I32" s="26" t="n">
        <v>4</v>
      </c>
      <c r="J32" s="26" t="n">
        <v>0</v>
      </c>
      <c r="K32" s="27" t="n">
        <v>0</v>
      </c>
      <c r="L32" s="27" t="n">
        <v>0.3487</v>
      </c>
      <c r="M32" s="19" t="n">
        <f aca="false">K32-L32</f>
        <v>-0.3487</v>
      </c>
      <c r="N32" s="26" t="n">
        <v>2</v>
      </c>
      <c r="O32" s="26" t="n">
        <v>5</v>
      </c>
      <c r="P32" s="28" t="n">
        <f aca="false">IF($C32=0,"",D32/$C32)</f>
        <v>0.333333333333333</v>
      </c>
      <c r="Q32" s="28" t="n">
        <f aca="false">IF($C32=0,"",E32/$C32)</f>
        <v>0.333333333333333</v>
      </c>
      <c r="R32" s="28" t="n">
        <f aca="false">IF($C32=0,"",F32/$C32)</f>
        <v>0.666666666666667</v>
      </c>
      <c r="S32" s="28" t="n">
        <f aca="false">IF($C32=0,"",G32/$C32)</f>
        <v>0.666666666666667</v>
      </c>
      <c r="T32" s="28" t="n">
        <f aca="false">IF($C32=0,"",H32/$C32)</f>
        <v>0.416666666666667</v>
      </c>
      <c r="U32" s="28" t="n">
        <f aca="false">IF($C32=0,"",I32/$C32)</f>
        <v>0.333333333333333</v>
      </c>
      <c r="V32" s="29" t="n">
        <f aca="false">IF($C32=0,"",K32/$C32)</f>
        <v>0</v>
      </c>
      <c r="W32" s="29" t="n">
        <f aca="false">IF($C32=0,"",M32/$C32)</f>
        <v>-0.0290583333333333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12</v>
      </c>
      <c r="D33" s="26" t="n">
        <v>1</v>
      </c>
      <c r="E33" s="26" t="n">
        <v>1</v>
      </c>
      <c r="F33" s="26" t="n">
        <v>3</v>
      </c>
      <c r="G33" s="26" t="n">
        <v>2</v>
      </c>
      <c r="H33" s="26" t="n">
        <v>1</v>
      </c>
      <c r="I33" s="26" t="n">
        <v>1</v>
      </c>
      <c r="J33" s="26" t="n">
        <v>0</v>
      </c>
      <c r="K33" s="27" t="n">
        <v>-9</v>
      </c>
      <c r="L33" s="27" t="n">
        <v>0.4042</v>
      </c>
      <c r="M33" s="19" t="n">
        <f aca="false">K33-L33</f>
        <v>-9.4042</v>
      </c>
      <c r="N33" s="26" t="n">
        <v>1</v>
      </c>
      <c r="O33" s="26" t="n">
        <v>9</v>
      </c>
      <c r="P33" s="28" t="n">
        <f aca="false">IF($C33=0,"",D33/$C33)</f>
        <v>0.0833333333333333</v>
      </c>
      <c r="Q33" s="28" t="n">
        <f aca="false">IF($C33=0,"",E33/$C33)</f>
        <v>0.0833333333333333</v>
      </c>
      <c r="R33" s="28" t="n">
        <f aca="false">IF($C33=0,"",F33/$C33)</f>
        <v>0.25</v>
      </c>
      <c r="S33" s="28" t="n">
        <f aca="false">IF($C33=0,"",G33/$C33)</f>
        <v>0.166666666666667</v>
      </c>
      <c r="T33" s="28" t="n">
        <f aca="false">IF($C33=0,"",H33/$C33)</f>
        <v>0.0833333333333333</v>
      </c>
      <c r="U33" s="28" t="n">
        <f aca="false">IF($C33=0,"",I33/$C33)</f>
        <v>0.0833333333333333</v>
      </c>
      <c r="V33" s="29" t="n">
        <f aca="false">IF($C33=0,"",K33/$C33)</f>
        <v>-0.75</v>
      </c>
      <c r="W33" s="29" t="n">
        <f aca="false">IF($C33=0,"",M33/$C33)</f>
        <v>-0.783683333333333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11</v>
      </c>
      <c r="D34" s="26" t="n">
        <v>4</v>
      </c>
      <c r="E34" s="26" t="n">
        <v>4</v>
      </c>
      <c r="F34" s="26" t="n">
        <v>7</v>
      </c>
      <c r="G34" s="26" t="n">
        <v>6</v>
      </c>
      <c r="H34" s="26" t="n">
        <v>4</v>
      </c>
      <c r="I34" s="26" t="n">
        <v>4</v>
      </c>
      <c r="J34" s="26" t="n">
        <v>0</v>
      </c>
      <c r="K34" s="27" t="n">
        <v>1</v>
      </c>
      <c r="L34" s="27" t="n">
        <v>0.3745</v>
      </c>
      <c r="M34" s="19" t="n">
        <f aca="false">K34-L34</f>
        <v>0.6255</v>
      </c>
      <c r="N34" s="26" t="n">
        <v>3</v>
      </c>
      <c r="O34" s="26" t="n">
        <v>3</v>
      </c>
      <c r="P34" s="28" t="n">
        <f aca="false">IF($C34=0,"",D34/$C34)</f>
        <v>0.363636363636364</v>
      </c>
      <c r="Q34" s="28" t="n">
        <f aca="false">IF($C34=0,"",E34/$C34)</f>
        <v>0.363636363636364</v>
      </c>
      <c r="R34" s="28" t="n">
        <f aca="false">IF($C34=0,"",F34/$C34)</f>
        <v>0.636363636363636</v>
      </c>
      <c r="S34" s="28" t="n">
        <f aca="false">IF($C34=0,"",G34/$C34)</f>
        <v>0.545454545454545</v>
      </c>
      <c r="T34" s="28" t="n">
        <f aca="false">IF($C34=0,"",H34/$C34)</f>
        <v>0.363636363636364</v>
      </c>
      <c r="U34" s="28" t="n">
        <f aca="false">IF($C34=0,"",I34/$C34)</f>
        <v>0.363636363636364</v>
      </c>
      <c r="V34" s="29" t="n">
        <f aca="false">IF($C34=0,"",K34/$C34)</f>
        <v>0.0909090909090909</v>
      </c>
      <c r="W34" s="29" t="n">
        <f aca="false">IF($C34=0,"",M34/$C34)</f>
        <v>0.0568636363636364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13</v>
      </c>
      <c r="D35" s="26" t="n">
        <v>4</v>
      </c>
      <c r="E35" s="26" t="n">
        <v>4</v>
      </c>
      <c r="F35" s="26" t="n">
        <v>6</v>
      </c>
      <c r="G35" s="26" t="n">
        <v>6</v>
      </c>
      <c r="H35" s="26" t="n">
        <v>4</v>
      </c>
      <c r="I35" s="26" t="n">
        <v>4</v>
      </c>
      <c r="J35" s="26" t="n">
        <v>0</v>
      </c>
      <c r="K35" s="27" t="n">
        <v>-1</v>
      </c>
      <c r="L35" s="27" t="n">
        <v>0.4071</v>
      </c>
      <c r="M35" s="19" t="n">
        <f aca="false">K35-L35</f>
        <v>-1.4071</v>
      </c>
      <c r="N35" s="26" t="n">
        <v>2</v>
      </c>
      <c r="O35" s="26" t="n">
        <v>4</v>
      </c>
      <c r="P35" s="28" t="n">
        <f aca="false">IF($C35=0,"",D35/$C35)</f>
        <v>0.307692307692308</v>
      </c>
      <c r="Q35" s="28" t="n">
        <f aca="false">IF($C35=0,"",E35/$C35)</f>
        <v>0.307692307692308</v>
      </c>
      <c r="R35" s="28" t="n">
        <f aca="false">IF($C35=0,"",F35/$C35)</f>
        <v>0.461538461538462</v>
      </c>
      <c r="S35" s="28" t="n">
        <f aca="false">IF($C35=0,"",G35/$C35)</f>
        <v>0.461538461538462</v>
      </c>
      <c r="T35" s="28" t="n">
        <f aca="false">IF($C35=0,"",H35/$C35)</f>
        <v>0.307692307692308</v>
      </c>
      <c r="U35" s="28" t="n">
        <f aca="false">IF($C35=0,"",I35/$C35)</f>
        <v>0.307692307692308</v>
      </c>
      <c r="V35" s="29" t="n">
        <f aca="false">IF($C35=0,"",K35/$C35)</f>
        <v>-0.0769230769230769</v>
      </c>
      <c r="W35" s="29" t="n">
        <f aca="false">IF($C35=0,"",M35/$C35)</f>
        <v>-0.108238461538462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12</v>
      </c>
      <c r="D36" s="26" t="n">
        <v>6</v>
      </c>
      <c r="E36" s="26" t="n">
        <v>6</v>
      </c>
      <c r="F36" s="26" t="n">
        <v>7</v>
      </c>
      <c r="G36" s="26" t="n">
        <v>6</v>
      </c>
      <c r="H36" s="26" t="n">
        <v>6</v>
      </c>
      <c r="I36" s="26" t="n">
        <v>6</v>
      </c>
      <c r="J36" s="26" t="n">
        <v>0</v>
      </c>
      <c r="K36" s="27" t="n">
        <v>6</v>
      </c>
      <c r="L36" s="27" t="n">
        <v>0.3776</v>
      </c>
      <c r="M36" s="19" t="n">
        <f aca="false">K36-L36</f>
        <v>5.6224</v>
      </c>
      <c r="N36" s="26" t="n">
        <v>3</v>
      </c>
      <c r="O36" s="26" t="n">
        <v>2</v>
      </c>
      <c r="P36" s="28" t="n">
        <f aca="false">IF($C36=0,"",D36/$C36)</f>
        <v>0.5</v>
      </c>
      <c r="Q36" s="28" t="n">
        <f aca="false">IF($C36=0,"",E36/$C36)</f>
        <v>0.5</v>
      </c>
      <c r="R36" s="28" t="n">
        <f aca="false">IF($C36=0,"",F36/$C36)</f>
        <v>0.583333333333333</v>
      </c>
      <c r="S36" s="28" t="n">
        <f aca="false">IF($C36=0,"",G36/$C36)</f>
        <v>0.5</v>
      </c>
      <c r="T36" s="28" t="n">
        <f aca="false">IF($C36=0,"",H36/$C36)</f>
        <v>0.5</v>
      </c>
      <c r="U36" s="28" t="n">
        <f aca="false">IF($C36=0,"",I36/$C36)</f>
        <v>0.5</v>
      </c>
      <c r="V36" s="29" t="n">
        <f aca="false">IF($C36=0,"",K36/$C36)</f>
        <v>0.5</v>
      </c>
      <c r="W36" s="29" t="n">
        <f aca="false">IF($C36=0,"",M36/$C36)</f>
        <v>0.468533333333333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14</v>
      </c>
      <c r="D37" s="26" t="n">
        <v>4</v>
      </c>
      <c r="E37" s="26" t="n">
        <v>4</v>
      </c>
      <c r="F37" s="26" t="n">
        <v>8</v>
      </c>
      <c r="G37" s="26" t="n">
        <v>7</v>
      </c>
      <c r="H37" s="26" t="n">
        <v>4</v>
      </c>
      <c r="I37" s="26" t="n">
        <v>4</v>
      </c>
      <c r="J37" s="26" t="n">
        <v>0</v>
      </c>
      <c r="K37" s="27" t="n">
        <v>-2</v>
      </c>
      <c r="L37" s="27" t="n">
        <v>0.5444</v>
      </c>
      <c r="M37" s="19" t="n">
        <f aca="false">K37-L37</f>
        <v>-2.5444</v>
      </c>
      <c r="N37" s="26" t="n">
        <v>3</v>
      </c>
      <c r="O37" s="26" t="n">
        <v>8</v>
      </c>
      <c r="P37" s="28" t="n">
        <f aca="false">IF($C37=0,"",D37/$C37)</f>
        <v>0.285714285714286</v>
      </c>
      <c r="Q37" s="28" t="n">
        <f aca="false">IF($C37=0,"",E37/$C37)</f>
        <v>0.285714285714286</v>
      </c>
      <c r="R37" s="28" t="n">
        <f aca="false">IF($C37=0,"",F37/$C37)</f>
        <v>0.571428571428571</v>
      </c>
      <c r="S37" s="28" t="n">
        <f aca="false">IF($C37=0,"",G37/$C37)</f>
        <v>0.5</v>
      </c>
      <c r="T37" s="28" t="n">
        <f aca="false">IF($C37=0,"",H37/$C37)</f>
        <v>0.285714285714286</v>
      </c>
      <c r="U37" s="28" t="n">
        <f aca="false">IF($C37=0,"",I37/$C37)</f>
        <v>0.285714285714286</v>
      </c>
      <c r="V37" s="29" t="n">
        <f aca="false">IF($C37=0,"",K37/$C37)</f>
        <v>-0.142857142857143</v>
      </c>
      <c r="W37" s="29" t="n">
        <f aca="false">IF($C37=0,"",M37/$C37)</f>
        <v>-0.181742857142857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12</v>
      </c>
      <c r="D38" s="26" t="n">
        <v>4</v>
      </c>
      <c r="E38" s="26" t="n">
        <v>4</v>
      </c>
      <c r="F38" s="26" t="n">
        <v>7</v>
      </c>
      <c r="G38" s="26" t="n">
        <v>6</v>
      </c>
      <c r="H38" s="26" t="n">
        <v>5</v>
      </c>
      <c r="I38" s="26" t="n">
        <v>4</v>
      </c>
      <c r="J38" s="26" t="n">
        <v>0</v>
      </c>
      <c r="K38" s="27" t="n">
        <v>0</v>
      </c>
      <c r="L38" s="27" t="n">
        <v>0.4825</v>
      </c>
      <c r="M38" s="19" t="n">
        <f aca="false">K38-L38</f>
        <v>-0.4825</v>
      </c>
      <c r="N38" s="26" t="n">
        <v>1</v>
      </c>
      <c r="O38" s="26" t="n">
        <v>2</v>
      </c>
      <c r="P38" s="28" t="n">
        <f aca="false">IF($C38=0,"",D38/$C38)</f>
        <v>0.333333333333333</v>
      </c>
      <c r="Q38" s="28" t="n">
        <f aca="false">IF($C38=0,"",E38/$C38)</f>
        <v>0.333333333333333</v>
      </c>
      <c r="R38" s="28" t="n">
        <f aca="false">IF($C38=0,"",F38/$C38)</f>
        <v>0.583333333333333</v>
      </c>
      <c r="S38" s="28" t="n">
        <f aca="false">IF($C38=0,"",G38/$C38)</f>
        <v>0.5</v>
      </c>
      <c r="T38" s="28" t="n">
        <f aca="false">IF($C38=0,"",H38/$C38)</f>
        <v>0.416666666666667</v>
      </c>
      <c r="U38" s="28" t="n">
        <f aca="false">IF($C38=0,"",I38/$C38)</f>
        <v>0.333333333333333</v>
      </c>
      <c r="V38" s="29" t="n">
        <f aca="false">IF($C38=0,"",K38/$C38)</f>
        <v>0</v>
      </c>
      <c r="W38" s="29" t="n">
        <f aca="false">IF($C38=0,"",M38/$C38)</f>
        <v>-0.0402083333333333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15</v>
      </c>
      <c r="D39" s="26" t="n">
        <v>6</v>
      </c>
      <c r="E39" s="26" t="n">
        <v>6</v>
      </c>
      <c r="F39" s="26" t="n">
        <v>7</v>
      </c>
      <c r="G39" s="26" t="n">
        <v>6</v>
      </c>
      <c r="H39" s="26" t="n">
        <v>6</v>
      </c>
      <c r="I39" s="26" t="n">
        <v>6</v>
      </c>
      <c r="J39" s="26" t="n">
        <v>0</v>
      </c>
      <c r="K39" s="27" t="n">
        <v>3</v>
      </c>
      <c r="L39" s="27" t="n">
        <v>0.9231</v>
      </c>
      <c r="M39" s="19" t="n">
        <f aca="false">K39-L39</f>
        <v>2.0769</v>
      </c>
      <c r="N39" s="26" t="n">
        <v>4</v>
      </c>
      <c r="O39" s="26" t="n">
        <v>5</v>
      </c>
      <c r="P39" s="28" t="n">
        <f aca="false">IF($C39=0,"",D39/$C39)</f>
        <v>0.4</v>
      </c>
      <c r="Q39" s="28" t="n">
        <f aca="false">IF($C39=0,"",E39/$C39)</f>
        <v>0.4</v>
      </c>
      <c r="R39" s="28" t="n">
        <f aca="false">IF($C39=0,"",F39/$C39)</f>
        <v>0.466666666666667</v>
      </c>
      <c r="S39" s="28" t="n">
        <f aca="false">IF($C39=0,"",G39/$C39)</f>
        <v>0.4</v>
      </c>
      <c r="T39" s="28" t="n">
        <f aca="false">IF($C39=0,"",H39/$C39)</f>
        <v>0.4</v>
      </c>
      <c r="U39" s="28" t="n">
        <f aca="false">IF($C39=0,"",I39/$C39)</f>
        <v>0.4</v>
      </c>
      <c r="V39" s="29" t="n">
        <f aca="false">IF($C39=0,"",K39/$C39)</f>
        <v>0.2</v>
      </c>
      <c r="W39" s="29" t="n">
        <f aca="false">IF($C39=0,"",M39/$C39)</f>
        <v>0.13846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11</v>
      </c>
      <c r="D40" s="26" t="n">
        <v>3</v>
      </c>
      <c r="E40" s="26" t="n">
        <v>3</v>
      </c>
      <c r="F40" s="26" t="n">
        <v>5</v>
      </c>
      <c r="G40" s="26" t="n">
        <v>5</v>
      </c>
      <c r="H40" s="26" t="n">
        <v>3</v>
      </c>
      <c r="I40" s="26" t="n">
        <v>3</v>
      </c>
      <c r="J40" s="26" t="n">
        <v>0</v>
      </c>
      <c r="K40" s="27" t="n">
        <v>-2</v>
      </c>
      <c r="L40" s="27" t="n">
        <v>0.8384</v>
      </c>
      <c r="M40" s="19" t="n">
        <f aca="false">K40-L40</f>
        <v>-2.8384</v>
      </c>
      <c r="N40" s="26" t="n">
        <v>1</v>
      </c>
      <c r="O40" s="26" t="n">
        <v>4</v>
      </c>
      <c r="P40" s="28" t="n">
        <f aca="false">IF($C40=0,"",D40/$C40)</f>
        <v>0.272727272727273</v>
      </c>
      <c r="Q40" s="28" t="n">
        <f aca="false">IF($C40=0,"",E40/$C40)</f>
        <v>0.272727272727273</v>
      </c>
      <c r="R40" s="28" t="n">
        <f aca="false">IF($C40=0,"",F40/$C40)</f>
        <v>0.454545454545455</v>
      </c>
      <c r="S40" s="28" t="n">
        <f aca="false">IF($C40=0,"",G40/$C40)</f>
        <v>0.454545454545455</v>
      </c>
      <c r="T40" s="28" t="n">
        <f aca="false">IF($C40=0,"",H40/$C40)</f>
        <v>0.272727272727273</v>
      </c>
      <c r="U40" s="28" t="n">
        <f aca="false">IF($C40=0,"",I40/$C40)</f>
        <v>0.272727272727273</v>
      </c>
      <c r="V40" s="29" t="n">
        <f aca="false">IF($C40=0,"",K40/$C40)</f>
        <v>-0.181818181818182</v>
      </c>
      <c r="W40" s="29" t="n">
        <f aca="false">IF($C40=0,"",M40/$C40)</f>
        <v>-0.258036363636364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11</v>
      </c>
      <c r="D41" s="26" t="n">
        <v>3</v>
      </c>
      <c r="E41" s="26" t="n">
        <v>3</v>
      </c>
      <c r="F41" s="26" t="n">
        <v>10</v>
      </c>
      <c r="G41" s="26" t="n">
        <v>6</v>
      </c>
      <c r="H41" s="26" t="n">
        <v>3</v>
      </c>
      <c r="I41" s="26" t="n">
        <v>3</v>
      </c>
      <c r="J41" s="26" t="n">
        <v>0</v>
      </c>
      <c r="K41" s="27" t="n">
        <v>-2</v>
      </c>
      <c r="L41" s="27" t="n">
        <v>0.2488</v>
      </c>
      <c r="M41" s="19" t="n">
        <f aca="false">K41-L41</f>
        <v>-2.2488</v>
      </c>
      <c r="N41" s="26" t="n">
        <v>1</v>
      </c>
      <c r="O41" s="26" t="n">
        <v>6</v>
      </c>
      <c r="P41" s="28" t="n">
        <f aca="false">IF($C41=0,"",D41/$C41)</f>
        <v>0.272727272727273</v>
      </c>
      <c r="Q41" s="28" t="n">
        <f aca="false">IF($C41=0,"",E41/$C41)</f>
        <v>0.272727272727273</v>
      </c>
      <c r="R41" s="28" t="n">
        <f aca="false">IF($C41=0,"",F41/$C41)</f>
        <v>0.909090909090909</v>
      </c>
      <c r="S41" s="28" t="n">
        <f aca="false">IF($C41=0,"",G41/$C41)</f>
        <v>0.545454545454545</v>
      </c>
      <c r="T41" s="28" t="n">
        <f aca="false">IF($C41=0,"",H41/$C41)</f>
        <v>0.272727272727273</v>
      </c>
      <c r="U41" s="28" t="n">
        <f aca="false">IF($C41=0,"",I41/$C41)</f>
        <v>0.272727272727273</v>
      </c>
      <c r="V41" s="29" t="n">
        <f aca="false">IF($C41=0,"",K41/$C41)</f>
        <v>-0.181818181818182</v>
      </c>
      <c r="W41" s="29" t="n">
        <f aca="false">IF($C41=0,"",M41/$C41)</f>
        <v>-0.204436363636364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12</v>
      </c>
      <c r="D42" s="26" t="n">
        <v>3</v>
      </c>
      <c r="E42" s="26" t="n">
        <v>3</v>
      </c>
      <c r="F42" s="26" t="n">
        <v>9</v>
      </c>
      <c r="G42" s="26" t="n">
        <v>7</v>
      </c>
      <c r="H42" s="26" t="n">
        <v>4</v>
      </c>
      <c r="I42" s="26" t="n">
        <v>3</v>
      </c>
      <c r="J42" s="26" t="n">
        <v>0</v>
      </c>
      <c r="K42" s="27" t="n">
        <v>-3</v>
      </c>
      <c r="L42" s="27" t="n">
        <v>0.2591</v>
      </c>
      <c r="M42" s="19" t="n">
        <f aca="false">K42-L42</f>
        <v>-3.2591</v>
      </c>
      <c r="N42" s="26" t="n">
        <v>1</v>
      </c>
      <c r="O42" s="26" t="n">
        <v>3</v>
      </c>
      <c r="P42" s="28" t="n">
        <f aca="false">IF($C42=0,"",D42/$C42)</f>
        <v>0.25</v>
      </c>
      <c r="Q42" s="28" t="n">
        <f aca="false">IF($C42=0,"",E42/$C42)</f>
        <v>0.25</v>
      </c>
      <c r="R42" s="28" t="n">
        <f aca="false">IF($C42=0,"",F42/$C42)</f>
        <v>0.75</v>
      </c>
      <c r="S42" s="28" t="n">
        <f aca="false">IF($C42=0,"",G42/$C42)</f>
        <v>0.583333333333333</v>
      </c>
      <c r="T42" s="28" t="n">
        <f aca="false">IF($C42=0,"",H42/$C42)</f>
        <v>0.333333333333333</v>
      </c>
      <c r="U42" s="28" t="n">
        <f aca="false">IF($C42=0,"",I42/$C42)</f>
        <v>0.25</v>
      </c>
      <c r="V42" s="29" t="n">
        <f aca="false">IF($C42=0,"",K42/$C42)</f>
        <v>-0.25</v>
      </c>
      <c r="W42" s="29" t="n">
        <f aca="false">IF($C42=0,"",M42/$C42)</f>
        <v>-0.271591666666667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12</v>
      </c>
      <c r="D43" s="26" t="n">
        <v>4</v>
      </c>
      <c r="E43" s="26" t="n">
        <v>4</v>
      </c>
      <c r="F43" s="26" t="n">
        <v>7</v>
      </c>
      <c r="G43" s="26" t="n">
        <v>5</v>
      </c>
      <c r="H43" s="26" t="n">
        <v>5</v>
      </c>
      <c r="I43" s="26" t="n">
        <v>4</v>
      </c>
      <c r="J43" s="26" t="n">
        <v>0</v>
      </c>
      <c r="K43" s="27" t="n">
        <v>0</v>
      </c>
      <c r="L43" s="27" t="n">
        <v>0.1666</v>
      </c>
      <c r="M43" s="19" t="n">
        <f aca="false">K43-L43</f>
        <v>-0.1666</v>
      </c>
      <c r="N43" s="26" t="n">
        <v>1</v>
      </c>
      <c r="O43" s="26" t="n">
        <v>2</v>
      </c>
      <c r="P43" s="28" t="n">
        <f aca="false">IF($C43=0,"",D43/$C43)</f>
        <v>0.333333333333333</v>
      </c>
      <c r="Q43" s="28" t="n">
        <f aca="false">IF($C43=0,"",E43/$C43)</f>
        <v>0.333333333333333</v>
      </c>
      <c r="R43" s="28" t="n">
        <f aca="false">IF($C43=0,"",F43/$C43)</f>
        <v>0.583333333333333</v>
      </c>
      <c r="S43" s="28" t="n">
        <f aca="false">IF($C43=0,"",G43/$C43)</f>
        <v>0.416666666666667</v>
      </c>
      <c r="T43" s="28" t="n">
        <f aca="false">IF($C43=0,"",H43/$C43)</f>
        <v>0.416666666666667</v>
      </c>
      <c r="U43" s="28" t="n">
        <f aca="false">IF($C43=0,"",I43/$C43)</f>
        <v>0.333333333333333</v>
      </c>
      <c r="V43" s="29" t="n">
        <f aca="false">IF($C43=0,"",K43/$C43)</f>
        <v>0</v>
      </c>
      <c r="W43" s="29" t="n">
        <f aca="false">IF($C43=0,"",M43/$C43)</f>
        <v>-0.0138833333333333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147</v>
      </c>
      <c r="D44" s="30" t="n">
        <f aca="false">SUM(D32:D43)</f>
        <v>46</v>
      </c>
      <c r="E44" s="30" t="n">
        <f aca="false">SUM(E32:E43)</f>
        <v>46</v>
      </c>
      <c r="F44" s="30" t="n">
        <f aca="false">SUM(F32:F43)</f>
        <v>84</v>
      </c>
      <c r="G44" s="30" t="n">
        <f aca="false">SUM(G32:G43)</f>
        <v>70</v>
      </c>
      <c r="H44" s="30" t="n">
        <f aca="false">SUM(H32:H43)</f>
        <v>50</v>
      </c>
      <c r="I44" s="30" t="n">
        <f aca="false">SUM(I32:I43)</f>
        <v>46</v>
      </c>
      <c r="J44" s="30" t="n">
        <f aca="false">SUM(J32:J43)</f>
        <v>0</v>
      </c>
      <c r="K44" s="31" t="n">
        <f aca="false">SUM(K32:K43)</f>
        <v>-9</v>
      </c>
      <c r="L44" s="31" t="n">
        <f aca="false">SUM(L32:L43)</f>
        <v>5.375</v>
      </c>
      <c r="M44" s="31" t="n">
        <f aca="false">K44-L44</f>
        <v>-14.375</v>
      </c>
      <c r="N44" s="32" t="n">
        <v>4</v>
      </c>
      <c r="O44" s="32" t="n">
        <v>10</v>
      </c>
      <c r="P44" s="33" t="n">
        <f aca="false">IF($C44=0,"",D44/$C44)</f>
        <v>0.312925170068027</v>
      </c>
      <c r="Q44" s="33" t="n">
        <f aca="false">IF($C44=0,"",E44/$C44)</f>
        <v>0.312925170068027</v>
      </c>
      <c r="R44" s="33" t="n">
        <f aca="false">IF($C44=0,"",F44/$C44)</f>
        <v>0.571428571428571</v>
      </c>
      <c r="S44" s="33" t="n">
        <f aca="false">IF($C44=0,"",G44/$C44)</f>
        <v>0.476190476190476</v>
      </c>
      <c r="T44" s="33" t="n">
        <f aca="false">IF($C44=0,"",H44/$C44)</f>
        <v>0.340136054421769</v>
      </c>
      <c r="U44" s="33" t="n">
        <f aca="false">IF($C44=0,"",I44/$C44)</f>
        <v>0.312925170068027</v>
      </c>
      <c r="V44" s="34" t="n">
        <f aca="false">IF($C44=0,"",K44/$C44)</f>
        <v>-0.0612244897959184</v>
      </c>
      <c r="W44" s="34" t="n">
        <f aca="false">IF($C44=0,"",M44/$C44)</f>
        <v>-0.0977891156462585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11</v>
      </c>
      <c r="D45" s="26" t="n">
        <v>4</v>
      </c>
      <c r="E45" s="26" t="n">
        <v>4</v>
      </c>
      <c r="F45" s="26" t="n">
        <v>7</v>
      </c>
      <c r="G45" s="26" t="n">
        <v>6</v>
      </c>
      <c r="H45" s="26" t="n">
        <v>5</v>
      </c>
      <c r="I45" s="26" t="n">
        <v>4</v>
      </c>
      <c r="J45" s="26" t="n">
        <v>0</v>
      </c>
      <c r="K45" s="27" t="n">
        <v>1</v>
      </c>
      <c r="L45" s="27" t="n">
        <v>0.1503</v>
      </c>
      <c r="M45" s="19" t="n">
        <f aca="false">K45-L45</f>
        <v>0.8497</v>
      </c>
      <c r="N45" s="26" t="n">
        <v>2</v>
      </c>
      <c r="O45" s="26" t="n">
        <v>3</v>
      </c>
      <c r="P45" s="28" t="n">
        <f aca="false">IF($C45=0,"",D45/$C45)</f>
        <v>0.363636363636364</v>
      </c>
      <c r="Q45" s="28" t="n">
        <f aca="false">IF($C45=0,"",E45/$C45)</f>
        <v>0.363636363636364</v>
      </c>
      <c r="R45" s="28" t="n">
        <f aca="false">IF($C45=0,"",F45/$C45)</f>
        <v>0.636363636363636</v>
      </c>
      <c r="S45" s="28" t="n">
        <f aca="false">IF($C45=0,"",G45/$C45)</f>
        <v>0.545454545454545</v>
      </c>
      <c r="T45" s="28" t="n">
        <f aca="false">IF($C45=0,"",H45/$C45)</f>
        <v>0.454545454545455</v>
      </c>
      <c r="U45" s="28" t="n">
        <f aca="false">IF($C45=0,"",I45/$C45)</f>
        <v>0.363636363636364</v>
      </c>
      <c r="V45" s="29" t="n">
        <f aca="false">IF($C45=0,"",K45/$C45)</f>
        <v>0.0909090909090909</v>
      </c>
      <c r="W45" s="29" t="n">
        <f aca="false">IF($C45=0,"",M45/$C45)</f>
        <v>0.0772454545454546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16</v>
      </c>
      <c r="D46" s="26" t="n">
        <v>2</v>
      </c>
      <c r="E46" s="26" t="n">
        <v>2</v>
      </c>
      <c r="F46" s="26" t="n">
        <v>6</v>
      </c>
      <c r="G46" s="26" t="n">
        <v>6</v>
      </c>
      <c r="H46" s="26" t="n">
        <v>2</v>
      </c>
      <c r="I46" s="26" t="n">
        <v>2</v>
      </c>
      <c r="J46" s="26" t="n">
        <v>0</v>
      </c>
      <c r="K46" s="27" t="n">
        <v>-10</v>
      </c>
      <c r="L46" s="27" t="n">
        <v>0.2994</v>
      </c>
      <c r="M46" s="19" t="n">
        <f aca="false">K46-L46</f>
        <v>-10.2994</v>
      </c>
      <c r="N46" s="26" t="n">
        <v>1</v>
      </c>
      <c r="O46" s="26" t="n">
        <v>8</v>
      </c>
      <c r="P46" s="28" t="n">
        <f aca="false">IF($C46=0,"",D46/$C46)</f>
        <v>0.125</v>
      </c>
      <c r="Q46" s="28" t="n">
        <f aca="false">IF($C46=0,"",E46/$C46)</f>
        <v>0.125</v>
      </c>
      <c r="R46" s="28" t="n">
        <f aca="false">IF($C46=0,"",F46/$C46)</f>
        <v>0.375</v>
      </c>
      <c r="S46" s="28" t="n">
        <f aca="false">IF($C46=0,"",G46/$C46)</f>
        <v>0.375</v>
      </c>
      <c r="T46" s="28" t="n">
        <f aca="false">IF($C46=0,"",H46/$C46)</f>
        <v>0.125</v>
      </c>
      <c r="U46" s="28" t="n">
        <f aca="false">IF($C46=0,"",I46/$C46)</f>
        <v>0.125</v>
      </c>
      <c r="V46" s="29" t="n">
        <f aca="false">IF($C46=0,"",K46/$C46)</f>
        <v>-0.625</v>
      </c>
      <c r="W46" s="29" t="n">
        <f aca="false">IF($C46=0,"",M46/$C46)</f>
        <v>-0.6437125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11</v>
      </c>
      <c r="D47" s="26" t="n">
        <v>6</v>
      </c>
      <c r="E47" s="26" t="n">
        <v>6</v>
      </c>
      <c r="F47" s="26" t="n">
        <v>7</v>
      </c>
      <c r="G47" s="26" t="n">
        <v>6</v>
      </c>
      <c r="H47" s="26" t="n">
        <v>6</v>
      </c>
      <c r="I47" s="26" t="n">
        <v>6</v>
      </c>
      <c r="J47" s="26" t="n">
        <v>0</v>
      </c>
      <c r="K47" s="27" t="n">
        <v>7</v>
      </c>
      <c r="L47" s="27" t="n">
        <v>0.1737</v>
      </c>
      <c r="M47" s="19" t="n">
        <f aca="false">K47-L47</f>
        <v>6.8263</v>
      </c>
      <c r="N47" s="26" t="n">
        <v>3</v>
      </c>
      <c r="O47" s="26" t="n">
        <v>3</v>
      </c>
      <c r="P47" s="28" t="n">
        <f aca="false">IF($C47=0,"",D47/$C47)</f>
        <v>0.545454545454545</v>
      </c>
      <c r="Q47" s="28" t="n">
        <f aca="false">IF($C47=0,"",E47/$C47)</f>
        <v>0.545454545454545</v>
      </c>
      <c r="R47" s="28" t="n">
        <f aca="false">IF($C47=0,"",F47/$C47)</f>
        <v>0.636363636363636</v>
      </c>
      <c r="S47" s="28" t="n">
        <f aca="false">IF($C47=0,"",G47/$C47)</f>
        <v>0.545454545454545</v>
      </c>
      <c r="T47" s="28" t="n">
        <f aca="false">IF($C47=0,"",H47/$C47)</f>
        <v>0.545454545454545</v>
      </c>
      <c r="U47" s="28" t="n">
        <f aca="false">IF($C47=0,"",I47/$C47)</f>
        <v>0.545454545454545</v>
      </c>
      <c r="V47" s="29" t="n">
        <f aca="false">IF($C47=0,"",K47/$C47)</f>
        <v>0.636363636363636</v>
      </c>
      <c r="W47" s="29" t="n">
        <f aca="false">IF($C47=0,"",M47/$C47)</f>
        <v>0.620572727272727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10</v>
      </c>
      <c r="D48" s="26" t="n">
        <v>4</v>
      </c>
      <c r="E48" s="26" t="n">
        <v>4</v>
      </c>
      <c r="F48" s="26" t="n">
        <v>7</v>
      </c>
      <c r="G48" s="26" t="n">
        <v>5</v>
      </c>
      <c r="H48" s="26" t="n">
        <v>5</v>
      </c>
      <c r="I48" s="26" t="n">
        <v>4</v>
      </c>
      <c r="J48" s="26" t="n">
        <v>0</v>
      </c>
      <c r="K48" s="27" t="n">
        <v>2</v>
      </c>
      <c r="L48" s="27" t="n">
        <v>0.1093</v>
      </c>
      <c r="M48" s="19" t="n">
        <f aca="false">K48-L48</f>
        <v>1.8907</v>
      </c>
      <c r="N48" s="26" t="n">
        <v>2</v>
      </c>
      <c r="O48" s="26" t="n">
        <v>3</v>
      </c>
      <c r="P48" s="28" t="n">
        <f aca="false">IF($C48=0,"",D48/$C48)</f>
        <v>0.4</v>
      </c>
      <c r="Q48" s="28" t="n">
        <f aca="false">IF($C48=0,"",E48/$C48)</f>
        <v>0.4</v>
      </c>
      <c r="R48" s="28" t="n">
        <f aca="false">IF($C48=0,"",F48/$C48)</f>
        <v>0.7</v>
      </c>
      <c r="S48" s="28" t="n">
        <f aca="false">IF($C48=0,"",G48/$C48)</f>
        <v>0.5</v>
      </c>
      <c r="T48" s="28" t="n">
        <f aca="false">IF($C48=0,"",H48/$C48)</f>
        <v>0.5</v>
      </c>
      <c r="U48" s="28" t="n">
        <f aca="false">IF($C48=0,"",I48/$C48)</f>
        <v>0.4</v>
      </c>
      <c r="V48" s="29" t="n">
        <f aca="false">IF($C48=0,"",K48/$C48)</f>
        <v>0.2</v>
      </c>
      <c r="W48" s="29" t="n">
        <f aca="false">IF($C48=0,"",M48/$C48)</f>
        <v>0.18907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15</v>
      </c>
      <c r="D49" s="26" t="n">
        <v>5</v>
      </c>
      <c r="E49" s="26" t="n">
        <v>5</v>
      </c>
      <c r="F49" s="26" t="n">
        <v>11</v>
      </c>
      <c r="G49" s="26" t="n">
        <v>9</v>
      </c>
      <c r="H49" s="26" t="n">
        <v>5</v>
      </c>
      <c r="I49" s="26" t="n">
        <v>5</v>
      </c>
      <c r="J49" s="26" t="n">
        <v>0</v>
      </c>
      <c r="K49" s="27" t="n">
        <v>0</v>
      </c>
      <c r="L49" s="27" t="n">
        <v>0.1444</v>
      </c>
      <c r="M49" s="19" t="n">
        <f aca="false">K49-L49</f>
        <v>-0.1444</v>
      </c>
      <c r="N49" s="26" t="n">
        <v>3</v>
      </c>
      <c r="O49" s="26" t="n">
        <v>3</v>
      </c>
      <c r="P49" s="28" t="n">
        <f aca="false">IF($C49=0,"",D49/$C49)</f>
        <v>0.333333333333333</v>
      </c>
      <c r="Q49" s="28" t="n">
        <f aca="false">IF($C49=0,"",E49/$C49)</f>
        <v>0.333333333333333</v>
      </c>
      <c r="R49" s="28" t="n">
        <f aca="false">IF($C49=0,"",F49/$C49)</f>
        <v>0.733333333333333</v>
      </c>
      <c r="S49" s="28" t="n">
        <f aca="false">IF($C49=0,"",G49/$C49)</f>
        <v>0.6</v>
      </c>
      <c r="T49" s="28" t="n">
        <f aca="false">IF($C49=0,"",H49/$C49)</f>
        <v>0.333333333333333</v>
      </c>
      <c r="U49" s="28" t="n">
        <f aca="false">IF($C49=0,"",I49/$C49)</f>
        <v>0.333333333333333</v>
      </c>
      <c r="V49" s="29" t="n">
        <f aca="false">IF($C49=0,"",K49/$C49)</f>
        <v>0</v>
      </c>
      <c r="W49" s="29" t="n">
        <f aca="false">IF($C49=0,"",M49/$C49)</f>
        <v>-0.00962666666666667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16</v>
      </c>
      <c r="D50" s="26" t="n">
        <v>2</v>
      </c>
      <c r="E50" s="26" t="n">
        <v>2</v>
      </c>
      <c r="F50" s="26" t="n">
        <v>9</v>
      </c>
      <c r="G50" s="26" t="n">
        <v>6</v>
      </c>
      <c r="H50" s="26" t="n">
        <v>3</v>
      </c>
      <c r="I50" s="26" t="n">
        <v>2</v>
      </c>
      <c r="J50" s="26" t="n">
        <v>0</v>
      </c>
      <c r="K50" s="27" t="n">
        <v>-10</v>
      </c>
      <c r="L50" s="27" t="n">
        <v>0.1658</v>
      </c>
      <c r="M50" s="19" t="n">
        <f aca="false">K50-L50</f>
        <v>-10.1658</v>
      </c>
      <c r="N50" s="26" t="n">
        <v>1</v>
      </c>
      <c r="O50" s="26" t="n">
        <v>11</v>
      </c>
      <c r="P50" s="28" t="n">
        <f aca="false">IF($C50=0,"",D50/$C50)</f>
        <v>0.125</v>
      </c>
      <c r="Q50" s="28" t="n">
        <f aca="false">IF($C50=0,"",E50/$C50)</f>
        <v>0.125</v>
      </c>
      <c r="R50" s="28" t="n">
        <f aca="false">IF($C50=0,"",F50/$C50)</f>
        <v>0.5625</v>
      </c>
      <c r="S50" s="28" t="n">
        <f aca="false">IF($C50=0,"",G50/$C50)</f>
        <v>0.375</v>
      </c>
      <c r="T50" s="28" t="n">
        <f aca="false">IF($C50=0,"",H50/$C50)</f>
        <v>0.1875</v>
      </c>
      <c r="U50" s="28" t="n">
        <f aca="false">IF($C50=0,"",I50/$C50)</f>
        <v>0.125</v>
      </c>
      <c r="V50" s="29" t="n">
        <f aca="false">IF($C50=0,"",K50/$C50)</f>
        <v>-0.625</v>
      </c>
      <c r="W50" s="29" t="n">
        <f aca="false">IF($C50=0,"",M50/$C50)</f>
        <v>-0.6353625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14</v>
      </c>
      <c r="D51" s="26" t="n">
        <v>4</v>
      </c>
      <c r="E51" s="26" t="n">
        <v>4</v>
      </c>
      <c r="F51" s="26" t="n">
        <v>8</v>
      </c>
      <c r="G51" s="26" t="n">
        <v>6</v>
      </c>
      <c r="H51" s="26" t="n">
        <v>5</v>
      </c>
      <c r="I51" s="26" t="n">
        <v>4</v>
      </c>
      <c r="J51" s="26" t="n">
        <v>0</v>
      </c>
      <c r="K51" s="27" t="n">
        <v>-2</v>
      </c>
      <c r="L51" s="27" t="n">
        <v>0.1725</v>
      </c>
      <c r="M51" s="19" t="n">
        <f aca="false">K51-L51</f>
        <v>-2.1725</v>
      </c>
      <c r="N51" s="26" t="n">
        <v>2</v>
      </c>
      <c r="O51" s="26" t="n">
        <v>4</v>
      </c>
      <c r="P51" s="28" t="n">
        <f aca="false">IF($C51=0,"",D51/$C51)</f>
        <v>0.285714285714286</v>
      </c>
      <c r="Q51" s="28" t="n">
        <f aca="false">IF($C51=0,"",E51/$C51)</f>
        <v>0.285714285714286</v>
      </c>
      <c r="R51" s="28" t="n">
        <f aca="false">IF($C51=0,"",F51/$C51)</f>
        <v>0.571428571428571</v>
      </c>
      <c r="S51" s="28" t="n">
        <f aca="false">IF($C51=0,"",G51/$C51)</f>
        <v>0.428571428571429</v>
      </c>
      <c r="T51" s="28" t="n">
        <f aca="false">IF($C51=0,"",H51/$C51)</f>
        <v>0.357142857142857</v>
      </c>
      <c r="U51" s="28" t="n">
        <f aca="false">IF($C51=0,"",I51/$C51)</f>
        <v>0.285714285714286</v>
      </c>
      <c r="V51" s="29" t="n">
        <f aca="false">IF($C51=0,"",K51/$C51)</f>
        <v>-0.142857142857143</v>
      </c>
      <c r="W51" s="29" t="n">
        <f aca="false">IF($C51=0,"",M51/$C51)</f>
        <v>-0.155178571428571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12</v>
      </c>
      <c r="D52" s="26" t="n">
        <v>4</v>
      </c>
      <c r="E52" s="26" t="n">
        <v>4</v>
      </c>
      <c r="F52" s="26" t="n">
        <v>8</v>
      </c>
      <c r="G52" s="26" t="n">
        <v>6</v>
      </c>
      <c r="H52" s="26" t="n">
        <v>6</v>
      </c>
      <c r="I52" s="26" t="n">
        <v>4</v>
      </c>
      <c r="J52" s="26" t="n">
        <v>0</v>
      </c>
      <c r="K52" s="27" t="n">
        <v>0</v>
      </c>
      <c r="L52" s="27" t="n">
        <v>0.1494</v>
      </c>
      <c r="M52" s="19" t="n">
        <f aca="false">K52-L52</f>
        <v>-0.1494</v>
      </c>
      <c r="N52" s="26" t="n">
        <v>2</v>
      </c>
      <c r="O52" s="26" t="n">
        <v>4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0.666666666666667</v>
      </c>
      <c r="S52" s="28" t="n">
        <f aca="false">IF($C52=0,"",G52/$C52)</f>
        <v>0.5</v>
      </c>
      <c r="T52" s="28" t="n">
        <f aca="false">IF($C52=0,"",H52/$C52)</f>
        <v>0.5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-0.01245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10</v>
      </c>
      <c r="D53" s="26" t="n">
        <v>3</v>
      </c>
      <c r="E53" s="26" t="n">
        <v>3</v>
      </c>
      <c r="F53" s="26" t="n">
        <v>7</v>
      </c>
      <c r="G53" s="26" t="n">
        <v>5</v>
      </c>
      <c r="H53" s="26" t="n">
        <v>4</v>
      </c>
      <c r="I53" s="26" t="n">
        <v>3</v>
      </c>
      <c r="J53" s="26" t="n">
        <v>0</v>
      </c>
      <c r="K53" s="27" t="n">
        <v>-1</v>
      </c>
      <c r="L53" s="27" t="n">
        <v>0.1312</v>
      </c>
      <c r="M53" s="19" t="n">
        <f aca="false">K53-L53</f>
        <v>-1.1312</v>
      </c>
      <c r="N53" s="26" t="n">
        <v>2</v>
      </c>
      <c r="O53" s="26" t="n">
        <v>4</v>
      </c>
      <c r="P53" s="28" t="n">
        <f aca="false">IF($C53=0,"",D53/$C53)</f>
        <v>0.3</v>
      </c>
      <c r="Q53" s="28" t="n">
        <f aca="false">IF($C53=0,"",E53/$C53)</f>
        <v>0.3</v>
      </c>
      <c r="R53" s="28" t="n">
        <f aca="false">IF($C53=0,"",F53/$C53)</f>
        <v>0.7</v>
      </c>
      <c r="S53" s="28" t="n">
        <f aca="false">IF($C53=0,"",G53/$C53)</f>
        <v>0.5</v>
      </c>
      <c r="T53" s="28" t="n">
        <f aca="false">IF($C53=0,"",H53/$C53)</f>
        <v>0.4</v>
      </c>
      <c r="U53" s="28" t="n">
        <f aca="false">IF($C53=0,"",I53/$C53)</f>
        <v>0.3</v>
      </c>
      <c r="V53" s="29" t="n">
        <f aca="false">IF($C53=0,"",K53/$C53)</f>
        <v>-0.1</v>
      </c>
      <c r="W53" s="29" t="n">
        <f aca="false">IF($C53=0,"",M53/$C53)</f>
        <v>-0.11312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17</v>
      </c>
      <c r="D54" s="26" t="n">
        <v>5</v>
      </c>
      <c r="E54" s="26" t="n">
        <v>5</v>
      </c>
      <c r="F54" s="26" t="n">
        <v>12</v>
      </c>
      <c r="G54" s="26" t="n">
        <v>11</v>
      </c>
      <c r="H54" s="26" t="n">
        <v>5</v>
      </c>
      <c r="I54" s="26" t="n">
        <v>5</v>
      </c>
      <c r="J54" s="26" t="n">
        <v>0</v>
      </c>
      <c r="K54" s="27" t="n">
        <v>-2</v>
      </c>
      <c r="L54" s="27" t="n">
        <v>0.1781</v>
      </c>
      <c r="M54" s="19" t="n">
        <f aca="false">K54-L54</f>
        <v>-2.1781</v>
      </c>
      <c r="N54" s="26" t="n">
        <v>3</v>
      </c>
      <c r="O54" s="26" t="n">
        <v>6</v>
      </c>
      <c r="P54" s="28" t="n">
        <f aca="false">IF($C54=0,"",D54/$C54)</f>
        <v>0.294117647058824</v>
      </c>
      <c r="Q54" s="28" t="n">
        <f aca="false">IF($C54=0,"",E54/$C54)</f>
        <v>0.294117647058824</v>
      </c>
      <c r="R54" s="28" t="n">
        <f aca="false">IF($C54=0,"",F54/$C54)</f>
        <v>0.705882352941177</v>
      </c>
      <c r="S54" s="28" t="n">
        <f aca="false">IF($C54=0,"",G54/$C54)</f>
        <v>0.647058823529412</v>
      </c>
      <c r="T54" s="28" t="n">
        <f aca="false">IF($C54=0,"",H54/$C54)</f>
        <v>0.294117647058824</v>
      </c>
      <c r="U54" s="28" t="n">
        <f aca="false">IF($C54=0,"",I54/$C54)</f>
        <v>0.294117647058824</v>
      </c>
      <c r="V54" s="29" t="n">
        <f aca="false">IF($C54=0,"",K54/$C54)</f>
        <v>-0.117647058823529</v>
      </c>
      <c r="W54" s="29" t="n">
        <f aca="false">IF($C54=0,"",M54/$C54)</f>
        <v>-0.128123529411765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12</v>
      </c>
      <c r="D55" s="26" t="n">
        <v>6</v>
      </c>
      <c r="E55" s="26" t="n">
        <v>6</v>
      </c>
      <c r="F55" s="26" t="n">
        <v>8</v>
      </c>
      <c r="G55" s="26" t="n">
        <v>7</v>
      </c>
      <c r="H55" s="26" t="n">
        <v>6</v>
      </c>
      <c r="I55" s="26" t="n">
        <v>6</v>
      </c>
      <c r="J55" s="26" t="n">
        <v>0</v>
      </c>
      <c r="K55" s="27" t="n">
        <v>6</v>
      </c>
      <c r="L55" s="27" t="n">
        <v>0.1299</v>
      </c>
      <c r="M55" s="19" t="n">
        <f aca="false">K55-L55</f>
        <v>5.8701</v>
      </c>
      <c r="N55" s="26" t="n">
        <v>2</v>
      </c>
      <c r="O55" s="26" t="n">
        <v>4</v>
      </c>
      <c r="P55" s="28" t="n">
        <f aca="false">IF($C55=0,"",D55/$C55)</f>
        <v>0.5</v>
      </c>
      <c r="Q55" s="28" t="n">
        <f aca="false">IF($C55=0,"",E55/$C55)</f>
        <v>0.5</v>
      </c>
      <c r="R55" s="28" t="n">
        <f aca="false">IF($C55=0,"",F55/$C55)</f>
        <v>0.666666666666667</v>
      </c>
      <c r="S55" s="28" t="n">
        <f aca="false">IF($C55=0,"",G55/$C55)</f>
        <v>0.583333333333333</v>
      </c>
      <c r="T55" s="28" t="n">
        <f aca="false">IF($C55=0,"",H55/$C55)</f>
        <v>0.5</v>
      </c>
      <c r="U55" s="28" t="n">
        <f aca="false">IF($C55=0,"",I55/$C55)</f>
        <v>0.5</v>
      </c>
      <c r="V55" s="29" t="n">
        <f aca="false">IF($C55=0,"",K55/$C55)</f>
        <v>0.5</v>
      </c>
      <c r="W55" s="29" t="n">
        <f aca="false">IF($C55=0,"",M55/$C55)</f>
        <v>0.489175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12</v>
      </c>
      <c r="D56" s="26" t="n">
        <v>5</v>
      </c>
      <c r="E56" s="26" t="n">
        <v>5</v>
      </c>
      <c r="F56" s="26" t="n">
        <v>7</v>
      </c>
      <c r="G56" s="26" t="n">
        <v>6</v>
      </c>
      <c r="H56" s="26" t="n">
        <v>5</v>
      </c>
      <c r="I56" s="26" t="n">
        <v>5</v>
      </c>
      <c r="J56" s="26" t="n">
        <v>0</v>
      </c>
      <c r="K56" s="27" t="n">
        <v>3</v>
      </c>
      <c r="L56" s="27" t="n">
        <v>0.1402</v>
      </c>
      <c r="M56" s="19" t="n">
        <f aca="false">K56-L56</f>
        <v>2.8598</v>
      </c>
      <c r="N56" s="26" t="n">
        <v>2</v>
      </c>
      <c r="O56" s="26" t="n">
        <v>2</v>
      </c>
      <c r="P56" s="28" t="n">
        <f aca="false">IF($C56=0,"",D56/$C56)</f>
        <v>0.416666666666667</v>
      </c>
      <c r="Q56" s="28" t="n">
        <f aca="false">IF($C56=0,"",E56/$C56)</f>
        <v>0.416666666666667</v>
      </c>
      <c r="R56" s="28" t="n">
        <f aca="false">IF($C56=0,"",F56/$C56)</f>
        <v>0.583333333333333</v>
      </c>
      <c r="S56" s="28" t="n">
        <f aca="false">IF($C56=0,"",G56/$C56)</f>
        <v>0.5</v>
      </c>
      <c r="T56" s="28" t="n">
        <f aca="false">IF($C56=0,"",H56/$C56)</f>
        <v>0.416666666666667</v>
      </c>
      <c r="U56" s="28" t="n">
        <f aca="false">IF($C56=0,"",I56/$C56)</f>
        <v>0.416666666666667</v>
      </c>
      <c r="V56" s="29" t="n">
        <f aca="false">IF($C56=0,"",K56/$C56)</f>
        <v>0.25</v>
      </c>
      <c r="W56" s="29" t="n">
        <f aca="false">IF($C56=0,"",M56/$C56)</f>
        <v>0.238316666666667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156</v>
      </c>
      <c r="D57" s="30" t="n">
        <f aca="false">SUM(D45:D56)</f>
        <v>50</v>
      </c>
      <c r="E57" s="30" t="n">
        <f aca="false">SUM(E45:E56)</f>
        <v>50</v>
      </c>
      <c r="F57" s="30" t="n">
        <f aca="false">SUM(F45:F56)</f>
        <v>97</v>
      </c>
      <c r="G57" s="30" t="n">
        <f aca="false">SUM(G45:G56)</f>
        <v>79</v>
      </c>
      <c r="H57" s="30" t="n">
        <f aca="false">SUM(H45:H56)</f>
        <v>57</v>
      </c>
      <c r="I57" s="30" t="n">
        <f aca="false">SUM(I45:I56)</f>
        <v>50</v>
      </c>
      <c r="J57" s="30" t="n">
        <f aca="false">SUM(J45:J56)</f>
        <v>0</v>
      </c>
      <c r="K57" s="31" t="n">
        <f aca="false">SUM(K45:K56)</f>
        <v>-6</v>
      </c>
      <c r="L57" s="31" t="n">
        <f aca="false">SUM(L45:L56)</f>
        <v>1.9442</v>
      </c>
      <c r="M57" s="31" t="n">
        <f aca="false">K57-L57</f>
        <v>-7.9442</v>
      </c>
      <c r="N57" s="32" t="n">
        <v>3</v>
      </c>
      <c r="O57" s="32" t="n">
        <v>11</v>
      </c>
      <c r="P57" s="33" t="n">
        <f aca="false">IF($C57=0,"",D57/$C57)</f>
        <v>0.320512820512821</v>
      </c>
      <c r="Q57" s="33" t="n">
        <f aca="false">IF($C57=0,"",E57/$C57)</f>
        <v>0.320512820512821</v>
      </c>
      <c r="R57" s="33" t="n">
        <f aca="false">IF($C57=0,"",F57/$C57)</f>
        <v>0.621794871794872</v>
      </c>
      <c r="S57" s="33" t="n">
        <f aca="false">IF($C57=0,"",G57/$C57)</f>
        <v>0.506410256410256</v>
      </c>
      <c r="T57" s="33" t="n">
        <f aca="false">IF($C57=0,"",H57/$C57)</f>
        <v>0.365384615384615</v>
      </c>
      <c r="U57" s="33" t="n">
        <f aca="false">IF($C57=0,"",I57/$C57)</f>
        <v>0.320512820512821</v>
      </c>
      <c r="V57" s="34" t="n">
        <f aca="false">IF($C57=0,"",K57/$C57)</f>
        <v>-0.0384615384615385</v>
      </c>
      <c r="W57" s="34" t="n">
        <f aca="false">IF($C57=0,"",M57/$C57)</f>
        <v>-0.050924358974359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13</v>
      </c>
      <c r="D58" s="26" t="n">
        <v>5</v>
      </c>
      <c r="E58" s="26" t="n">
        <v>5</v>
      </c>
      <c r="F58" s="26" t="n">
        <v>10</v>
      </c>
      <c r="G58" s="26" t="n">
        <v>6</v>
      </c>
      <c r="H58" s="26" t="n">
        <v>5</v>
      </c>
      <c r="I58" s="26" t="n">
        <v>5</v>
      </c>
      <c r="J58" s="26" t="n">
        <v>0</v>
      </c>
      <c r="K58" s="27" t="n">
        <v>2</v>
      </c>
      <c r="L58" s="27" t="n">
        <v>0.1504</v>
      </c>
      <c r="M58" s="19" t="n">
        <f aca="false">K58-L58</f>
        <v>1.8496</v>
      </c>
      <c r="N58" s="26" t="n">
        <v>2</v>
      </c>
      <c r="O58" s="26" t="n">
        <v>3</v>
      </c>
      <c r="P58" s="28" t="n">
        <f aca="false">IF($C58=0,"",D58/$C58)</f>
        <v>0.384615384615385</v>
      </c>
      <c r="Q58" s="28" t="n">
        <f aca="false">IF($C58=0,"",E58/$C58)</f>
        <v>0.384615384615385</v>
      </c>
      <c r="R58" s="28" t="n">
        <f aca="false">IF($C58=0,"",F58/$C58)</f>
        <v>0.769230769230769</v>
      </c>
      <c r="S58" s="28" t="n">
        <f aca="false">IF($C58=0,"",G58/$C58)</f>
        <v>0.461538461538462</v>
      </c>
      <c r="T58" s="28" t="n">
        <f aca="false">IF($C58=0,"",H58/$C58)</f>
        <v>0.384615384615385</v>
      </c>
      <c r="U58" s="28" t="n">
        <f aca="false">IF($C58=0,"",I58/$C58)</f>
        <v>0.384615384615385</v>
      </c>
      <c r="V58" s="29" t="n">
        <f aca="false">IF($C58=0,"",K58/$C58)</f>
        <v>0.153846153846154</v>
      </c>
      <c r="W58" s="29" t="n">
        <f aca="false">IF($C58=0,"",M58/$C58)</f>
        <v>0.142276923076923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14</v>
      </c>
      <c r="D59" s="26" t="n">
        <v>3</v>
      </c>
      <c r="E59" s="26" t="n">
        <v>3</v>
      </c>
      <c r="F59" s="26" t="n">
        <v>5</v>
      </c>
      <c r="G59" s="26" t="n">
        <v>4</v>
      </c>
      <c r="H59" s="26" t="n">
        <v>4</v>
      </c>
      <c r="I59" s="26" t="n">
        <v>3</v>
      </c>
      <c r="J59" s="26" t="n">
        <v>0</v>
      </c>
      <c r="K59" s="27" t="n">
        <v>-5</v>
      </c>
      <c r="L59" s="27" t="n">
        <v>0.1173</v>
      </c>
      <c r="M59" s="19" t="n">
        <f aca="false">K59-L59</f>
        <v>-5.1173</v>
      </c>
      <c r="N59" s="26" t="n">
        <v>1</v>
      </c>
      <c r="O59" s="26" t="n">
        <v>7</v>
      </c>
      <c r="P59" s="28" t="n">
        <f aca="false">IF($C59=0,"",D59/$C59)</f>
        <v>0.214285714285714</v>
      </c>
      <c r="Q59" s="28" t="n">
        <f aca="false">IF($C59=0,"",E59/$C59)</f>
        <v>0.214285714285714</v>
      </c>
      <c r="R59" s="28" t="n">
        <f aca="false">IF($C59=0,"",F59/$C59)</f>
        <v>0.357142857142857</v>
      </c>
      <c r="S59" s="28" t="n">
        <f aca="false">IF($C59=0,"",G59/$C59)</f>
        <v>0.285714285714286</v>
      </c>
      <c r="T59" s="28" t="n">
        <f aca="false">IF($C59=0,"",H59/$C59)</f>
        <v>0.285714285714286</v>
      </c>
      <c r="U59" s="28" t="n">
        <f aca="false">IF($C59=0,"",I59/$C59)</f>
        <v>0.214285714285714</v>
      </c>
      <c r="V59" s="29" t="n">
        <f aca="false">IF($C59=0,"",K59/$C59)</f>
        <v>-0.357142857142857</v>
      </c>
      <c r="W59" s="29" t="n">
        <f aca="false">IF($C59=0,"",M59/$C59)</f>
        <v>-0.365521428571429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15</v>
      </c>
      <c r="D60" s="26" t="n">
        <v>6</v>
      </c>
      <c r="E60" s="26" t="n">
        <v>6</v>
      </c>
      <c r="F60" s="26" t="n">
        <v>9</v>
      </c>
      <c r="G60" s="26" t="n">
        <v>9</v>
      </c>
      <c r="H60" s="26" t="n">
        <v>7</v>
      </c>
      <c r="I60" s="26" t="n">
        <v>6</v>
      </c>
      <c r="J60" s="26" t="n">
        <v>0</v>
      </c>
      <c r="K60" s="27" t="n">
        <v>3</v>
      </c>
      <c r="L60" s="27" t="n">
        <v>0.1302</v>
      </c>
      <c r="M60" s="19" t="n">
        <f aca="false">K60-L60</f>
        <v>2.8698</v>
      </c>
      <c r="N60" s="26" t="n">
        <v>3</v>
      </c>
      <c r="O60" s="26" t="n">
        <v>6</v>
      </c>
      <c r="P60" s="28" t="n">
        <f aca="false">IF($C60=0,"",D60/$C60)</f>
        <v>0.4</v>
      </c>
      <c r="Q60" s="28" t="n">
        <f aca="false">IF($C60=0,"",E60/$C60)</f>
        <v>0.4</v>
      </c>
      <c r="R60" s="28" t="n">
        <f aca="false">IF($C60=0,"",F60/$C60)</f>
        <v>0.6</v>
      </c>
      <c r="S60" s="28" t="n">
        <f aca="false">IF($C60=0,"",G60/$C60)</f>
        <v>0.6</v>
      </c>
      <c r="T60" s="28" t="n">
        <f aca="false">IF($C60=0,"",H60/$C60)</f>
        <v>0.466666666666667</v>
      </c>
      <c r="U60" s="28" t="n">
        <f aca="false">IF($C60=0,"",I60/$C60)</f>
        <v>0.4</v>
      </c>
      <c r="V60" s="29" t="n">
        <f aca="false">IF($C60=0,"",K60/$C60)</f>
        <v>0.2</v>
      </c>
      <c r="W60" s="29" t="n">
        <f aca="false">IF($C60=0,"",M60/$C60)</f>
        <v>0.19132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12</v>
      </c>
      <c r="D61" s="26" t="n">
        <v>5</v>
      </c>
      <c r="E61" s="26" t="n">
        <v>5</v>
      </c>
      <c r="F61" s="26" t="n">
        <v>6</v>
      </c>
      <c r="G61" s="26" t="n">
        <v>6</v>
      </c>
      <c r="H61" s="26" t="n">
        <v>6</v>
      </c>
      <c r="I61" s="26" t="n">
        <v>5</v>
      </c>
      <c r="J61" s="26" t="n">
        <v>0</v>
      </c>
      <c r="K61" s="27" t="n">
        <v>3</v>
      </c>
      <c r="L61" s="27" t="n">
        <v>0.0547</v>
      </c>
      <c r="M61" s="19" t="n">
        <f aca="false">K61-L61</f>
        <v>2.9453</v>
      </c>
      <c r="N61" s="26" t="n">
        <v>2</v>
      </c>
      <c r="O61" s="26" t="n">
        <v>3</v>
      </c>
      <c r="P61" s="28" t="n">
        <f aca="false">IF($C61=0,"",D61/$C61)</f>
        <v>0.416666666666667</v>
      </c>
      <c r="Q61" s="28" t="n">
        <f aca="false">IF($C61=0,"",E61/$C61)</f>
        <v>0.416666666666667</v>
      </c>
      <c r="R61" s="28" t="n">
        <f aca="false">IF($C61=0,"",F61/$C61)</f>
        <v>0.5</v>
      </c>
      <c r="S61" s="28" t="n">
        <f aca="false">IF($C61=0,"",G61/$C61)</f>
        <v>0.5</v>
      </c>
      <c r="T61" s="28" t="n">
        <f aca="false">IF($C61=0,"",H61/$C61)</f>
        <v>0.5</v>
      </c>
      <c r="U61" s="28" t="n">
        <f aca="false">IF($C61=0,"",I61/$C61)</f>
        <v>0.416666666666667</v>
      </c>
      <c r="V61" s="29" t="n">
        <f aca="false">IF($C61=0,"",K61/$C61)</f>
        <v>0.25</v>
      </c>
      <c r="W61" s="29" t="n">
        <f aca="false">IF($C61=0,"",M61/$C61)</f>
        <v>0.245441666666667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19</v>
      </c>
      <c r="D62" s="26" t="n">
        <v>4</v>
      </c>
      <c r="E62" s="26" t="n">
        <v>4</v>
      </c>
      <c r="F62" s="26" t="n">
        <v>8</v>
      </c>
      <c r="G62" s="26" t="n">
        <v>7</v>
      </c>
      <c r="H62" s="26" t="n">
        <v>5</v>
      </c>
      <c r="I62" s="26" t="n">
        <v>4</v>
      </c>
      <c r="J62" s="26" t="n">
        <v>0</v>
      </c>
      <c r="K62" s="27" t="n">
        <v>-7</v>
      </c>
      <c r="L62" s="27" t="n">
        <v>0.1155</v>
      </c>
      <c r="M62" s="19" t="n">
        <f aca="false">K62-L62</f>
        <v>-7.1155</v>
      </c>
      <c r="N62" s="26" t="n">
        <v>3</v>
      </c>
      <c r="O62" s="26" t="n">
        <v>9</v>
      </c>
      <c r="P62" s="28" t="n">
        <f aca="false">IF($C62=0,"",D62/$C62)</f>
        <v>0.210526315789474</v>
      </c>
      <c r="Q62" s="28" t="n">
        <f aca="false">IF($C62=0,"",E62/$C62)</f>
        <v>0.210526315789474</v>
      </c>
      <c r="R62" s="28" t="n">
        <f aca="false">IF($C62=0,"",F62/$C62)</f>
        <v>0.421052631578947</v>
      </c>
      <c r="S62" s="28" t="n">
        <f aca="false">IF($C62=0,"",G62/$C62)</f>
        <v>0.368421052631579</v>
      </c>
      <c r="T62" s="28" t="n">
        <f aca="false">IF($C62=0,"",H62/$C62)</f>
        <v>0.263157894736842</v>
      </c>
      <c r="U62" s="28" t="n">
        <f aca="false">IF($C62=0,"",I62/$C62)</f>
        <v>0.210526315789474</v>
      </c>
      <c r="V62" s="29" t="n">
        <f aca="false">IF($C62=0,"",K62/$C62)</f>
        <v>-0.368421052631579</v>
      </c>
      <c r="W62" s="29" t="n">
        <f aca="false">IF($C62=0,"",M62/$C62)</f>
        <v>-0.3745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17</v>
      </c>
      <c r="D63" s="26" t="n">
        <v>6</v>
      </c>
      <c r="E63" s="26" t="n">
        <v>6</v>
      </c>
      <c r="F63" s="26" t="n">
        <v>11</v>
      </c>
      <c r="G63" s="26" t="n">
        <v>9</v>
      </c>
      <c r="H63" s="26" t="n">
        <v>6</v>
      </c>
      <c r="I63" s="26" t="n">
        <v>6</v>
      </c>
      <c r="J63" s="26" t="n">
        <v>0</v>
      </c>
      <c r="K63" s="27" t="n">
        <v>1</v>
      </c>
      <c r="L63" s="27" t="n">
        <v>0.1523</v>
      </c>
      <c r="M63" s="19" t="n">
        <f aca="false">K63-L63</f>
        <v>0.8477</v>
      </c>
      <c r="N63" s="26" t="n">
        <v>3</v>
      </c>
      <c r="O63" s="26" t="n">
        <v>6</v>
      </c>
      <c r="P63" s="28" t="n">
        <f aca="false">IF($C63=0,"",D63/$C63)</f>
        <v>0.352941176470588</v>
      </c>
      <c r="Q63" s="28" t="n">
        <f aca="false">IF($C63=0,"",E63/$C63)</f>
        <v>0.352941176470588</v>
      </c>
      <c r="R63" s="28" t="n">
        <f aca="false">IF($C63=0,"",F63/$C63)</f>
        <v>0.647058823529412</v>
      </c>
      <c r="S63" s="28" t="n">
        <f aca="false">IF($C63=0,"",G63/$C63)</f>
        <v>0.529411764705882</v>
      </c>
      <c r="T63" s="28" t="n">
        <f aca="false">IF($C63=0,"",H63/$C63)</f>
        <v>0.352941176470588</v>
      </c>
      <c r="U63" s="28" t="n">
        <f aca="false">IF($C63=0,"",I63/$C63)</f>
        <v>0.352941176470588</v>
      </c>
      <c r="V63" s="29" t="n">
        <f aca="false">IF($C63=0,"",K63/$C63)</f>
        <v>0.0588235294117647</v>
      </c>
      <c r="W63" s="29" t="n">
        <f aca="false">IF($C63=0,"",M63/$C63)</f>
        <v>0.0498647058823529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15</v>
      </c>
      <c r="D64" s="26" t="n">
        <v>5</v>
      </c>
      <c r="E64" s="26" t="n">
        <v>5</v>
      </c>
      <c r="F64" s="26" t="n">
        <v>12</v>
      </c>
      <c r="G64" s="26" t="n">
        <v>10</v>
      </c>
      <c r="H64" s="26" t="n">
        <v>7</v>
      </c>
      <c r="I64" s="26" t="n">
        <v>5</v>
      </c>
      <c r="J64" s="26" t="n">
        <v>0</v>
      </c>
      <c r="K64" s="27" t="n">
        <v>0</v>
      </c>
      <c r="L64" s="27" t="n">
        <v>0.1792</v>
      </c>
      <c r="M64" s="19" t="n">
        <f aca="false">K64-L64</f>
        <v>-0.1792</v>
      </c>
      <c r="N64" s="26" t="n">
        <v>2</v>
      </c>
      <c r="O64" s="26" t="n">
        <v>4</v>
      </c>
      <c r="P64" s="28" t="n">
        <f aca="false">IF($C64=0,"",D64/$C64)</f>
        <v>0.333333333333333</v>
      </c>
      <c r="Q64" s="28" t="n">
        <f aca="false">IF($C64=0,"",E64/$C64)</f>
        <v>0.333333333333333</v>
      </c>
      <c r="R64" s="28" t="n">
        <f aca="false">IF($C64=0,"",F64/$C64)</f>
        <v>0.8</v>
      </c>
      <c r="S64" s="28" t="n">
        <f aca="false">IF($C64=0,"",G64/$C64)</f>
        <v>0.666666666666667</v>
      </c>
      <c r="T64" s="28" t="n">
        <f aca="false">IF($C64=0,"",H64/$C64)</f>
        <v>0.466666666666667</v>
      </c>
      <c r="U64" s="28" t="n">
        <f aca="false">IF($C64=0,"",I64/$C64)</f>
        <v>0.333333333333333</v>
      </c>
      <c r="V64" s="29" t="n">
        <f aca="false">IF($C64=0,"",K64/$C64)</f>
        <v>0</v>
      </c>
      <c r="W64" s="29" t="n">
        <f aca="false">IF($C64=0,"",M64/$C64)</f>
        <v>-0.0119466666666667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12</v>
      </c>
      <c r="D65" s="26" t="n">
        <v>4</v>
      </c>
      <c r="E65" s="26" t="n">
        <v>4</v>
      </c>
      <c r="F65" s="26" t="n">
        <v>9</v>
      </c>
      <c r="G65" s="26" t="n">
        <v>6</v>
      </c>
      <c r="H65" s="26" t="n">
        <v>4</v>
      </c>
      <c r="I65" s="26" t="n">
        <v>4</v>
      </c>
      <c r="J65" s="26" t="n">
        <v>0</v>
      </c>
      <c r="K65" s="27" t="n">
        <v>0</v>
      </c>
      <c r="L65" s="27" t="n">
        <v>0.1676</v>
      </c>
      <c r="M65" s="19" t="n">
        <f aca="false">K65-L65</f>
        <v>-0.1676</v>
      </c>
      <c r="N65" s="26" t="n">
        <v>2</v>
      </c>
      <c r="O65" s="26" t="n">
        <v>4</v>
      </c>
      <c r="P65" s="28" t="n">
        <f aca="false">IF($C65=0,"",D65/$C65)</f>
        <v>0.333333333333333</v>
      </c>
      <c r="Q65" s="28" t="n">
        <f aca="false">IF($C65=0,"",E65/$C65)</f>
        <v>0.333333333333333</v>
      </c>
      <c r="R65" s="28" t="n">
        <f aca="false">IF($C65=0,"",F65/$C65)</f>
        <v>0.75</v>
      </c>
      <c r="S65" s="28" t="n">
        <f aca="false">IF($C65=0,"",G65/$C65)</f>
        <v>0.5</v>
      </c>
      <c r="T65" s="28" t="n">
        <f aca="false">IF($C65=0,"",H65/$C65)</f>
        <v>0.333333333333333</v>
      </c>
      <c r="U65" s="28" t="n">
        <f aca="false">IF($C65=0,"",I65/$C65)</f>
        <v>0.333333333333333</v>
      </c>
      <c r="V65" s="29" t="n">
        <f aca="false">IF($C65=0,"",K65/$C65)</f>
        <v>0</v>
      </c>
      <c r="W65" s="29" t="n">
        <f aca="false">IF($C65=0,"",M65/$C65)</f>
        <v>-0.0139666666666667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11</v>
      </c>
      <c r="D66" s="26" t="n">
        <v>2</v>
      </c>
      <c r="E66" s="26" t="n">
        <v>2</v>
      </c>
      <c r="F66" s="26" t="n">
        <v>4</v>
      </c>
      <c r="G66" s="26" t="n">
        <v>4</v>
      </c>
      <c r="H66" s="26" t="n">
        <v>3</v>
      </c>
      <c r="I66" s="26" t="n">
        <v>2</v>
      </c>
      <c r="J66" s="26" t="n">
        <v>0</v>
      </c>
      <c r="K66" s="27" t="n">
        <v>-5</v>
      </c>
      <c r="L66" s="27" t="n">
        <v>0.0733</v>
      </c>
      <c r="M66" s="19" t="n">
        <f aca="false">K66-L66</f>
        <v>-5.0733</v>
      </c>
      <c r="N66" s="26" t="n">
        <v>2</v>
      </c>
      <c r="O66" s="26" t="n">
        <v>8</v>
      </c>
      <c r="P66" s="28" t="n">
        <f aca="false">IF($C66=0,"",D66/$C66)</f>
        <v>0.181818181818182</v>
      </c>
      <c r="Q66" s="28" t="n">
        <f aca="false">IF($C66=0,"",E66/$C66)</f>
        <v>0.181818181818182</v>
      </c>
      <c r="R66" s="28" t="n">
        <f aca="false">IF($C66=0,"",F66/$C66)</f>
        <v>0.363636363636364</v>
      </c>
      <c r="S66" s="28" t="n">
        <f aca="false">IF($C66=0,"",G66/$C66)</f>
        <v>0.363636363636364</v>
      </c>
      <c r="T66" s="28" t="n">
        <f aca="false">IF($C66=0,"",H66/$C66)</f>
        <v>0.272727272727273</v>
      </c>
      <c r="U66" s="28" t="n">
        <f aca="false">IF($C66=0,"",I66/$C66)</f>
        <v>0.181818181818182</v>
      </c>
      <c r="V66" s="29" t="n">
        <f aca="false">IF($C66=0,"",K66/$C66)</f>
        <v>-0.454545454545455</v>
      </c>
      <c r="W66" s="29" t="n">
        <f aca="false">IF($C66=0,"",M66/$C66)</f>
        <v>-0.461209090909091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16</v>
      </c>
      <c r="D67" s="26" t="n">
        <v>7</v>
      </c>
      <c r="E67" s="26" t="n">
        <v>7</v>
      </c>
      <c r="F67" s="26" t="n">
        <v>12</v>
      </c>
      <c r="G67" s="26" t="n">
        <v>10</v>
      </c>
      <c r="H67" s="26" t="n">
        <v>10</v>
      </c>
      <c r="I67" s="26" t="n">
        <v>7</v>
      </c>
      <c r="J67" s="26" t="n">
        <v>0</v>
      </c>
      <c r="K67" s="27" t="n">
        <v>5</v>
      </c>
      <c r="L67" s="27" t="n">
        <v>0.0797</v>
      </c>
      <c r="M67" s="19" t="n">
        <f aca="false">K67-L67</f>
        <v>4.9203</v>
      </c>
      <c r="N67" s="26" t="n">
        <v>4</v>
      </c>
      <c r="O67" s="26" t="n">
        <v>4</v>
      </c>
      <c r="P67" s="28" t="n">
        <f aca="false">IF($C67=0,"",D67/$C67)</f>
        <v>0.4375</v>
      </c>
      <c r="Q67" s="28" t="n">
        <f aca="false">IF($C67=0,"",E67/$C67)</f>
        <v>0.4375</v>
      </c>
      <c r="R67" s="28" t="n">
        <f aca="false">IF($C67=0,"",F67/$C67)</f>
        <v>0.75</v>
      </c>
      <c r="S67" s="28" t="n">
        <f aca="false">IF($C67=0,"",G67/$C67)</f>
        <v>0.625</v>
      </c>
      <c r="T67" s="28" t="n">
        <f aca="false">IF($C67=0,"",H67/$C67)</f>
        <v>0.625</v>
      </c>
      <c r="U67" s="28" t="n">
        <f aca="false">IF($C67=0,"",I67/$C67)</f>
        <v>0.4375</v>
      </c>
      <c r="V67" s="29" t="n">
        <f aca="false">IF($C67=0,"",K67/$C67)</f>
        <v>0.3125</v>
      </c>
      <c r="W67" s="29" t="n">
        <f aca="false">IF($C67=0,"",M67/$C67)</f>
        <v>0.30751875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13</v>
      </c>
      <c r="D68" s="26" t="n">
        <v>3</v>
      </c>
      <c r="E68" s="26" t="n">
        <v>3</v>
      </c>
      <c r="F68" s="26" t="n">
        <v>5</v>
      </c>
      <c r="G68" s="26" t="n">
        <v>4</v>
      </c>
      <c r="H68" s="26" t="n">
        <v>3</v>
      </c>
      <c r="I68" s="26" t="n">
        <v>3</v>
      </c>
      <c r="J68" s="26" t="n">
        <v>0</v>
      </c>
      <c r="K68" s="27" t="n">
        <v>-4</v>
      </c>
      <c r="L68" s="27" t="n">
        <v>0.0962</v>
      </c>
      <c r="M68" s="19" t="n">
        <f aca="false">K68-L68</f>
        <v>-4.0962</v>
      </c>
      <c r="N68" s="26" t="n">
        <v>1</v>
      </c>
      <c r="O68" s="26" t="n">
        <v>7</v>
      </c>
      <c r="P68" s="28" t="n">
        <f aca="false">IF($C68=0,"",D68/$C68)</f>
        <v>0.230769230769231</v>
      </c>
      <c r="Q68" s="28" t="n">
        <f aca="false">IF($C68=0,"",E68/$C68)</f>
        <v>0.230769230769231</v>
      </c>
      <c r="R68" s="28" t="n">
        <f aca="false">IF($C68=0,"",F68/$C68)</f>
        <v>0.384615384615385</v>
      </c>
      <c r="S68" s="28" t="n">
        <f aca="false">IF($C68=0,"",G68/$C68)</f>
        <v>0.307692307692308</v>
      </c>
      <c r="T68" s="28" t="n">
        <f aca="false">IF($C68=0,"",H68/$C68)</f>
        <v>0.230769230769231</v>
      </c>
      <c r="U68" s="28" t="n">
        <f aca="false">IF($C68=0,"",I68/$C68)</f>
        <v>0.230769230769231</v>
      </c>
      <c r="V68" s="29" t="n">
        <f aca="false">IF($C68=0,"",K68/$C68)</f>
        <v>-0.307692307692308</v>
      </c>
      <c r="W68" s="29" t="n">
        <f aca="false">IF($C68=0,"",M68/$C68)</f>
        <v>-0.315092307692308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12</v>
      </c>
      <c r="D69" s="26" t="n">
        <v>2</v>
      </c>
      <c r="E69" s="26" t="n">
        <v>2</v>
      </c>
      <c r="F69" s="26" t="n">
        <v>6</v>
      </c>
      <c r="G69" s="26" t="n">
        <v>3</v>
      </c>
      <c r="H69" s="26" t="n">
        <v>3</v>
      </c>
      <c r="I69" s="26" t="n">
        <v>2</v>
      </c>
      <c r="J69" s="26" t="n">
        <v>0</v>
      </c>
      <c r="K69" s="27" t="n">
        <v>-6</v>
      </c>
      <c r="L69" s="27" t="n">
        <v>0.0654</v>
      </c>
      <c r="M69" s="19" t="n">
        <f aca="false">K69-L69</f>
        <v>-6.0654</v>
      </c>
      <c r="N69" s="26" t="n">
        <v>2</v>
      </c>
      <c r="O69" s="26" t="n">
        <v>5</v>
      </c>
      <c r="P69" s="28" t="n">
        <f aca="false">IF($C69=0,"",D69/$C69)</f>
        <v>0.166666666666667</v>
      </c>
      <c r="Q69" s="28" t="n">
        <f aca="false">IF($C69=0,"",E69/$C69)</f>
        <v>0.166666666666667</v>
      </c>
      <c r="R69" s="28" t="n">
        <f aca="false">IF($C69=0,"",F69/$C69)</f>
        <v>0.5</v>
      </c>
      <c r="S69" s="28" t="n">
        <f aca="false">IF($C69=0,"",G69/$C69)</f>
        <v>0.25</v>
      </c>
      <c r="T69" s="28" t="n">
        <f aca="false">IF($C69=0,"",H69/$C69)</f>
        <v>0.25</v>
      </c>
      <c r="U69" s="28" t="n">
        <f aca="false">IF($C69=0,"",I69/$C69)</f>
        <v>0.166666666666667</v>
      </c>
      <c r="V69" s="29" t="n">
        <f aca="false">IF($C69=0,"",K69/$C69)</f>
        <v>-0.5</v>
      </c>
      <c r="W69" s="29" t="n">
        <f aca="false">IF($C69=0,"",M69/$C69)</f>
        <v>-0.50545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169</v>
      </c>
      <c r="D70" s="30" t="n">
        <f aca="false">SUM(D58:D69)</f>
        <v>52</v>
      </c>
      <c r="E70" s="30" t="n">
        <f aca="false">SUM(E58:E69)</f>
        <v>52</v>
      </c>
      <c r="F70" s="30" t="n">
        <f aca="false">SUM(F58:F69)</f>
        <v>97</v>
      </c>
      <c r="G70" s="30" t="n">
        <f aca="false">SUM(G58:G69)</f>
        <v>78</v>
      </c>
      <c r="H70" s="30" t="n">
        <f aca="false">SUM(H58:H69)</f>
        <v>63</v>
      </c>
      <c r="I70" s="30" t="n">
        <f aca="false">SUM(I58:I69)</f>
        <v>52</v>
      </c>
      <c r="J70" s="30" t="n">
        <f aca="false">SUM(J58:J69)</f>
        <v>0</v>
      </c>
      <c r="K70" s="31" t="n">
        <f aca="false">SUM(K58:K69)</f>
        <v>-13</v>
      </c>
      <c r="L70" s="31" t="n">
        <f aca="false">SUM(L58:L69)</f>
        <v>1.3818</v>
      </c>
      <c r="M70" s="31" t="n">
        <f aca="false">K70-L70</f>
        <v>-14.3818</v>
      </c>
      <c r="N70" s="32" t="n">
        <v>4</v>
      </c>
      <c r="O70" s="32" t="n">
        <v>10</v>
      </c>
      <c r="P70" s="33" t="n">
        <f aca="false">IF($C70=0,"",D70/$C70)</f>
        <v>0.307692307692308</v>
      </c>
      <c r="Q70" s="33" t="n">
        <f aca="false">IF($C70=0,"",E70/$C70)</f>
        <v>0.307692307692308</v>
      </c>
      <c r="R70" s="33" t="n">
        <f aca="false">IF($C70=0,"",F70/$C70)</f>
        <v>0.57396449704142</v>
      </c>
      <c r="S70" s="33" t="n">
        <f aca="false">IF($C70=0,"",G70/$C70)</f>
        <v>0.461538461538462</v>
      </c>
      <c r="T70" s="33" t="n">
        <f aca="false">IF($C70=0,"",H70/$C70)</f>
        <v>0.372781065088757</v>
      </c>
      <c r="U70" s="33" t="n">
        <f aca="false">IF($C70=0,"",I70/$C70)</f>
        <v>0.307692307692308</v>
      </c>
      <c r="V70" s="34" t="n">
        <f aca="false">IF($C70=0,"",K70/$C70)</f>
        <v>-0.0769230769230769</v>
      </c>
      <c r="W70" s="34" t="n">
        <f aca="false">IF($C70=0,"",M70/$C70)</f>
        <v>-0.0850994082840237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7</v>
      </c>
      <c r="D71" s="26" t="n">
        <v>5</v>
      </c>
      <c r="E71" s="26" t="n">
        <v>5</v>
      </c>
      <c r="F71" s="26" t="n">
        <v>7</v>
      </c>
      <c r="G71" s="26" t="n">
        <v>6</v>
      </c>
      <c r="H71" s="26" t="n">
        <v>5</v>
      </c>
      <c r="I71" s="26" t="n">
        <v>5</v>
      </c>
      <c r="J71" s="26" t="n">
        <v>0</v>
      </c>
      <c r="K71" s="27" t="n">
        <v>8</v>
      </c>
      <c r="L71" s="27" t="n">
        <v>0.0273</v>
      </c>
      <c r="M71" s="19" t="n">
        <f aca="false">K71-L71</f>
        <v>7.9727</v>
      </c>
      <c r="N71" s="26" t="n">
        <v>3</v>
      </c>
      <c r="O71" s="26" t="n">
        <v>1</v>
      </c>
      <c r="P71" s="28" t="n">
        <f aca="false">IF($C71=0,"",D71/$C71)</f>
        <v>0.714285714285714</v>
      </c>
      <c r="Q71" s="28" t="n">
        <f aca="false">IF($C71=0,"",E71/$C71)</f>
        <v>0.714285714285714</v>
      </c>
      <c r="R71" s="28" t="n">
        <f aca="false">IF($C71=0,"",F71/$C71)</f>
        <v>1</v>
      </c>
      <c r="S71" s="28" t="n">
        <f aca="false">IF($C71=0,"",G71/$C71)</f>
        <v>0.857142857142857</v>
      </c>
      <c r="T71" s="28" t="n">
        <f aca="false">IF($C71=0,"",H71/$C71)</f>
        <v>0.714285714285714</v>
      </c>
      <c r="U71" s="28" t="n">
        <f aca="false">IF($C71=0,"",I71/$C71)</f>
        <v>0.714285714285714</v>
      </c>
      <c r="V71" s="29" t="n">
        <f aca="false">IF($C71=0,"",K71/$C71)</f>
        <v>1.14285714285714</v>
      </c>
      <c r="W71" s="29" t="n">
        <f aca="false">IF($C71=0,"",M71/$C71)</f>
        <v>1.13895714285714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10</v>
      </c>
      <c r="D72" s="26" t="n">
        <v>6</v>
      </c>
      <c r="E72" s="26" t="n">
        <v>6</v>
      </c>
      <c r="F72" s="26" t="n">
        <v>8</v>
      </c>
      <c r="G72" s="26" t="n">
        <v>8</v>
      </c>
      <c r="H72" s="26" t="n">
        <v>7</v>
      </c>
      <c r="I72" s="26" t="n">
        <v>6</v>
      </c>
      <c r="J72" s="26" t="n">
        <v>0</v>
      </c>
      <c r="K72" s="27" t="n">
        <v>8</v>
      </c>
      <c r="L72" s="27" t="n">
        <v>0.0402</v>
      </c>
      <c r="M72" s="19" t="n">
        <f aca="false">K72-L72</f>
        <v>7.9598</v>
      </c>
      <c r="N72" s="26" t="n">
        <v>2</v>
      </c>
      <c r="O72" s="26" t="n">
        <v>2</v>
      </c>
      <c r="P72" s="28" t="n">
        <f aca="false">IF($C72=0,"",D72/$C72)</f>
        <v>0.6</v>
      </c>
      <c r="Q72" s="28" t="n">
        <f aca="false">IF($C72=0,"",E72/$C72)</f>
        <v>0.6</v>
      </c>
      <c r="R72" s="28" t="n">
        <f aca="false">IF($C72=0,"",F72/$C72)</f>
        <v>0.8</v>
      </c>
      <c r="S72" s="28" t="n">
        <f aca="false">IF($C72=0,"",G72/$C72)</f>
        <v>0.8</v>
      </c>
      <c r="T72" s="28" t="n">
        <f aca="false">IF($C72=0,"",H72/$C72)</f>
        <v>0.7</v>
      </c>
      <c r="U72" s="28" t="n">
        <f aca="false">IF($C72=0,"",I72/$C72)</f>
        <v>0.6</v>
      </c>
      <c r="V72" s="29" t="n">
        <f aca="false">IF($C72=0,"",K72/$C72)</f>
        <v>0.8</v>
      </c>
      <c r="W72" s="29" t="n">
        <f aca="false">IF($C72=0,"",M72/$C72)</f>
        <v>0.79598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9</v>
      </c>
      <c r="D73" s="26" t="n">
        <v>3</v>
      </c>
      <c r="E73" s="26" t="n">
        <v>3</v>
      </c>
      <c r="F73" s="26" t="n">
        <v>4</v>
      </c>
      <c r="G73" s="26" t="n">
        <v>4</v>
      </c>
      <c r="H73" s="26" t="n">
        <v>4</v>
      </c>
      <c r="I73" s="26" t="n">
        <v>3</v>
      </c>
      <c r="J73" s="26" t="n">
        <v>0</v>
      </c>
      <c r="K73" s="27" t="n">
        <v>0</v>
      </c>
      <c r="L73" s="27" t="n">
        <v>0.0306</v>
      </c>
      <c r="M73" s="19" t="n">
        <f aca="false">K73-L73</f>
        <v>-0.0306</v>
      </c>
      <c r="N73" s="26" t="n">
        <v>1</v>
      </c>
      <c r="O73" s="26" t="n">
        <v>2</v>
      </c>
      <c r="P73" s="28" t="n">
        <f aca="false">IF($C73=0,"",D73/$C73)</f>
        <v>0.333333333333333</v>
      </c>
      <c r="Q73" s="28" t="n">
        <f aca="false">IF($C73=0,"",E73/$C73)</f>
        <v>0.333333333333333</v>
      </c>
      <c r="R73" s="28" t="n">
        <f aca="false">IF($C73=0,"",F73/$C73)</f>
        <v>0.444444444444444</v>
      </c>
      <c r="S73" s="28" t="n">
        <f aca="false">IF($C73=0,"",G73/$C73)</f>
        <v>0.444444444444444</v>
      </c>
      <c r="T73" s="28" t="n">
        <f aca="false">IF($C73=0,"",H73/$C73)</f>
        <v>0.444444444444444</v>
      </c>
      <c r="U73" s="28" t="n">
        <f aca="false">IF($C73=0,"",I73/$C73)</f>
        <v>0.333333333333333</v>
      </c>
      <c r="V73" s="29" t="n">
        <f aca="false">IF($C73=0,"",K73/$C73)</f>
        <v>0</v>
      </c>
      <c r="W73" s="29" t="n">
        <f aca="false">IF($C73=0,"",M73/$C73)</f>
        <v>-0.0034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8</v>
      </c>
      <c r="D74" s="26" t="n">
        <v>2</v>
      </c>
      <c r="E74" s="26" t="n">
        <v>2</v>
      </c>
      <c r="F74" s="26" t="n">
        <v>5</v>
      </c>
      <c r="G74" s="26" t="n">
        <v>5</v>
      </c>
      <c r="H74" s="26" t="n">
        <v>3</v>
      </c>
      <c r="I74" s="26" t="n">
        <v>2</v>
      </c>
      <c r="J74" s="26" t="n">
        <v>0</v>
      </c>
      <c r="K74" s="27" t="n">
        <v>-2</v>
      </c>
      <c r="L74" s="27" t="n">
        <v>0.0355</v>
      </c>
      <c r="M74" s="19" t="n">
        <f aca="false">K74-L74</f>
        <v>-2.0355</v>
      </c>
      <c r="N74" s="26" t="n">
        <v>1</v>
      </c>
      <c r="O74" s="26" t="n">
        <v>4</v>
      </c>
      <c r="P74" s="28" t="n">
        <f aca="false">IF($C74=0,"",D74/$C74)</f>
        <v>0.25</v>
      </c>
      <c r="Q74" s="28" t="n">
        <f aca="false">IF($C74=0,"",E74/$C74)</f>
        <v>0.25</v>
      </c>
      <c r="R74" s="28" t="n">
        <f aca="false">IF($C74=0,"",F74/$C74)</f>
        <v>0.625</v>
      </c>
      <c r="S74" s="28" t="n">
        <f aca="false">IF($C74=0,"",G74/$C74)</f>
        <v>0.625</v>
      </c>
      <c r="T74" s="28" t="n">
        <f aca="false">IF($C74=0,"",H74/$C74)</f>
        <v>0.375</v>
      </c>
      <c r="U74" s="28" t="n">
        <f aca="false">IF($C74=0,"",I74/$C74)</f>
        <v>0.25</v>
      </c>
      <c r="V74" s="29" t="n">
        <f aca="false">IF($C74=0,"",K74/$C74)</f>
        <v>-0.25</v>
      </c>
      <c r="W74" s="29" t="n">
        <f aca="false">IF($C74=0,"",M74/$C74)</f>
        <v>-0.2544375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14</v>
      </c>
      <c r="D75" s="26" t="n">
        <v>7</v>
      </c>
      <c r="E75" s="26" t="n">
        <v>7</v>
      </c>
      <c r="F75" s="26" t="n">
        <v>10</v>
      </c>
      <c r="G75" s="26" t="n">
        <v>8</v>
      </c>
      <c r="H75" s="26" t="n">
        <v>7</v>
      </c>
      <c r="I75" s="26" t="n">
        <v>7</v>
      </c>
      <c r="J75" s="26" t="n">
        <v>0</v>
      </c>
      <c r="K75" s="27" t="n">
        <v>7</v>
      </c>
      <c r="L75" s="27" t="n">
        <v>0.0713</v>
      </c>
      <c r="M75" s="19" t="n">
        <f aca="false">K75-L75</f>
        <v>6.9287</v>
      </c>
      <c r="N75" s="26" t="n">
        <v>3</v>
      </c>
      <c r="O75" s="26" t="n">
        <v>5</v>
      </c>
      <c r="P75" s="28" t="n">
        <f aca="false">IF($C75=0,"",D75/$C75)</f>
        <v>0.5</v>
      </c>
      <c r="Q75" s="28" t="n">
        <f aca="false">IF($C75=0,"",E75/$C75)</f>
        <v>0.5</v>
      </c>
      <c r="R75" s="28" t="n">
        <f aca="false">IF($C75=0,"",F75/$C75)</f>
        <v>0.714285714285714</v>
      </c>
      <c r="S75" s="28" t="n">
        <f aca="false">IF($C75=0,"",G75/$C75)</f>
        <v>0.571428571428571</v>
      </c>
      <c r="T75" s="28" t="n">
        <f aca="false">IF($C75=0,"",H75/$C75)</f>
        <v>0.5</v>
      </c>
      <c r="U75" s="28" t="n">
        <f aca="false">IF($C75=0,"",I75/$C75)</f>
        <v>0.5</v>
      </c>
      <c r="V75" s="29" t="n">
        <f aca="false">IF($C75=0,"",K75/$C75)</f>
        <v>0.5</v>
      </c>
      <c r="W75" s="29" t="n">
        <f aca="false">IF($C75=0,"",M75/$C75)</f>
        <v>0.494907142857143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9</v>
      </c>
      <c r="D76" s="26" t="n">
        <v>7</v>
      </c>
      <c r="E76" s="26" t="n">
        <v>7</v>
      </c>
      <c r="F76" s="26" t="n">
        <v>9</v>
      </c>
      <c r="G76" s="26" t="n">
        <v>9</v>
      </c>
      <c r="H76" s="26" t="n">
        <v>7</v>
      </c>
      <c r="I76" s="26" t="n">
        <v>7</v>
      </c>
      <c r="J76" s="26" t="n">
        <v>0</v>
      </c>
      <c r="K76" s="27" t="n">
        <v>12</v>
      </c>
      <c r="L76" s="27" t="n">
        <v>0.0412</v>
      </c>
      <c r="M76" s="19" t="n">
        <f aca="false">K76-L76</f>
        <v>11.9588</v>
      </c>
      <c r="N76" s="26" t="n">
        <v>3</v>
      </c>
      <c r="O76" s="26" t="n">
        <v>1</v>
      </c>
      <c r="P76" s="28" t="n">
        <f aca="false">IF($C76=0,"",D76/$C76)</f>
        <v>0.777777777777778</v>
      </c>
      <c r="Q76" s="28" t="n">
        <f aca="false">IF($C76=0,"",E76/$C76)</f>
        <v>0.777777777777778</v>
      </c>
      <c r="R76" s="28" t="n">
        <f aca="false">IF($C76=0,"",F76/$C76)</f>
        <v>1</v>
      </c>
      <c r="S76" s="28" t="n">
        <f aca="false">IF($C76=0,"",G76/$C76)</f>
        <v>1</v>
      </c>
      <c r="T76" s="28" t="n">
        <f aca="false">IF($C76=0,"",H76/$C76)</f>
        <v>0.777777777777778</v>
      </c>
      <c r="U76" s="28" t="n">
        <f aca="false">IF($C76=0,"",I76/$C76)</f>
        <v>0.777777777777778</v>
      </c>
      <c r="V76" s="29" t="n">
        <f aca="false">IF($C76=0,"",K76/$C76)</f>
        <v>1.33333333333333</v>
      </c>
      <c r="W76" s="29" t="n">
        <f aca="false">IF($C76=0,"",M76/$C76)</f>
        <v>1.32875555555556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14</v>
      </c>
      <c r="D77" s="26" t="n">
        <v>6</v>
      </c>
      <c r="E77" s="26" t="n">
        <v>6</v>
      </c>
      <c r="F77" s="26" t="n">
        <v>11</v>
      </c>
      <c r="G77" s="26" t="n">
        <v>9</v>
      </c>
      <c r="H77" s="26" t="n">
        <v>9</v>
      </c>
      <c r="I77" s="26" t="n">
        <v>6</v>
      </c>
      <c r="J77" s="26" t="n">
        <v>0</v>
      </c>
      <c r="K77" s="27" t="n">
        <v>4</v>
      </c>
      <c r="L77" s="27" t="n">
        <v>0.0848</v>
      </c>
      <c r="M77" s="19" t="n">
        <f aca="false">K77-L77</f>
        <v>3.9152</v>
      </c>
      <c r="N77" s="26" t="n">
        <v>6</v>
      </c>
      <c r="O77" s="26" t="n">
        <v>8</v>
      </c>
      <c r="P77" s="28" t="n">
        <f aca="false">IF($C77=0,"",D77/$C77)</f>
        <v>0.428571428571429</v>
      </c>
      <c r="Q77" s="28" t="n">
        <f aca="false">IF($C77=0,"",E77/$C77)</f>
        <v>0.428571428571429</v>
      </c>
      <c r="R77" s="28" t="n">
        <f aca="false">IF($C77=0,"",F77/$C77)</f>
        <v>0.785714285714286</v>
      </c>
      <c r="S77" s="28" t="n">
        <f aca="false">IF($C77=0,"",G77/$C77)</f>
        <v>0.642857142857143</v>
      </c>
      <c r="T77" s="28" t="n">
        <f aca="false">IF($C77=0,"",H77/$C77)</f>
        <v>0.642857142857143</v>
      </c>
      <c r="U77" s="28" t="n">
        <f aca="false">IF($C77=0,"",I77/$C77)</f>
        <v>0.428571428571429</v>
      </c>
      <c r="V77" s="29" t="n">
        <f aca="false">IF($C77=0,"",K77/$C77)</f>
        <v>0.285714285714286</v>
      </c>
      <c r="W77" s="29" t="n">
        <f aca="false">IF($C77=0,"",M77/$C77)</f>
        <v>0.279657142857143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13</v>
      </c>
      <c r="D78" s="26" t="n">
        <v>4</v>
      </c>
      <c r="E78" s="26" t="n">
        <v>4</v>
      </c>
      <c r="F78" s="26" t="n">
        <v>6</v>
      </c>
      <c r="G78" s="26" t="n">
        <v>6</v>
      </c>
      <c r="H78" s="26" t="n">
        <v>5</v>
      </c>
      <c r="I78" s="26" t="n">
        <v>4</v>
      </c>
      <c r="J78" s="26" t="n">
        <v>0</v>
      </c>
      <c r="K78" s="27" t="n">
        <v>-1</v>
      </c>
      <c r="L78" s="27" t="n">
        <v>0.071</v>
      </c>
      <c r="M78" s="19" t="n">
        <f aca="false">K78-L78</f>
        <v>-1.071</v>
      </c>
      <c r="N78" s="26" t="n">
        <v>1</v>
      </c>
      <c r="O78" s="26" t="n">
        <v>3</v>
      </c>
      <c r="P78" s="28" t="n">
        <f aca="false">IF($C78=0,"",D78/$C78)</f>
        <v>0.307692307692308</v>
      </c>
      <c r="Q78" s="28" t="n">
        <f aca="false">IF($C78=0,"",E78/$C78)</f>
        <v>0.307692307692308</v>
      </c>
      <c r="R78" s="28" t="n">
        <f aca="false">IF($C78=0,"",F78/$C78)</f>
        <v>0.461538461538462</v>
      </c>
      <c r="S78" s="28" t="n">
        <f aca="false">IF($C78=0,"",G78/$C78)</f>
        <v>0.461538461538462</v>
      </c>
      <c r="T78" s="28" t="n">
        <f aca="false">IF($C78=0,"",H78/$C78)</f>
        <v>0.384615384615385</v>
      </c>
      <c r="U78" s="28" t="n">
        <f aca="false">IF($C78=0,"",I78/$C78)</f>
        <v>0.307692307692308</v>
      </c>
      <c r="V78" s="29" t="n">
        <f aca="false">IF($C78=0,"",K78/$C78)</f>
        <v>-0.0769230769230769</v>
      </c>
      <c r="W78" s="29" t="n">
        <f aca="false">IF($C78=0,"",M78/$C78)</f>
        <v>-0.0823846153846154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12</v>
      </c>
      <c r="D79" s="26" t="n">
        <v>3</v>
      </c>
      <c r="E79" s="26" t="n">
        <v>3</v>
      </c>
      <c r="F79" s="26" t="n">
        <v>9</v>
      </c>
      <c r="G79" s="26" t="n">
        <v>7</v>
      </c>
      <c r="H79" s="26" t="n">
        <v>3</v>
      </c>
      <c r="I79" s="26" t="n">
        <v>3</v>
      </c>
      <c r="J79" s="26" t="n">
        <v>0</v>
      </c>
      <c r="K79" s="27" t="n">
        <v>-3</v>
      </c>
      <c r="L79" s="27" t="n">
        <v>0.0595</v>
      </c>
      <c r="M79" s="19" t="n">
        <f aca="false">K79-L79</f>
        <v>-3.0595</v>
      </c>
      <c r="N79" s="26" t="n">
        <v>2</v>
      </c>
      <c r="O79" s="26" t="n">
        <v>6</v>
      </c>
      <c r="P79" s="28" t="n">
        <f aca="false">IF($C79=0,"",D79/$C79)</f>
        <v>0.25</v>
      </c>
      <c r="Q79" s="28" t="n">
        <f aca="false">IF($C79=0,"",E79/$C79)</f>
        <v>0.25</v>
      </c>
      <c r="R79" s="28" t="n">
        <f aca="false">IF($C79=0,"",F79/$C79)</f>
        <v>0.75</v>
      </c>
      <c r="S79" s="28" t="n">
        <f aca="false">IF($C79=0,"",G79/$C79)</f>
        <v>0.583333333333333</v>
      </c>
      <c r="T79" s="28" t="n">
        <f aca="false">IF($C79=0,"",H79/$C79)</f>
        <v>0.25</v>
      </c>
      <c r="U79" s="28" t="n">
        <f aca="false">IF($C79=0,"",I79/$C79)</f>
        <v>0.25</v>
      </c>
      <c r="V79" s="29" t="n">
        <f aca="false">IF($C79=0,"",K79/$C79)</f>
        <v>-0.25</v>
      </c>
      <c r="W79" s="29" t="n">
        <f aca="false">IF($C79=0,"",M79/$C79)</f>
        <v>-0.254958333333333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0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-2</v>
      </c>
      <c r="L80" s="27" t="n">
        <v>0.0105</v>
      </c>
      <c r="M80" s="19" t="n">
        <f aca="false">K80-L80</f>
        <v>-2.0105</v>
      </c>
      <c r="N80" s="26" t="n">
        <v>0</v>
      </c>
      <c r="O80" s="26" t="n">
        <v>2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-1.00525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98</v>
      </c>
      <c r="D81" s="30" t="n">
        <f aca="false">SUM(D71:D80)</f>
        <v>43</v>
      </c>
      <c r="E81" s="30" t="n">
        <f aca="false">SUM(E71:E80)</f>
        <v>43</v>
      </c>
      <c r="F81" s="30" t="n">
        <f aca="false">SUM(F71:F80)</f>
        <v>70</v>
      </c>
      <c r="G81" s="30" t="n">
        <f aca="false">SUM(G71:G80)</f>
        <v>62</v>
      </c>
      <c r="H81" s="30" t="n">
        <f aca="false">SUM(H71:H80)</f>
        <v>50</v>
      </c>
      <c r="I81" s="30" t="n">
        <f aca="false">SUM(I71:I80)</f>
        <v>43</v>
      </c>
      <c r="J81" s="30" t="n">
        <f aca="false">SUM(J71:J80)</f>
        <v>0</v>
      </c>
      <c r="K81" s="31" t="n">
        <f aca="false">SUM(K71:K80)</f>
        <v>31</v>
      </c>
      <c r="L81" s="31" t="n">
        <f aca="false">SUM(L71:L80)</f>
        <v>0.4719</v>
      </c>
      <c r="M81" s="31" t="n">
        <f aca="false">K81-L81</f>
        <v>30.5281</v>
      </c>
      <c r="N81" s="32" t="n">
        <v>9</v>
      </c>
      <c r="O81" s="32" t="n">
        <v>8</v>
      </c>
      <c r="P81" s="33" t="n">
        <f aca="false">IF($C81=0,"",D81/$C81)</f>
        <v>0.438775510204082</v>
      </c>
      <c r="Q81" s="33" t="n">
        <f aca="false">IF($C81=0,"",E81/$C81)</f>
        <v>0.438775510204082</v>
      </c>
      <c r="R81" s="33" t="n">
        <f aca="false">IF($C81=0,"",F81/$C81)</f>
        <v>0.714285714285714</v>
      </c>
      <c r="S81" s="33" t="n">
        <f aca="false">IF($C81=0,"",G81/$C81)</f>
        <v>0.63265306122449</v>
      </c>
      <c r="T81" s="33" t="n">
        <f aca="false">IF($C81=0,"",H81/$C81)</f>
        <v>0.510204081632653</v>
      </c>
      <c r="U81" s="33" t="n">
        <f aca="false">IF($C81=0,"",I81/$C81)</f>
        <v>0.438775510204082</v>
      </c>
      <c r="V81" s="34" t="n">
        <f aca="false">IF($C81=0,"",K81/$C81)</f>
        <v>0.316326530612245</v>
      </c>
      <c r="W81" s="34" t="n">
        <f aca="false">IF($C81=0,"",M81/$C81)</f>
        <v>0.311511224489796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884</v>
      </c>
      <c r="D82" s="5" t="n">
        <f aca="false">D18+D31+D44+D57+D70+D81</f>
        <v>288</v>
      </c>
      <c r="E82" s="5" t="n">
        <f aca="false">E18+E31+E44+E57+E70+E81</f>
        <v>288</v>
      </c>
      <c r="F82" s="5" t="n">
        <f aca="false">F18+F31+F44+F57+F70+F81</f>
        <v>528</v>
      </c>
      <c r="G82" s="5" t="n">
        <f aca="false">G18+G31+G44+G57+G70+G81</f>
        <v>427</v>
      </c>
      <c r="H82" s="5" t="n">
        <f aca="false">H18+H31+H44+H57+H70+H81</f>
        <v>332</v>
      </c>
      <c r="I82" s="5" t="n">
        <f aca="false">I18+I31+I44+I57+I70+I81</f>
        <v>288</v>
      </c>
      <c r="J82" s="5" t="n">
        <f aca="false">J18+J31+J44+J57+J70+J81</f>
        <v>0</v>
      </c>
      <c r="K82" s="21" t="n">
        <f aca="false">K18+K31+K44+K57+K70+K81</f>
        <v>-20</v>
      </c>
      <c r="L82" s="21" t="n">
        <f aca="false">L18+L31+L44+L57+L70+L81</f>
        <v>19.4199</v>
      </c>
      <c r="M82" s="21" t="n">
        <f aca="false">K82-L82</f>
        <v>-39.4199</v>
      </c>
      <c r="N82" s="35" t="n">
        <v>9</v>
      </c>
      <c r="O82" s="35" t="n">
        <v>15</v>
      </c>
      <c r="P82" s="36" t="n">
        <f aca="false">IF($C82=0,"",D82/$C82)</f>
        <v>0.32579185520362</v>
      </c>
      <c r="Q82" s="36" t="n">
        <f aca="false">IF($C82=0,"",E82/$C82)</f>
        <v>0.32579185520362</v>
      </c>
      <c r="R82" s="36" t="n">
        <f aca="false">IF($C82=0,"",F82/$C82)</f>
        <v>0.597285067873303</v>
      </c>
      <c r="S82" s="36" t="n">
        <f aca="false">IF($C82=0,"",G82/$C82)</f>
        <v>0.483031674208145</v>
      </c>
      <c r="T82" s="36" t="n">
        <f aca="false">IF($C82=0,"",H82/$C82)</f>
        <v>0.375565610859729</v>
      </c>
      <c r="U82" s="36" t="n">
        <f aca="false">IF($C82=0,"",I82/$C82)</f>
        <v>0.32579185520362</v>
      </c>
      <c r="V82" s="37" t="n">
        <f aca="false">IF($C82=0,"",K82/$C82)</f>
        <v>-0.0226244343891403</v>
      </c>
      <c r="W82" s="37" t="n">
        <f aca="false">IF($C82=0,"",M82/$C82)</f>
        <v>-0.0445926470588235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202</v>
      </c>
    </row>
    <row r="2" customFormat="false" ht="42" hidden="false" customHeight="true" outlineLevel="0" collapsed="false">
      <c r="A2" s="4" t="s">
        <v>203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</v>
      </c>
      <c r="D6" s="26" t="n">
        <v>0</v>
      </c>
      <c r="E6" s="26" t="n">
        <v>0</v>
      </c>
      <c r="F6" s="26" t="n">
        <v>1</v>
      </c>
      <c r="G6" s="26" t="n">
        <v>1</v>
      </c>
      <c r="H6" s="26" t="n">
        <v>1</v>
      </c>
      <c r="I6" s="26" t="n">
        <v>0</v>
      </c>
      <c r="J6" s="26" t="n">
        <v>0</v>
      </c>
      <c r="K6" s="27" t="n">
        <v>-1</v>
      </c>
      <c r="L6" s="27" t="n">
        <v>0.0174</v>
      </c>
      <c r="M6" s="19" t="n">
        <f aca="false">K6-L6</f>
        <v>-1.0174</v>
      </c>
      <c r="N6" s="26" t="n">
        <v>0</v>
      </c>
      <c r="O6" s="26" t="n">
        <v>1</v>
      </c>
      <c r="P6" s="28" t="n">
        <f aca="false">IF($C6=0,"",D6/$C6)</f>
        <v>0</v>
      </c>
      <c r="Q6" s="28" t="n">
        <f aca="false">IF($C6=0,"",E6/$C6)</f>
        <v>0</v>
      </c>
      <c r="R6" s="28" t="n">
        <f aca="false">IF($C6=0,"",F6/$C6)</f>
        <v>1</v>
      </c>
      <c r="S6" s="28" t="n">
        <f aca="false">IF($C6=0,"",G6/$C6)</f>
        <v>1</v>
      </c>
      <c r="T6" s="28" t="n">
        <f aca="false">IF($C6=0,"",H6/$C6)</f>
        <v>1</v>
      </c>
      <c r="U6" s="28" t="n">
        <f aca="false">IF($C6=0,"",I6/$C6)</f>
        <v>0</v>
      </c>
      <c r="V6" s="29" t="n">
        <f aca="false">IF($C6=0,"",K6/$C6)</f>
        <v>-1</v>
      </c>
      <c r="W6" s="29" t="n">
        <f aca="false">IF($C6=0,"",M6/$C6)</f>
        <v>-1.0174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</v>
      </c>
      <c r="D7" s="26" t="n">
        <v>1</v>
      </c>
      <c r="E7" s="26" t="n">
        <v>1</v>
      </c>
      <c r="F7" s="26" t="n">
        <v>1</v>
      </c>
      <c r="G7" s="26" t="n">
        <v>1</v>
      </c>
      <c r="H7" s="26" t="n">
        <v>1</v>
      </c>
      <c r="I7" s="26" t="n">
        <v>1</v>
      </c>
      <c r="J7" s="26" t="n">
        <v>0</v>
      </c>
      <c r="K7" s="27" t="n">
        <v>1</v>
      </c>
      <c r="L7" s="27" t="n">
        <v>0.0434</v>
      </c>
      <c r="M7" s="19" t="n">
        <f aca="false">K7-L7</f>
        <v>0.9566</v>
      </c>
      <c r="N7" s="26" t="n">
        <v>1</v>
      </c>
      <c r="O7" s="26" t="n">
        <v>1</v>
      </c>
      <c r="P7" s="28" t="n">
        <f aca="false">IF($C7=0,"",D7/$C7)</f>
        <v>0.5</v>
      </c>
      <c r="Q7" s="28" t="n">
        <f aca="false">IF($C7=0,"",E7/$C7)</f>
        <v>0.5</v>
      </c>
      <c r="R7" s="28" t="n">
        <f aca="false">IF($C7=0,"",F7/$C7)</f>
        <v>0.5</v>
      </c>
      <c r="S7" s="28" t="n">
        <f aca="false">IF($C7=0,"",G7/$C7)</f>
        <v>0.5</v>
      </c>
      <c r="T7" s="28" t="n">
        <f aca="false">IF($C7=0,"",H7/$C7)</f>
        <v>0.5</v>
      </c>
      <c r="U7" s="28" t="n">
        <f aca="false">IF($C7=0,"",I7/$C7)</f>
        <v>0.5</v>
      </c>
      <c r="V7" s="29" t="n">
        <f aca="false">IF($C7=0,"",K7/$C7)</f>
        <v>0.5</v>
      </c>
      <c r="W7" s="29" t="n">
        <f aca="false">IF($C7=0,"",M7/$C7)</f>
        <v>0.4783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4</v>
      </c>
      <c r="D8" s="26" t="n">
        <v>2</v>
      </c>
      <c r="E8" s="26" t="n">
        <v>2</v>
      </c>
      <c r="F8" s="26" t="n">
        <v>2</v>
      </c>
      <c r="G8" s="26" t="n">
        <v>2</v>
      </c>
      <c r="H8" s="26" t="n">
        <v>2</v>
      </c>
      <c r="I8" s="26" t="n">
        <v>2</v>
      </c>
      <c r="J8" s="26" t="n">
        <v>0</v>
      </c>
      <c r="K8" s="27" t="n">
        <v>2</v>
      </c>
      <c r="L8" s="27" t="n">
        <v>0.0763</v>
      </c>
      <c r="M8" s="19" t="n">
        <f aca="false">K8-L8</f>
        <v>1.9237</v>
      </c>
      <c r="N8" s="26" t="n">
        <v>2</v>
      </c>
      <c r="O8" s="26" t="n">
        <v>2</v>
      </c>
      <c r="P8" s="28" t="n">
        <f aca="false">IF($C8=0,"",D8/$C8)</f>
        <v>0.5</v>
      </c>
      <c r="Q8" s="28" t="n">
        <f aca="false">IF($C8=0,"",E8/$C8)</f>
        <v>0.5</v>
      </c>
      <c r="R8" s="28" t="n">
        <f aca="false">IF($C8=0,"",F8/$C8)</f>
        <v>0.5</v>
      </c>
      <c r="S8" s="28" t="n">
        <f aca="false">IF($C8=0,"",G8/$C8)</f>
        <v>0.5</v>
      </c>
      <c r="T8" s="28" t="n">
        <f aca="false">IF($C8=0,"",H8/$C8)</f>
        <v>0.5</v>
      </c>
      <c r="U8" s="28" t="n">
        <f aca="false">IF($C8=0,"",I8/$C8)</f>
        <v>0.5</v>
      </c>
      <c r="V8" s="29" t="n">
        <f aca="false">IF($C8=0,"",K8/$C8)</f>
        <v>0.5</v>
      </c>
      <c r="W8" s="29" t="n">
        <f aca="false">IF($C8=0,"",M8/$C8)</f>
        <v>0.480925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4</v>
      </c>
      <c r="D9" s="26" t="n">
        <v>1</v>
      </c>
      <c r="E9" s="26" t="n">
        <v>1</v>
      </c>
      <c r="F9" s="26" t="n">
        <v>3</v>
      </c>
      <c r="G9" s="26" t="n">
        <v>2</v>
      </c>
      <c r="H9" s="26" t="n">
        <v>2</v>
      </c>
      <c r="I9" s="26" t="n">
        <v>1</v>
      </c>
      <c r="J9" s="26" t="n">
        <v>0</v>
      </c>
      <c r="K9" s="27" t="n">
        <v>-1</v>
      </c>
      <c r="L9" s="27" t="n">
        <v>0.1515</v>
      </c>
      <c r="M9" s="19" t="n">
        <f aca="false">K9-L9</f>
        <v>-1.1515</v>
      </c>
      <c r="N9" s="26" t="n">
        <v>1</v>
      </c>
      <c r="O9" s="26" t="n">
        <v>3</v>
      </c>
      <c r="P9" s="28" t="n">
        <f aca="false">IF($C9=0,"",D9/$C9)</f>
        <v>0.25</v>
      </c>
      <c r="Q9" s="28" t="n">
        <f aca="false">IF($C9=0,"",E9/$C9)</f>
        <v>0.25</v>
      </c>
      <c r="R9" s="28" t="n">
        <f aca="false">IF($C9=0,"",F9/$C9)</f>
        <v>0.75</v>
      </c>
      <c r="S9" s="28" t="n">
        <f aca="false">IF($C9=0,"",G9/$C9)</f>
        <v>0.5</v>
      </c>
      <c r="T9" s="28" t="n">
        <f aca="false">IF($C9=0,"",H9/$C9)</f>
        <v>0.5</v>
      </c>
      <c r="U9" s="28" t="n">
        <f aca="false">IF($C9=0,"",I9/$C9)</f>
        <v>0.25</v>
      </c>
      <c r="V9" s="29" t="n">
        <f aca="false">IF($C9=0,"",K9/$C9)</f>
        <v>-0.25</v>
      </c>
      <c r="W9" s="29" t="n">
        <f aca="false">IF($C9=0,"",M9/$C9)</f>
        <v>-0.287875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3</v>
      </c>
      <c r="D10" s="26" t="n">
        <v>0</v>
      </c>
      <c r="E10" s="26" t="n">
        <v>0</v>
      </c>
      <c r="F10" s="26" t="n">
        <v>2</v>
      </c>
      <c r="G10" s="26" t="n">
        <v>1</v>
      </c>
      <c r="H10" s="26" t="n">
        <v>0</v>
      </c>
      <c r="I10" s="26" t="n">
        <v>0</v>
      </c>
      <c r="J10" s="26" t="n">
        <v>0</v>
      </c>
      <c r="K10" s="27" t="n">
        <v>-3</v>
      </c>
      <c r="L10" s="27" t="n">
        <v>0.1341</v>
      </c>
      <c r="M10" s="19" t="n">
        <f aca="false">K10-L10</f>
        <v>-3.1341</v>
      </c>
      <c r="N10" s="26" t="n">
        <v>0</v>
      </c>
      <c r="O10" s="26" t="n">
        <v>3</v>
      </c>
      <c r="P10" s="28" t="n">
        <f aca="false">IF($C10=0,"",D10/$C10)</f>
        <v>0</v>
      </c>
      <c r="Q10" s="28" t="n">
        <f aca="false">IF($C10=0,"",E10/$C10)</f>
        <v>0</v>
      </c>
      <c r="R10" s="28" t="n">
        <f aca="false">IF($C10=0,"",F10/$C10)</f>
        <v>0.666666666666667</v>
      </c>
      <c r="S10" s="28" t="n">
        <f aca="false">IF($C10=0,"",G10/$C10)</f>
        <v>0.333333333333333</v>
      </c>
      <c r="T10" s="28" t="n">
        <f aca="false">IF($C10=0,"",H10/$C10)</f>
        <v>0</v>
      </c>
      <c r="U10" s="28" t="n">
        <f aca="false">IF($C10=0,"",I10/$C10)</f>
        <v>0</v>
      </c>
      <c r="V10" s="29" t="n">
        <f aca="false">IF($C10=0,"",K10/$C10)</f>
        <v>-1</v>
      </c>
      <c r="W10" s="29" t="n">
        <f aca="false">IF($C10=0,"",M10/$C10)</f>
        <v>-1.0447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3</v>
      </c>
      <c r="D11" s="26" t="n">
        <v>2</v>
      </c>
      <c r="E11" s="26" t="n">
        <v>2</v>
      </c>
      <c r="F11" s="26" t="n">
        <v>2</v>
      </c>
      <c r="G11" s="26" t="n">
        <v>2</v>
      </c>
      <c r="H11" s="26" t="n">
        <v>2</v>
      </c>
      <c r="I11" s="26" t="n">
        <v>2</v>
      </c>
      <c r="J11" s="26" t="n">
        <v>0</v>
      </c>
      <c r="K11" s="27" t="n">
        <v>3</v>
      </c>
      <c r="L11" s="27" t="n">
        <v>0.0819</v>
      </c>
      <c r="M11" s="19" t="n">
        <f aca="false">K11-L11</f>
        <v>2.9181</v>
      </c>
      <c r="N11" s="26" t="n">
        <v>2</v>
      </c>
      <c r="O11" s="26" t="n">
        <v>1</v>
      </c>
      <c r="P11" s="28" t="n">
        <f aca="false">IF($C11=0,"",D11/$C11)</f>
        <v>0.666666666666667</v>
      </c>
      <c r="Q11" s="28" t="n">
        <f aca="false">IF($C11=0,"",E11/$C11)</f>
        <v>0.666666666666667</v>
      </c>
      <c r="R11" s="28" t="n">
        <f aca="false">IF($C11=0,"",F11/$C11)</f>
        <v>0.666666666666667</v>
      </c>
      <c r="S11" s="28" t="n">
        <f aca="false">IF($C11=0,"",G11/$C11)</f>
        <v>0.666666666666667</v>
      </c>
      <c r="T11" s="28" t="n">
        <f aca="false">IF($C11=0,"",H11/$C11)</f>
        <v>0.666666666666667</v>
      </c>
      <c r="U11" s="28" t="n">
        <f aca="false">IF($C11=0,"",I11/$C11)</f>
        <v>0.666666666666667</v>
      </c>
      <c r="V11" s="29" t="n">
        <f aca="false">IF($C11=0,"",K11/$C11)</f>
        <v>1</v>
      </c>
      <c r="W11" s="29" t="n">
        <f aca="false">IF($C11=0,"",M11/$C11)</f>
        <v>0.9727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</v>
      </c>
      <c r="D12" s="26" t="n">
        <v>2</v>
      </c>
      <c r="E12" s="26" t="n">
        <v>2</v>
      </c>
      <c r="F12" s="26" t="n">
        <v>3</v>
      </c>
      <c r="G12" s="26" t="n">
        <v>3</v>
      </c>
      <c r="H12" s="26" t="n">
        <v>3</v>
      </c>
      <c r="I12" s="26" t="n">
        <v>2</v>
      </c>
      <c r="J12" s="26" t="n">
        <v>0</v>
      </c>
      <c r="K12" s="27" t="n">
        <v>2</v>
      </c>
      <c r="L12" s="27" t="n">
        <v>0.1097</v>
      </c>
      <c r="M12" s="19" t="n">
        <f aca="false">K12-L12</f>
        <v>1.8903</v>
      </c>
      <c r="N12" s="26" t="n">
        <v>1</v>
      </c>
      <c r="O12" s="26" t="n">
        <v>1</v>
      </c>
      <c r="P12" s="28" t="n">
        <f aca="false">IF($C12=0,"",D12/$C12)</f>
        <v>0.5</v>
      </c>
      <c r="Q12" s="28" t="n">
        <f aca="false">IF($C12=0,"",E12/$C12)</f>
        <v>0.5</v>
      </c>
      <c r="R12" s="28" t="n">
        <f aca="false">IF($C12=0,"",F12/$C12)</f>
        <v>0.75</v>
      </c>
      <c r="S12" s="28" t="n">
        <f aca="false">IF($C12=0,"",G12/$C12)</f>
        <v>0.75</v>
      </c>
      <c r="T12" s="28" t="n">
        <f aca="false">IF($C12=0,"",H12/$C12)</f>
        <v>0.75</v>
      </c>
      <c r="U12" s="28" t="n">
        <f aca="false">IF($C12=0,"",I12/$C12)</f>
        <v>0.5</v>
      </c>
      <c r="V12" s="29" t="n">
        <f aca="false">IF($C12=0,"",K12/$C12)</f>
        <v>0.5</v>
      </c>
      <c r="W12" s="29" t="n">
        <f aca="false">IF($C12=0,"",M12/$C12)</f>
        <v>0.472575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3</v>
      </c>
      <c r="D13" s="26" t="n">
        <v>0</v>
      </c>
      <c r="E13" s="26" t="n">
        <v>0</v>
      </c>
      <c r="F13" s="26" t="n">
        <v>1</v>
      </c>
      <c r="G13" s="26" t="n">
        <v>1</v>
      </c>
      <c r="H13" s="26" t="n">
        <v>1</v>
      </c>
      <c r="I13" s="26" t="n">
        <v>0</v>
      </c>
      <c r="J13" s="26" t="n">
        <v>0</v>
      </c>
      <c r="K13" s="27" t="n">
        <v>-3</v>
      </c>
      <c r="L13" s="27" t="n">
        <v>0.092</v>
      </c>
      <c r="M13" s="19" t="n">
        <f aca="false">K13-L13</f>
        <v>-3.092</v>
      </c>
      <c r="N13" s="26" t="n">
        <v>0</v>
      </c>
      <c r="O13" s="26" t="n">
        <v>3</v>
      </c>
      <c r="P13" s="28" t="n">
        <f aca="false">IF($C13=0,"",D13/$C13)</f>
        <v>0</v>
      </c>
      <c r="Q13" s="28" t="n">
        <f aca="false">IF($C13=0,"",E13/$C13)</f>
        <v>0</v>
      </c>
      <c r="R13" s="28" t="n">
        <f aca="false">IF($C13=0,"",F13/$C13)</f>
        <v>0.333333333333333</v>
      </c>
      <c r="S13" s="28" t="n">
        <f aca="false">IF($C13=0,"",G13/$C13)</f>
        <v>0.333333333333333</v>
      </c>
      <c r="T13" s="28" t="n">
        <f aca="false">IF($C13=0,"",H13/$C13)</f>
        <v>0.333333333333333</v>
      </c>
      <c r="U13" s="28" t="n">
        <f aca="false">IF($C13=0,"",I13/$C13)</f>
        <v>0</v>
      </c>
      <c r="V13" s="29" t="n">
        <f aca="false">IF($C13=0,"",K13/$C13)</f>
        <v>-1</v>
      </c>
      <c r="W13" s="29" t="n">
        <f aca="false">IF($C13=0,"",M13/$C13)</f>
        <v>-1.03066666666667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3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26" t="n">
        <v>1</v>
      </c>
      <c r="J14" s="26" t="n">
        <v>0</v>
      </c>
      <c r="K14" s="27" t="n">
        <v>0</v>
      </c>
      <c r="L14" s="27" t="n">
        <v>0.0783</v>
      </c>
      <c r="M14" s="19" t="n">
        <f aca="false">K14-L14</f>
        <v>-0.0783</v>
      </c>
      <c r="N14" s="26" t="n">
        <v>1</v>
      </c>
      <c r="O14" s="26" t="n">
        <v>2</v>
      </c>
      <c r="P14" s="28" t="n">
        <f aca="false">IF($C14=0,"",D14/$C14)</f>
        <v>0.333333333333333</v>
      </c>
      <c r="Q14" s="28" t="n">
        <f aca="false">IF($C14=0,"",E14/$C14)</f>
        <v>0.333333333333333</v>
      </c>
      <c r="R14" s="28" t="n">
        <f aca="false">IF($C14=0,"",F14/$C14)</f>
        <v>0.333333333333333</v>
      </c>
      <c r="S14" s="28" t="n">
        <f aca="false">IF($C14=0,"",G14/$C14)</f>
        <v>0.333333333333333</v>
      </c>
      <c r="T14" s="28" t="n">
        <f aca="false">IF($C14=0,"",H14/$C14)</f>
        <v>0.333333333333333</v>
      </c>
      <c r="U14" s="28" t="n">
        <f aca="false">IF($C14=0,"",I14/$C14)</f>
        <v>0.333333333333333</v>
      </c>
      <c r="V14" s="29" t="n">
        <f aca="false">IF($C14=0,"",K14/$C14)</f>
        <v>0</v>
      </c>
      <c r="W14" s="29" t="n">
        <f aca="false">IF($C14=0,"",M14/$C14)</f>
        <v>-0.0261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5</v>
      </c>
      <c r="D15" s="26" t="n">
        <v>3</v>
      </c>
      <c r="E15" s="26" t="n">
        <v>3</v>
      </c>
      <c r="F15" s="26" t="n">
        <v>4</v>
      </c>
      <c r="G15" s="26" t="n">
        <v>3</v>
      </c>
      <c r="H15" s="26" t="n">
        <v>3</v>
      </c>
      <c r="I15" s="26" t="n">
        <v>3</v>
      </c>
      <c r="J15" s="26" t="n">
        <v>0</v>
      </c>
      <c r="K15" s="27" t="n">
        <v>4</v>
      </c>
      <c r="L15" s="27" t="n">
        <v>0.1399</v>
      </c>
      <c r="M15" s="19" t="n">
        <f aca="false">K15-L15</f>
        <v>3.8601</v>
      </c>
      <c r="N15" s="26" t="n">
        <v>3</v>
      </c>
      <c r="O15" s="26" t="n">
        <v>1</v>
      </c>
      <c r="P15" s="28" t="n">
        <f aca="false">IF($C15=0,"",D15/$C15)</f>
        <v>0.6</v>
      </c>
      <c r="Q15" s="28" t="n">
        <f aca="false">IF($C15=0,"",E15/$C15)</f>
        <v>0.6</v>
      </c>
      <c r="R15" s="28" t="n">
        <f aca="false">IF($C15=0,"",F15/$C15)</f>
        <v>0.8</v>
      </c>
      <c r="S15" s="28" t="n">
        <f aca="false">IF($C15=0,"",G15/$C15)</f>
        <v>0.6</v>
      </c>
      <c r="T15" s="28" t="n">
        <f aca="false">IF($C15=0,"",H15/$C15)</f>
        <v>0.6</v>
      </c>
      <c r="U15" s="28" t="n">
        <f aca="false">IF($C15=0,"",I15/$C15)</f>
        <v>0.6</v>
      </c>
      <c r="V15" s="29" t="n">
        <f aca="false">IF($C15=0,"",K15/$C15)</f>
        <v>0.8</v>
      </c>
      <c r="W15" s="29" t="n">
        <f aca="false">IF($C15=0,"",M15/$C15)</f>
        <v>0.77202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</v>
      </c>
      <c r="D16" s="26" t="n">
        <v>1</v>
      </c>
      <c r="E16" s="26" t="n">
        <v>1</v>
      </c>
      <c r="F16" s="26" t="n">
        <v>2</v>
      </c>
      <c r="G16" s="26" t="n">
        <v>2</v>
      </c>
      <c r="H16" s="26" t="n">
        <v>2</v>
      </c>
      <c r="I16" s="26" t="n">
        <v>1</v>
      </c>
      <c r="J16" s="26" t="n">
        <v>0</v>
      </c>
      <c r="K16" s="27" t="n">
        <v>1</v>
      </c>
      <c r="L16" s="27" t="n">
        <v>0.0514</v>
      </c>
      <c r="M16" s="19" t="n">
        <f aca="false">K16-L16</f>
        <v>0.9486</v>
      </c>
      <c r="N16" s="26" t="n">
        <v>1</v>
      </c>
      <c r="O16" s="26" t="n">
        <v>1</v>
      </c>
      <c r="P16" s="28" t="n">
        <f aca="false">IF($C16=0,"",D16/$C16)</f>
        <v>0.5</v>
      </c>
      <c r="Q16" s="28" t="n">
        <f aca="false">IF($C16=0,"",E16/$C16)</f>
        <v>0.5</v>
      </c>
      <c r="R16" s="28" t="n">
        <f aca="false">IF($C16=0,"",F16/$C16)</f>
        <v>1</v>
      </c>
      <c r="S16" s="28" t="n">
        <f aca="false">IF($C16=0,"",G16/$C16)</f>
        <v>1</v>
      </c>
      <c r="T16" s="28" t="n">
        <f aca="false">IF($C16=0,"",H16/$C16)</f>
        <v>1</v>
      </c>
      <c r="U16" s="28" t="n">
        <f aca="false">IF($C16=0,"",I16/$C16)</f>
        <v>0.5</v>
      </c>
      <c r="V16" s="29" t="n">
        <f aca="false">IF($C16=0,"",K16/$C16)</f>
        <v>0.5</v>
      </c>
      <c r="W16" s="29" t="n">
        <f aca="false">IF($C16=0,"",M16/$C16)</f>
        <v>0.4743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</v>
      </c>
      <c r="D17" s="26" t="n">
        <v>1</v>
      </c>
      <c r="E17" s="26" t="n">
        <v>1</v>
      </c>
      <c r="F17" s="26" t="n">
        <v>1</v>
      </c>
      <c r="G17" s="26" t="n">
        <v>1</v>
      </c>
      <c r="H17" s="26" t="n">
        <v>1</v>
      </c>
      <c r="I17" s="26" t="n">
        <v>1</v>
      </c>
      <c r="J17" s="26" t="n">
        <v>0</v>
      </c>
      <c r="K17" s="27" t="n">
        <v>1</v>
      </c>
      <c r="L17" s="27" t="n">
        <v>0.0539</v>
      </c>
      <c r="M17" s="19" t="n">
        <f aca="false">K17-L17</f>
        <v>0.9461</v>
      </c>
      <c r="N17" s="26" t="n">
        <v>1</v>
      </c>
      <c r="O17" s="26" t="n">
        <v>1</v>
      </c>
      <c r="P17" s="28" t="n">
        <f aca="false">IF($C17=0,"",D17/$C17)</f>
        <v>0.5</v>
      </c>
      <c r="Q17" s="28" t="n">
        <f aca="false">IF($C17=0,"",E17/$C17)</f>
        <v>0.5</v>
      </c>
      <c r="R17" s="28" t="n">
        <f aca="false">IF($C17=0,"",F17/$C17)</f>
        <v>0.5</v>
      </c>
      <c r="S17" s="28" t="n">
        <f aca="false">IF($C17=0,"",G17/$C17)</f>
        <v>0.5</v>
      </c>
      <c r="T17" s="28" t="n">
        <f aca="false">IF($C17=0,"",H17/$C17)</f>
        <v>0.5</v>
      </c>
      <c r="U17" s="28" t="n">
        <f aca="false">IF($C17=0,"",I17/$C17)</f>
        <v>0.5</v>
      </c>
      <c r="V17" s="29" t="n">
        <f aca="false">IF($C17=0,"",K17/$C17)</f>
        <v>0.5</v>
      </c>
      <c r="W17" s="29" t="n">
        <f aca="false">IF($C17=0,"",M17/$C17)</f>
        <v>0.47305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36</v>
      </c>
      <c r="D18" s="30" t="n">
        <f aca="false">SUM(D6:D17)</f>
        <v>14</v>
      </c>
      <c r="E18" s="30" t="n">
        <f aca="false">SUM(E6:E17)</f>
        <v>14</v>
      </c>
      <c r="F18" s="30" t="n">
        <f aca="false">SUM(F6:F17)</f>
        <v>23</v>
      </c>
      <c r="G18" s="30" t="n">
        <f aca="false">SUM(G6:G17)</f>
        <v>20</v>
      </c>
      <c r="H18" s="30" t="n">
        <f aca="false">SUM(H6:H17)</f>
        <v>19</v>
      </c>
      <c r="I18" s="30" t="n">
        <f aca="false">SUM(I6:I17)</f>
        <v>14</v>
      </c>
      <c r="J18" s="30" t="n">
        <f aca="false">SUM(J6:J17)</f>
        <v>0</v>
      </c>
      <c r="K18" s="31" t="n">
        <f aca="false">SUM(K6:K17)</f>
        <v>6</v>
      </c>
      <c r="L18" s="31" t="n">
        <f aca="false">SUM(L6:L17)</f>
        <v>1.0298</v>
      </c>
      <c r="M18" s="31" t="n">
        <f aca="false">K18-L18</f>
        <v>4.9702</v>
      </c>
      <c r="N18" s="32" t="n">
        <v>3</v>
      </c>
      <c r="O18" s="32" t="n">
        <v>7</v>
      </c>
      <c r="P18" s="33" t="n">
        <f aca="false">IF($C18=0,"",D18/$C18)</f>
        <v>0.388888888888889</v>
      </c>
      <c r="Q18" s="33" t="n">
        <f aca="false">IF($C18=0,"",E18/$C18)</f>
        <v>0.388888888888889</v>
      </c>
      <c r="R18" s="33" t="n">
        <f aca="false">IF($C18=0,"",F18/$C18)</f>
        <v>0.638888888888889</v>
      </c>
      <c r="S18" s="33" t="n">
        <f aca="false">IF($C18=0,"",G18/$C18)</f>
        <v>0.555555555555556</v>
      </c>
      <c r="T18" s="33" t="n">
        <f aca="false">IF($C18=0,"",H18/$C18)</f>
        <v>0.527777777777778</v>
      </c>
      <c r="U18" s="33" t="n">
        <f aca="false">IF($C18=0,"",I18/$C18)</f>
        <v>0.388888888888889</v>
      </c>
      <c r="V18" s="34" t="n">
        <f aca="false">IF($C18=0,"",K18/$C18)</f>
        <v>0.166666666666667</v>
      </c>
      <c r="W18" s="34" t="n">
        <f aca="false">IF($C18=0,"",M18/$C18)</f>
        <v>0.138061111111111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</v>
      </c>
      <c r="D19" s="26" t="n">
        <v>2</v>
      </c>
      <c r="E19" s="26" t="n">
        <v>2</v>
      </c>
      <c r="F19" s="26" t="n">
        <v>2</v>
      </c>
      <c r="G19" s="26" t="n">
        <v>2</v>
      </c>
      <c r="H19" s="26" t="n">
        <v>2</v>
      </c>
      <c r="I19" s="26" t="n">
        <v>2</v>
      </c>
      <c r="J19" s="26" t="n">
        <v>0</v>
      </c>
      <c r="K19" s="27" t="n">
        <v>4</v>
      </c>
      <c r="L19" s="27" t="n">
        <v>0.0571</v>
      </c>
      <c r="M19" s="19" t="n">
        <f aca="false">K19-L19</f>
        <v>3.9429</v>
      </c>
      <c r="N19" s="26" t="n">
        <v>2</v>
      </c>
      <c r="O19" s="26" t="n">
        <v>0</v>
      </c>
      <c r="P19" s="28" t="n">
        <f aca="false">IF($C19=0,"",D19/$C19)</f>
        <v>1</v>
      </c>
      <c r="Q19" s="28" t="n">
        <f aca="false">IF($C19=0,"",E19/$C19)</f>
        <v>1</v>
      </c>
      <c r="R19" s="28" t="n">
        <f aca="false">IF($C19=0,"",F19/$C19)</f>
        <v>1</v>
      </c>
      <c r="S19" s="28" t="n">
        <f aca="false">IF($C19=0,"",G19/$C19)</f>
        <v>1</v>
      </c>
      <c r="T19" s="28" t="n">
        <f aca="false">IF($C19=0,"",H19/$C19)</f>
        <v>1</v>
      </c>
      <c r="U19" s="28" t="n">
        <f aca="false">IF($C19=0,"",I19/$C19)</f>
        <v>1</v>
      </c>
      <c r="V19" s="29" t="n">
        <f aca="false">IF($C19=0,"",K19/$C19)</f>
        <v>2</v>
      </c>
      <c r="W19" s="29" t="n">
        <f aca="false">IF($C19=0,"",M19/$C19)</f>
        <v>1.97145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3</v>
      </c>
      <c r="D20" s="26" t="n">
        <v>3</v>
      </c>
      <c r="E20" s="26" t="n">
        <v>3</v>
      </c>
      <c r="F20" s="26" t="n">
        <v>3</v>
      </c>
      <c r="G20" s="26" t="n">
        <v>3</v>
      </c>
      <c r="H20" s="26" t="n">
        <v>3</v>
      </c>
      <c r="I20" s="26" t="n">
        <v>3</v>
      </c>
      <c r="J20" s="26" t="n">
        <v>0</v>
      </c>
      <c r="K20" s="27" t="n">
        <v>6</v>
      </c>
      <c r="L20" s="27" t="n">
        <v>0.072</v>
      </c>
      <c r="M20" s="19" t="n">
        <f aca="false">K20-L20</f>
        <v>5.928</v>
      </c>
      <c r="N20" s="26" t="n">
        <v>3</v>
      </c>
      <c r="O20" s="26" t="n">
        <v>0</v>
      </c>
      <c r="P20" s="28" t="n">
        <f aca="false">IF($C20=0,"",D20/$C20)</f>
        <v>1</v>
      </c>
      <c r="Q20" s="28" t="n">
        <f aca="false">IF($C20=0,"",E20/$C20)</f>
        <v>1</v>
      </c>
      <c r="R20" s="28" t="n">
        <f aca="false">IF($C20=0,"",F20/$C20)</f>
        <v>1</v>
      </c>
      <c r="S20" s="28" t="n">
        <f aca="false">IF($C20=0,"",G20/$C20)</f>
        <v>1</v>
      </c>
      <c r="T20" s="28" t="n">
        <f aca="false">IF($C20=0,"",H20/$C20)</f>
        <v>1</v>
      </c>
      <c r="U20" s="28" t="n">
        <f aca="false">IF($C20=0,"",I20/$C20)</f>
        <v>1</v>
      </c>
      <c r="V20" s="29" t="n">
        <f aca="false">IF($C20=0,"",K20/$C20)</f>
        <v>2</v>
      </c>
      <c r="W20" s="29" t="n">
        <f aca="false">IF($C20=0,"",M20/$C20)</f>
        <v>1.976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</v>
      </c>
      <c r="D21" s="26" t="n">
        <v>2</v>
      </c>
      <c r="E21" s="26" t="n">
        <v>2</v>
      </c>
      <c r="F21" s="26" t="n">
        <v>2</v>
      </c>
      <c r="G21" s="26" t="n">
        <v>2</v>
      </c>
      <c r="H21" s="26" t="n">
        <v>2</v>
      </c>
      <c r="I21" s="26" t="n">
        <v>2</v>
      </c>
      <c r="J21" s="26" t="n">
        <v>0</v>
      </c>
      <c r="K21" s="27" t="n">
        <v>4</v>
      </c>
      <c r="L21" s="27" t="n">
        <v>0.033</v>
      </c>
      <c r="M21" s="19" t="n">
        <f aca="false">K21-L21</f>
        <v>3.967</v>
      </c>
      <c r="N21" s="26" t="n">
        <v>2</v>
      </c>
      <c r="O21" s="26" t="n">
        <v>0</v>
      </c>
      <c r="P21" s="28" t="n">
        <f aca="false">IF($C21=0,"",D21/$C21)</f>
        <v>1</v>
      </c>
      <c r="Q21" s="28" t="n">
        <f aca="false">IF($C21=0,"",E21/$C21)</f>
        <v>1</v>
      </c>
      <c r="R21" s="28" t="n">
        <f aca="false">IF($C21=0,"",F21/$C21)</f>
        <v>1</v>
      </c>
      <c r="S21" s="28" t="n">
        <f aca="false">IF($C21=0,"",G21/$C21)</f>
        <v>1</v>
      </c>
      <c r="T21" s="28" t="n">
        <f aca="false">IF($C21=0,"",H21/$C21)</f>
        <v>1</v>
      </c>
      <c r="U21" s="28" t="n">
        <f aca="false">IF($C21=0,"",I21/$C21)</f>
        <v>1</v>
      </c>
      <c r="V21" s="29" t="n">
        <f aca="false">IF($C21=0,"",K21/$C21)</f>
        <v>2</v>
      </c>
      <c r="W21" s="29" t="n">
        <f aca="false">IF($C21=0,"",M21/$C21)</f>
        <v>1.9835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</v>
      </c>
      <c r="D22" s="26" t="n">
        <v>0</v>
      </c>
      <c r="E22" s="26" t="n">
        <v>0</v>
      </c>
      <c r="F22" s="26" t="n">
        <v>1</v>
      </c>
      <c r="G22" s="26" t="n">
        <v>0</v>
      </c>
      <c r="H22" s="26" t="n">
        <v>0</v>
      </c>
      <c r="I22" s="26" t="n">
        <v>0</v>
      </c>
      <c r="J22" s="26" t="n">
        <v>0</v>
      </c>
      <c r="K22" s="27" t="n">
        <v>-1</v>
      </c>
      <c r="L22" s="27" t="n">
        <v>0.0172</v>
      </c>
      <c r="M22" s="19" t="n">
        <f aca="false">K22-L22</f>
        <v>-1.0172</v>
      </c>
      <c r="N22" s="26" t="n">
        <v>0</v>
      </c>
      <c r="O22" s="26" t="n">
        <v>1</v>
      </c>
      <c r="P22" s="28" t="n">
        <f aca="false">IF($C22=0,"",D22/$C22)</f>
        <v>0</v>
      </c>
      <c r="Q22" s="28" t="n">
        <f aca="false">IF($C22=0,"",E22/$C22)</f>
        <v>0</v>
      </c>
      <c r="R22" s="28" t="n">
        <f aca="false">IF($C22=0,"",F22/$C22)</f>
        <v>1</v>
      </c>
      <c r="S22" s="28" t="n">
        <f aca="false">IF($C22=0,"",G22/$C22)</f>
        <v>0</v>
      </c>
      <c r="T22" s="28" t="n">
        <f aca="false">IF($C22=0,"",H22/$C22)</f>
        <v>0</v>
      </c>
      <c r="U22" s="28" t="n">
        <f aca="false">IF($C22=0,"",I22/$C22)</f>
        <v>0</v>
      </c>
      <c r="V22" s="29" t="n">
        <f aca="false">IF($C22=0,"",K22/$C22)</f>
        <v>-1</v>
      </c>
      <c r="W22" s="29" t="n">
        <f aca="false">IF($C22=0,"",M22/$C22)</f>
        <v>-1.0172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</v>
      </c>
      <c r="D23" s="26" t="n">
        <v>0</v>
      </c>
      <c r="E23" s="26" t="n">
        <v>0</v>
      </c>
      <c r="F23" s="26" t="n">
        <v>1</v>
      </c>
      <c r="G23" s="26" t="n">
        <v>1</v>
      </c>
      <c r="H23" s="26" t="n">
        <v>1</v>
      </c>
      <c r="I23" s="26" t="n">
        <v>0</v>
      </c>
      <c r="J23" s="26" t="n">
        <v>0</v>
      </c>
      <c r="K23" s="27" t="n">
        <v>-1</v>
      </c>
      <c r="L23" s="27" t="n">
        <v>0.0142</v>
      </c>
      <c r="M23" s="19" t="n">
        <f aca="false">K23-L23</f>
        <v>-1.0142</v>
      </c>
      <c r="N23" s="26" t="n">
        <v>0</v>
      </c>
      <c r="O23" s="26" t="n">
        <v>1</v>
      </c>
      <c r="P23" s="28" t="n">
        <f aca="false">IF($C23=0,"",D23/$C23)</f>
        <v>0</v>
      </c>
      <c r="Q23" s="28" t="n">
        <f aca="false">IF($C23=0,"",E23/$C23)</f>
        <v>0</v>
      </c>
      <c r="R23" s="28" t="n">
        <f aca="false">IF($C23=0,"",F23/$C23)</f>
        <v>1</v>
      </c>
      <c r="S23" s="28" t="n">
        <f aca="false">IF($C23=0,"",G23/$C23)</f>
        <v>1</v>
      </c>
      <c r="T23" s="28" t="n">
        <f aca="false">IF($C23=0,"",H23/$C23)</f>
        <v>1</v>
      </c>
      <c r="U23" s="28" t="n">
        <f aca="false">IF($C23=0,"",I23/$C23)</f>
        <v>0</v>
      </c>
      <c r="V23" s="29" t="n">
        <f aca="false">IF($C23=0,"",K23/$C23)</f>
        <v>-1</v>
      </c>
      <c r="W23" s="29" t="n">
        <f aca="false">IF($C23=0,"",M23/$C23)</f>
        <v>-1.0142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</v>
      </c>
      <c r="D24" s="26" t="n">
        <v>2</v>
      </c>
      <c r="E24" s="26" t="n">
        <v>2</v>
      </c>
      <c r="F24" s="26" t="n">
        <v>2</v>
      </c>
      <c r="G24" s="26" t="n">
        <v>2</v>
      </c>
      <c r="H24" s="26" t="n">
        <v>2</v>
      </c>
      <c r="I24" s="26" t="n">
        <v>2</v>
      </c>
      <c r="J24" s="26" t="n">
        <v>0</v>
      </c>
      <c r="K24" s="27" t="n">
        <v>4</v>
      </c>
      <c r="L24" s="27" t="n">
        <v>0.0412</v>
      </c>
      <c r="M24" s="19" t="n">
        <f aca="false">K24-L24</f>
        <v>3.9588</v>
      </c>
      <c r="N24" s="26" t="n">
        <v>2</v>
      </c>
      <c r="O24" s="26" t="n">
        <v>0</v>
      </c>
      <c r="P24" s="28" t="n">
        <f aca="false">IF($C24=0,"",D24/$C24)</f>
        <v>1</v>
      </c>
      <c r="Q24" s="28" t="n">
        <f aca="false">IF($C24=0,"",E24/$C24)</f>
        <v>1</v>
      </c>
      <c r="R24" s="28" t="n">
        <f aca="false">IF($C24=0,"",F24/$C24)</f>
        <v>1</v>
      </c>
      <c r="S24" s="28" t="n">
        <f aca="false">IF($C24=0,"",G24/$C24)</f>
        <v>1</v>
      </c>
      <c r="T24" s="28" t="n">
        <f aca="false">IF($C24=0,"",H24/$C24)</f>
        <v>1</v>
      </c>
      <c r="U24" s="28" t="n">
        <f aca="false">IF($C24=0,"",I24/$C24)</f>
        <v>1</v>
      </c>
      <c r="V24" s="29" t="n">
        <f aca="false">IF($C24=0,"",K24/$C24)</f>
        <v>2</v>
      </c>
      <c r="W24" s="29" t="n">
        <f aca="false">IF($C24=0,"",M24/$C24)</f>
        <v>1.9794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</v>
      </c>
      <c r="D25" s="26" t="n">
        <v>0</v>
      </c>
      <c r="E25" s="26" t="n">
        <v>0</v>
      </c>
      <c r="F25" s="26" t="n">
        <v>1</v>
      </c>
      <c r="G25" s="26" t="n">
        <v>0</v>
      </c>
      <c r="H25" s="26" t="n">
        <v>0</v>
      </c>
      <c r="I25" s="26" t="n">
        <v>0</v>
      </c>
      <c r="J25" s="26" t="n">
        <v>0</v>
      </c>
      <c r="K25" s="27" t="n">
        <v>-1</v>
      </c>
      <c r="L25" s="27" t="n">
        <v>0.0201</v>
      </c>
      <c r="M25" s="19" t="n">
        <f aca="false">K25-L25</f>
        <v>-1.0201</v>
      </c>
      <c r="N25" s="26" t="n">
        <v>0</v>
      </c>
      <c r="O25" s="26" t="n">
        <v>1</v>
      </c>
      <c r="P25" s="28" t="n">
        <f aca="false">IF($C25=0,"",D25/$C25)</f>
        <v>0</v>
      </c>
      <c r="Q25" s="28" t="n">
        <f aca="false">IF($C25=0,"",E25/$C25)</f>
        <v>0</v>
      </c>
      <c r="R25" s="28" t="n">
        <f aca="false">IF($C25=0,"",F25/$C25)</f>
        <v>1</v>
      </c>
      <c r="S25" s="28" t="n">
        <f aca="false">IF($C25=0,"",G25/$C25)</f>
        <v>0</v>
      </c>
      <c r="T25" s="28" t="n">
        <f aca="false">IF($C25=0,"",H25/$C25)</f>
        <v>0</v>
      </c>
      <c r="U25" s="28" t="n">
        <f aca="false">IF($C25=0,"",I25/$C25)</f>
        <v>0</v>
      </c>
      <c r="V25" s="29" t="n">
        <f aca="false">IF($C25=0,"",K25/$C25)</f>
        <v>-1</v>
      </c>
      <c r="W25" s="29" t="n">
        <f aca="false">IF($C25=0,"",M25/$C25)</f>
        <v>-1.0201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7</v>
      </c>
      <c r="D26" s="26" t="n">
        <v>4</v>
      </c>
      <c r="E26" s="26" t="n">
        <v>4</v>
      </c>
      <c r="F26" s="26" t="n">
        <v>4</v>
      </c>
      <c r="G26" s="26" t="n">
        <v>4</v>
      </c>
      <c r="H26" s="26" t="n">
        <v>4</v>
      </c>
      <c r="I26" s="26" t="n">
        <v>4</v>
      </c>
      <c r="J26" s="26" t="n">
        <v>0</v>
      </c>
      <c r="K26" s="27" t="n">
        <v>5</v>
      </c>
      <c r="L26" s="27" t="n">
        <v>0.2055</v>
      </c>
      <c r="M26" s="19" t="n">
        <f aca="false">K26-L26</f>
        <v>4.7945</v>
      </c>
      <c r="N26" s="26" t="n">
        <v>3</v>
      </c>
      <c r="O26" s="26" t="n">
        <v>2</v>
      </c>
      <c r="P26" s="28" t="n">
        <f aca="false">IF($C26=0,"",D26/$C26)</f>
        <v>0.571428571428571</v>
      </c>
      <c r="Q26" s="28" t="n">
        <f aca="false">IF($C26=0,"",E26/$C26)</f>
        <v>0.571428571428571</v>
      </c>
      <c r="R26" s="28" t="n">
        <f aca="false">IF($C26=0,"",F26/$C26)</f>
        <v>0.571428571428571</v>
      </c>
      <c r="S26" s="28" t="n">
        <f aca="false">IF($C26=0,"",G26/$C26)</f>
        <v>0.571428571428571</v>
      </c>
      <c r="T26" s="28" t="n">
        <f aca="false">IF($C26=0,"",H26/$C26)</f>
        <v>0.571428571428571</v>
      </c>
      <c r="U26" s="28" t="n">
        <f aca="false">IF($C26=0,"",I26/$C26)</f>
        <v>0.571428571428571</v>
      </c>
      <c r="V26" s="29" t="n">
        <f aca="false">IF($C26=0,"",K26/$C26)</f>
        <v>0.714285714285714</v>
      </c>
      <c r="W26" s="29" t="n">
        <f aca="false">IF($C26=0,"",M26/$C26)</f>
        <v>0.684928571428571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4</v>
      </c>
      <c r="D27" s="26" t="n">
        <v>1</v>
      </c>
      <c r="E27" s="26" t="n">
        <v>1</v>
      </c>
      <c r="F27" s="26" t="n">
        <v>3</v>
      </c>
      <c r="G27" s="26" t="n">
        <v>3</v>
      </c>
      <c r="H27" s="26" t="n">
        <v>2</v>
      </c>
      <c r="I27" s="26" t="n">
        <v>1</v>
      </c>
      <c r="J27" s="26" t="n">
        <v>0</v>
      </c>
      <c r="K27" s="27" t="n">
        <v>-1</v>
      </c>
      <c r="L27" s="27" t="n">
        <v>0.0973</v>
      </c>
      <c r="M27" s="19" t="n">
        <f aca="false">K27-L27</f>
        <v>-1.0973</v>
      </c>
      <c r="N27" s="26" t="n">
        <v>1</v>
      </c>
      <c r="O27" s="26" t="n">
        <v>2</v>
      </c>
      <c r="P27" s="28" t="n">
        <f aca="false">IF($C27=0,"",D27/$C27)</f>
        <v>0.25</v>
      </c>
      <c r="Q27" s="28" t="n">
        <f aca="false">IF($C27=0,"",E27/$C27)</f>
        <v>0.25</v>
      </c>
      <c r="R27" s="28" t="n">
        <f aca="false">IF($C27=0,"",F27/$C27)</f>
        <v>0.75</v>
      </c>
      <c r="S27" s="28" t="n">
        <f aca="false">IF($C27=0,"",G27/$C27)</f>
        <v>0.75</v>
      </c>
      <c r="T27" s="28" t="n">
        <f aca="false">IF($C27=0,"",H27/$C27)</f>
        <v>0.5</v>
      </c>
      <c r="U27" s="28" t="n">
        <f aca="false">IF($C27=0,"",I27/$C27)</f>
        <v>0.25</v>
      </c>
      <c r="V27" s="29" t="n">
        <f aca="false">IF($C27=0,"",K27/$C27)</f>
        <v>-0.25</v>
      </c>
      <c r="W27" s="29" t="n">
        <f aca="false">IF($C27=0,"",M27/$C27)</f>
        <v>-0.274325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7" t="n">
        <v>0</v>
      </c>
      <c r="L28" s="27" t="n">
        <v>0</v>
      </c>
      <c r="M28" s="19" t="n">
        <f aca="false">K28-L28</f>
        <v>0</v>
      </c>
      <c r="N28" s="26" t="n">
        <v>0</v>
      </c>
      <c r="O28" s="26" t="n">
        <v>0</v>
      </c>
      <c r="P28" s="28" t="str">
        <f aca="false">IF($C28=0,"",D28/$C28)</f>
        <v/>
      </c>
      <c r="Q28" s="28" t="str">
        <f aca="false">IF($C28=0,"",E28/$C28)</f>
        <v/>
      </c>
      <c r="R28" s="28" t="str">
        <f aca="false">IF($C28=0,"",F28/$C28)</f>
        <v/>
      </c>
      <c r="S28" s="28" t="str">
        <f aca="false">IF($C28=0,"",G28/$C28)</f>
        <v/>
      </c>
      <c r="T28" s="28" t="str">
        <f aca="false">IF($C28=0,"",H28/$C28)</f>
        <v/>
      </c>
      <c r="U28" s="28" t="str">
        <f aca="false">IF($C28=0,"",I28/$C28)</f>
        <v/>
      </c>
      <c r="V28" s="29" t="str">
        <f aca="false">IF($C28=0,"",K28/$C28)</f>
        <v/>
      </c>
      <c r="W28" s="29" t="str">
        <f aca="false">IF($C28=0,"",M28/$C28)</f>
        <v/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</v>
      </c>
      <c r="D29" s="26" t="n">
        <v>1</v>
      </c>
      <c r="E29" s="26" t="n">
        <v>1</v>
      </c>
      <c r="F29" s="26" t="n">
        <v>1</v>
      </c>
      <c r="G29" s="26" t="n">
        <v>1</v>
      </c>
      <c r="H29" s="26" t="n">
        <v>1</v>
      </c>
      <c r="I29" s="26" t="n">
        <v>1</v>
      </c>
      <c r="J29" s="26" t="n">
        <v>0</v>
      </c>
      <c r="K29" s="27" t="n">
        <v>1</v>
      </c>
      <c r="L29" s="27" t="n">
        <v>0.0439</v>
      </c>
      <c r="M29" s="19" t="n">
        <f aca="false">K29-L29</f>
        <v>0.9561</v>
      </c>
      <c r="N29" s="26" t="n">
        <v>1</v>
      </c>
      <c r="O29" s="26" t="n">
        <v>1</v>
      </c>
      <c r="P29" s="28" t="n">
        <f aca="false">IF($C29=0,"",D29/$C29)</f>
        <v>0.5</v>
      </c>
      <c r="Q29" s="28" t="n">
        <f aca="false">IF($C29=0,"",E29/$C29)</f>
        <v>0.5</v>
      </c>
      <c r="R29" s="28" t="n">
        <f aca="false">IF($C29=0,"",F29/$C29)</f>
        <v>0.5</v>
      </c>
      <c r="S29" s="28" t="n">
        <f aca="false">IF($C29=0,"",G29/$C29)</f>
        <v>0.5</v>
      </c>
      <c r="T29" s="28" t="n">
        <f aca="false">IF($C29=0,"",H29/$C29)</f>
        <v>0.5</v>
      </c>
      <c r="U29" s="28" t="n">
        <f aca="false">IF($C29=0,"",I29/$C29)</f>
        <v>0.5</v>
      </c>
      <c r="V29" s="29" t="n">
        <f aca="false">IF($C29=0,"",K29/$C29)</f>
        <v>0.5</v>
      </c>
      <c r="W29" s="29" t="n">
        <f aca="false">IF($C29=0,"",M29/$C29)</f>
        <v>0.47805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</v>
      </c>
      <c r="D30" s="26" t="n">
        <v>2</v>
      </c>
      <c r="E30" s="26" t="n">
        <v>2</v>
      </c>
      <c r="F30" s="26" t="n">
        <v>3</v>
      </c>
      <c r="G30" s="26" t="n">
        <v>3</v>
      </c>
      <c r="H30" s="26" t="n">
        <v>3</v>
      </c>
      <c r="I30" s="26" t="n">
        <v>2</v>
      </c>
      <c r="J30" s="26" t="n">
        <v>0</v>
      </c>
      <c r="K30" s="27" t="n">
        <v>3</v>
      </c>
      <c r="L30" s="27" t="n">
        <v>0.0693</v>
      </c>
      <c r="M30" s="19" t="n">
        <f aca="false">K30-L30</f>
        <v>2.9307</v>
      </c>
      <c r="N30" s="26" t="n">
        <v>2</v>
      </c>
      <c r="O30" s="26" t="n">
        <v>1</v>
      </c>
      <c r="P30" s="28" t="n">
        <f aca="false">IF($C30=0,"",D30/$C30)</f>
        <v>0.666666666666667</v>
      </c>
      <c r="Q30" s="28" t="n">
        <f aca="false">IF($C30=0,"",E30/$C30)</f>
        <v>0.666666666666667</v>
      </c>
      <c r="R30" s="28" t="n">
        <f aca="false">IF($C30=0,"",F30/$C30)</f>
        <v>1</v>
      </c>
      <c r="S30" s="28" t="n">
        <f aca="false">IF($C30=0,"",G30/$C30)</f>
        <v>1</v>
      </c>
      <c r="T30" s="28" t="n">
        <f aca="false">IF($C30=0,"",H30/$C30)</f>
        <v>1</v>
      </c>
      <c r="U30" s="28" t="n">
        <f aca="false">IF($C30=0,"",I30/$C30)</f>
        <v>0.666666666666667</v>
      </c>
      <c r="V30" s="29" t="n">
        <f aca="false">IF($C30=0,"",K30/$C30)</f>
        <v>1</v>
      </c>
      <c r="W30" s="29" t="n">
        <f aca="false">IF($C30=0,"",M30/$C30)</f>
        <v>0.9769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28</v>
      </c>
      <c r="D31" s="30" t="n">
        <f aca="false">SUM(D19:D30)</f>
        <v>17</v>
      </c>
      <c r="E31" s="30" t="n">
        <f aca="false">SUM(E19:E30)</f>
        <v>17</v>
      </c>
      <c r="F31" s="30" t="n">
        <f aca="false">SUM(F19:F30)</f>
        <v>23</v>
      </c>
      <c r="G31" s="30" t="n">
        <f aca="false">SUM(G19:G30)</f>
        <v>21</v>
      </c>
      <c r="H31" s="30" t="n">
        <f aca="false">SUM(H19:H30)</f>
        <v>20</v>
      </c>
      <c r="I31" s="30" t="n">
        <f aca="false">SUM(I19:I30)</f>
        <v>17</v>
      </c>
      <c r="J31" s="30" t="n">
        <f aca="false">SUM(J19:J30)</f>
        <v>0</v>
      </c>
      <c r="K31" s="31" t="n">
        <f aca="false">SUM(K19:K30)</f>
        <v>23</v>
      </c>
      <c r="L31" s="31" t="n">
        <f aca="false">SUM(L19:L30)</f>
        <v>0.6708</v>
      </c>
      <c r="M31" s="31" t="n">
        <f aca="false">K31-L31</f>
        <v>22.3292</v>
      </c>
      <c r="N31" s="32" t="n">
        <v>7</v>
      </c>
      <c r="O31" s="32" t="n">
        <v>2</v>
      </c>
      <c r="P31" s="33" t="n">
        <f aca="false">IF($C31=0,"",D31/$C31)</f>
        <v>0.607142857142857</v>
      </c>
      <c r="Q31" s="33" t="n">
        <f aca="false">IF($C31=0,"",E31/$C31)</f>
        <v>0.607142857142857</v>
      </c>
      <c r="R31" s="33" t="n">
        <f aca="false">IF($C31=0,"",F31/$C31)</f>
        <v>0.821428571428571</v>
      </c>
      <c r="S31" s="33" t="n">
        <f aca="false">IF($C31=0,"",G31/$C31)</f>
        <v>0.75</v>
      </c>
      <c r="T31" s="33" t="n">
        <f aca="false">IF($C31=0,"",H31/$C31)</f>
        <v>0.714285714285714</v>
      </c>
      <c r="U31" s="33" t="n">
        <f aca="false">IF($C31=0,"",I31/$C31)</f>
        <v>0.607142857142857</v>
      </c>
      <c r="V31" s="34" t="n">
        <f aca="false">IF($C31=0,"",K31/$C31)</f>
        <v>0.821428571428571</v>
      </c>
      <c r="W31" s="34" t="n">
        <f aca="false">IF($C31=0,"",M31/$C31)</f>
        <v>0.797471428571429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</v>
      </c>
      <c r="D32" s="26" t="n">
        <v>1</v>
      </c>
      <c r="E32" s="26" t="n">
        <v>1</v>
      </c>
      <c r="F32" s="26" t="n">
        <v>1</v>
      </c>
      <c r="G32" s="26" t="n">
        <v>1</v>
      </c>
      <c r="H32" s="26" t="n">
        <v>1</v>
      </c>
      <c r="I32" s="26" t="n">
        <v>1</v>
      </c>
      <c r="J32" s="26" t="n">
        <v>0</v>
      </c>
      <c r="K32" s="27" t="n">
        <v>1</v>
      </c>
      <c r="L32" s="27" t="n">
        <v>0.0476</v>
      </c>
      <c r="M32" s="19" t="n">
        <f aca="false">K32-L32</f>
        <v>0.9524</v>
      </c>
      <c r="N32" s="26" t="n">
        <v>1</v>
      </c>
      <c r="O32" s="26" t="n">
        <v>1</v>
      </c>
      <c r="P32" s="28" t="n">
        <f aca="false">IF($C32=0,"",D32/$C32)</f>
        <v>0.5</v>
      </c>
      <c r="Q32" s="28" t="n">
        <f aca="false">IF($C32=0,"",E32/$C32)</f>
        <v>0.5</v>
      </c>
      <c r="R32" s="28" t="n">
        <f aca="false">IF($C32=0,"",F32/$C32)</f>
        <v>0.5</v>
      </c>
      <c r="S32" s="28" t="n">
        <f aca="false">IF($C32=0,"",G32/$C32)</f>
        <v>0.5</v>
      </c>
      <c r="T32" s="28" t="n">
        <f aca="false">IF($C32=0,"",H32/$C32)</f>
        <v>0.5</v>
      </c>
      <c r="U32" s="28" t="n">
        <f aca="false">IF($C32=0,"",I32/$C32)</f>
        <v>0.5</v>
      </c>
      <c r="V32" s="29" t="n">
        <f aca="false">IF($C32=0,"",K32/$C32)</f>
        <v>0.5</v>
      </c>
      <c r="W32" s="29" t="n">
        <f aca="false">IF($C32=0,"",M32/$C32)</f>
        <v>0.4762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</v>
      </c>
      <c r="D33" s="26" t="n">
        <v>0</v>
      </c>
      <c r="E33" s="26" t="n">
        <v>0</v>
      </c>
      <c r="F33" s="26" t="n">
        <v>1</v>
      </c>
      <c r="G33" s="26" t="n">
        <v>0</v>
      </c>
      <c r="H33" s="26" t="n">
        <v>0</v>
      </c>
      <c r="I33" s="26" t="n">
        <v>0</v>
      </c>
      <c r="J33" s="26" t="n">
        <v>0</v>
      </c>
      <c r="K33" s="27" t="n">
        <v>-1</v>
      </c>
      <c r="L33" s="27" t="n">
        <v>0.0169</v>
      </c>
      <c r="M33" s="19" t="n">
        <f aca="false">K33-L33</f>
        <v>-1.0169</v>
      </c>
      <c r="N33" s="26" t="n">
        <v>0</v>
      </c>
      <c r="O33" s="26" t="n">
        <v>1</v>
      </c>
      <c r="P33" s="28" t="n">
        <f aca="false">IF($C33=0,"",D33/$C33)</f>
        <v>0</v>
      </c>
      <c r="Q33" s="28" t="n">
        <f aca="false">IF($C33=0,"",E33/$C33)</f>
        <v>0</v>
      </c>
      <c r="R33" s="28" t="n">
        <f aca="false">IF($C33=0,"",F33/$C33)</f>
        <v>1</v>
      </c>
      <c r="S33" s="28" t="n">
        <f aca="false">IF($C33=0,"",G33/$C33)</f>
        <v>0</v>
      </c>
      <c r="T33" s="28" t="n">
        <f aca="false">IF($C33=0,"",H33/$C33)</f>
        <v>0</v>
      </c>
      <c r="U33" s="28" t="n">
        <f aca="false">IF($C33=0,"",I33/$C33)</f>
        <v>0</v>
      </c>
      <c r="V33" s="29" t="n">
        <f aca="false">IF($C33=0,"",K33/$C33)</f>
        <v>-1</v>
      </c>
      <c r="W33" s="29" t="n">
        <f aca="false">IF($C33=0,"",M33/$C33)</f>
        <v>-1.0169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</v>
      </c>
      <c r="D34" s="26" t="n">
        <v>1</v>
      </c>
      <c r="E34" s="26" t="n">
        <v>1</v>
      </c>
      <c r="F34" s="26" t="n">
        <v>2</v>
      </c>
      <c r="G34" s="26" t="n">
        <v>2</v>
      </c>
      <c r="H34" s="26" t="n">
        <v>1</v>
      </c>
      <c r="I34" s="26" t="n">
        <v>1</v>
      </c>
      <c r="J34" s="26" t="n">
        <v>0</v>
      </c>
      <c r="K34" s="27" t="n">
        <v>1</v>
      </c>
      <c r="L34" s="27" t="n">
        <v>0.0476</v>
      </c>
      <c r="M34" s="19" t="n">
        <f aca="false">K34-L34</f>
        <v>0.9524</v>
      </c>
      <c r="N34" s="26" t="n">
        <v>1</v>
      </c>
      <c r="O34" s="26" t="n">
        <v>1</v>
      </c>
      <c r="P34" s="28" t="n">
        <f aca="false">IF($C34=0,"",D34/$C34)</f>
        <v>0.5</v>
      </c>
      <c r="Q34" s="28" t="n">
        <f aca="false">IF($C34=0,"",E34/$C34)</f>
        <v>0.5</v>
      </c>
      <c r="R34" s="28" t="n">
        <f aca="false">IF($C34=0,"",F34/$C34)</f>
        <v>1</v>
      </c>
      <c r="S34" s="28" t="n">
        <f aca="false">IF($C34=0,"",G34/$C34)</f>
        <v>1</v>
      </c>
      <c r="T34" s="28" t="n">
        <f aca="false">IF($C34=0,"",H34/$C34)</f>
        <v>0.5</v>
      </c>
      <c r="U34" s="28" t="n">
        <f aca="false">IF($C34=0,"",I34/$C34)</f>
        <v>0.5</v>
      </c>
      <c r="V34" s="29" t="n">
        <f aca="false">IF($C34=0,"",K34/$C34)</f>
        <v>0.5</v>
      </c>
      <c r="W34" s="29" t="n">
        <f aca="false">IF($C34=0,"",M34/$C34)</f>
        <v>0.4762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</v>
      </c>
      <c r="D35" s="26" t="n">
        <v>1</v>
      </c>
      <c r="E35" s="26" t="n">
        <v>1</v>
      </c>
      <c r="F35" s="26" t="n">
        <v>2</v>
      </c>
      <c r="G35" s="26" t="n">
        <v>2</v>
      </c>
      <c r="H35" s="26" t="n">
        <v>1</v>
      </c>
      <c r="I35" s="26" t="n">
        <v>1</v>
      </c>
      <c r="J35" s="26" t="n">
        <v>0</v>
      </c>
      <c r="K35" s="27" t="n">
        <v>1</v>
      </c>
      <c r="L35" s="27" t="n">
        <v>0.0527</v>
      </c>
      <c r="M35" s="19" t="n">
        <f aca="false">K35-L35</f>
        <v>0.9473</v>
      </c>
      <c r="N35" s="26" t="n">
        <v>1</v>
      </c>
      <c r="O35" s="26" t="n">
        <v>1</v>
      </c>
      <c r="P35" s="28" t="n">
        <f aca="false">IF($C35=0,"",D35/$C35)</f>
        <v>0.5</v>
      </c>
      <c r="Q35" s="28" t="n">
        <f aca="false">IF($C35=0,"",E35/$C35)</f>
        <v>0.5</v>
      </c>
      <c r="R35" s="28" t="n">
        <f aca="false">IF($C35=0,"",F35/$C35)</f>
        <v>1</v>
      </c>
      <c r="S35" s="28" t="n">
        <f aca="false">IF($C35=0,"",G35/$C35)</f>
        <v>1</v>
      </c>
      <c r="T35" s="28" t="n">
        <f aca="false">IF($C35=0,"",H35/$C35)</f>
        <v>0.5</v>
      </c>
      <c r="U35" s="28" t="n">
        <f aca="false">IF($C35=0,"",I35/$C35)</f>
        <v>0.5</v>
      </c>
      <c r="V35" s="29" t="n">
        <f aca="false">IF($C35=0,"",K35/$C35)</f>
        <v>0.5</v>
      </c>
      <c r="W35" s="29" t="n">
        <f aca="false">IF($C35=0,"",M35/$C35)</f>
        <v>0.47365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</v>
      </c>
      <c r="D36" s="26" t="n">
        <v>0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>
        <v>0</v>
      </c>
      <c r="J36" s="26" t="n">
        <v>0</v>
      </c>
      <c r="K36" s="27" t="n">
        <v>-2</v>
      </c>
      <c r="L36" s="27" t="n">
        <v>0.051</v>
      </c>
      <c r="M36" s="19" t="n">
        <f aca="false">K36-L36</f>
        <v>-2.051</v>
      </c>
      <c r="N36" s="26" t="n">
        <v>0</v>
      </c>
      <c r="O36" s="26" t="n">
        <v>2</v>
      </c>
      <c r="P36" s="28" t="n">
        <f aca="false">IF($C36=0,"",D36/$C36)</f>
        <v>0</v>
      </c>
      <c r="Q36" s="28" t="n">
        <f aca="false">IF($C36=0,"",E36/$C36)</f>
        <v>0</v>
      </c>
      <c r="R36" s="28" t="n">
        <f aca="false">IF($C36=0,"",F36/$C36)</f>
        <v>0</v>
      </c>
      <c r="S36" s="28" t="n">
        <f aca="false">IF($C36=0,"",G36/$C36)</f>
        <v>0</v>
      </c>
      <c r="T36" s="28" t="n">
        <f aca="false">IF($C36=0,"",H36/$C36)</f>
        <v>0</v>
      </c>
      <c r="U36" s="28" t="n">
        <f aca="false">IF($C36=0,"",I36/$C36)</f>
        <v>0</v>
      </c>
      <c r="V36" s="29" t="n">
        <f aca="false">IF($C36=0,"",K36/$C36)</f>
        <v>-1</v>
      </c>
      <c r="W36" s="29" t="n">
        <f aca="false">IF($C36=0,"",M36/$C36)</f>
        <v>-1.0255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</v>
      </c>
      <c r="D37" s="26" t="n">
        <v>1</v>
      </c>
      <c r="E37" s="26" t="n">
        <v>1</v>
      </c>
      <c r="F37" s="26" t="n">
        <v>2</v>
      </c>
      <c r="G37" s="26" t="n">
        <v>1</v>
      </c>
      <c r="H37" s="26" t="n">
        <v>1</v>
      </c>
      <c r="I37" s="26" t="n">
        <v>1</v>
      </c>
      <c r="J37" s="26" t="n">
        <v>0</v>
      </c>
      <c r="K37" s="27" t="n">
        <v>-1</v>
      </c>
      <c r="L37" s="27" t="n">
        <v>0.1324</v>
      </c>
      <c r="M37" s="19" t="n">
        <f aca="false">K37-L37</f>
        <v>-1.1324</v>
      </c>
      <c r="N37" s="26" t="n">
        <v>1</v>
      </c>
      <c r="O37" s="26" t="n">
        <v>2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0.5</v>
      </c>
      <c r="S37" s="28" t="n">
        <f aca="false">IF($C37=0,"",G37/$C37)</f>
        <v>0.25</v>
      </c>
      <c r="T37" s="28" t="n">
        <f aca="false">IF($C37=0,"",H37/$C37)</f>
        <v>0.25</v>
      </c>
      <c r="U37" s="28" t="n">
        <f aca="false">IF($C37=0,"",I37/$C37)</f>
        <v>0.25</v>
      </c>
      <c r="V37" s="29" t="n">
        <f aca="false">IF($C37=0,"",K37/$C37)</f>
        <v>-0.25</v>
      </c>
      <c r="W37" s="29" t="n">
        <f aca="false">IF($C37=0,"",M37/$C37)</f>
        <v>-0.2831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0</v>
      </c>
      <c r="D38" s="26" t="n">
        <v>0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>
        <v>0</v>
      </c>
      <c r="J38" s="26" t="n">
        <v>0</v>
      </c>
      <c r="K38" s="27" t="n">
        <v>0</v>
      </c>
      <c r="L38" s="27" t="n">
        <v>0</v>
      </c>
      <c r="M38" s="19" t="n">
        <f aca="false">K38-L38</f>
        <v>0</v>
      </c>
      <c r="N38" s="26" t="n">
        <v>0</v>
      </c>
      <c r="O38" s="26" t="n">
        <v>0</v>
      </c>
      <c r="P38" s="28" t="str">
        <f aca="false">IF($C38=0,"",D38/$C38)</f>
        <v/>
      </c>
      <c r="Q38" s="28" t="str">
        <f aca="false">IF($C38=0,"",E38/$C38)</f>
        <v/>
      </c>
      <c r="R38" s="28" t="str">
        <f aca="false">IF($C38=0,"",F38/$C38)</f>
        <v/>
      </c>
      <c r="S38" s="28" t="str">
        <f aca="false">IF($C38=0,"",G38/$C38)</f>
        <v/>
      </c>
      <c r="T38" s="28" t="str">
        <f aca="false">IF($C38=0,"",H38/$C38)</f>
        <v/>
      </c>
      <c r="U38" s="28" t="str">
        <f aca="false">IF($C38=0,"",I38/$C38)</f>
        <v/>
      </c>
      <c r="V38" s="29" t="str">
        <f aca="false">IF($C38=0,"",K38/$C38)</f>
        <v/>
      </c>
      <c r="W38" s="29" t="str">
        <f aca="false">IF($C38=0,"",M38/$C38)</f>
        <v/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5</v>
      </c>
      <c r="D39" s="26" t="n">
        <v>3</v>
      </c>
      <c r="E39" s="26" t="n">
        <v>3</v>
      </c>
      <c r="F39" s="26" t="n">
        <v>3</v>
      </c>
      <c r="G39" s="26" t="n">
        <v>3</v>
      </c>
      <c r="H39" s="26" t="n">
        <v>3</v>
      </c>
      <c r="I39" s="26" t="n">
        <v>3</v>
      </c>
      <c r="J39" s="26" t="n">
        <v>0</v>
      </c>
      <c r="K39" s="27" t="n">
        <v>4</v>
      </c>
      <c r="L39" s="27" t="n">
        <v>0.216</v>
      </c>
      <c r="M39" s="19" t="n">
        <f aca="false">K39-L39</f>
        <v>3.784</v>
      </c>
      <c r="N39" s="26" t="n">
        <v>2</v>
      </c>
      <c r="O39" s="26" t="n">
        <v>1</v>
      </c>
      <c r="P39" s="28" t="n">
        <f aca="false">IF($C39=0,"",D39/$C39)</f>
        <v>0.6</v>
      </c>
      <c r="Q39" s="28" t="n">
        <f aca="false">IF($C39=0,"",E39/$C39)</f>
        <v>0.6</v>
      </c>
      <c r="R39" s="28" t="n">
        <f aca="false">IF($C39=0,"",F39/$C39)</f>
        <v>0.6</v>
      </c>
      <c r="S39" s="28" t="n">
        <f aca="false">IF($C39=0,"",G39/$C39)</f>
        <v>0.6</v>
      </c>
      <c r="T39" s="28" t="n">
        <f aca="false">IF($C39=0,"",H39/$C39)</f>
        <v>0.6</v>
      </c>
      <c r="U39" s="28" t="n">
        <f aca="false">IF($C39=0,"",I39/$C39)</f>
        <v>0.6</v>
      </c>
      <c r="V39" s="29" t="n">
        <f aca="false">IF($C39=0,"",K39/$C39)</f>
        <v>0.8</v>
      </c>
      <c r="W39" s="29" t="n">
        <f aca="false">IF($C39=0,"",M39/$C39)</f>
        <v>0.7568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3</v>
      </c>
      <c r="D40" s="26" t="n">
        <v>2</v>
      </c>
      <c r="E40" s="26" t="n">
        <v>2</v>
      </c>
      <c r="F40" s="26" t="n">
        <v>2</v>
      </c>
      <c r="G40" s="26" t="n">
        <v>2</v>
      </c>
      <c r="H40" s="26" t="n">
        <v>2</v>
      </c>
      <c r="I40" s="26" t="n">
        <v>2</v>
      </c>
      <c r="J40" s="26" t="n">
        <v>0</v>
      </c>
      <c r="K40" s="27" t="n">
        <v>3</v>
      </c>
      <c r="L40" s="27" t="n">
        <v>0.2292</v>
      </c>
      <c r="M40" s="19" t="n">
        <f aca="false">K40-L40</f>
        <v>2.7708</v>
      </c>
      <c r="N40" s="26" t="n">
        <v>1</v>
      </c>
      <c r="O40" s="26" t="n">
        <v>1</v>
      </c>
      <c r="P40" s="28" t="n">
        <f aca="false">IF($C40=0,"",D40/$C40)</f>
        <v>0.666666666666667</v>
      </c>
      <c r="Q40" s="28" t="n">
        <f aca="false">IF($C40=0,"",E40/$C40)</f>
        <v>0.666666666666667</v>
      </c>
      <c r="R40" s="28" t="n">
        <f aca="false">IF($C40=0,"",F40/$C40)</f>
        <v>0.666666666666667</v>
      </c>
      <c r="S40" s="28" t="n">
        <f aca="false">IF($C40=0,"",G40/$C40)</f>
        <v>0.666666666666667</v>
      </c>
      <c r="T40" s="28" t="n">
        <f aca="false">IF($C40=0,"",H40/$C40)</f>
        <v>0.666666666666667</v>
      </c>
      <c r="U40" s="28" t="n">
        <f aca="false">IF($C40=0,"",I40/$C40)</f>
        <v>0.666666666666667</v>
      </c>
      <c r="V40" s="29" t="n">
        <f aca="false">IF($C40=0,"",K40/$C40)</f>
        <v>1</v>
      </c>
      <c r="W40" s="29" t="n">
        <f aca="false">IF($C40=0,"",M40/$C40)</f>
        <v>0.9236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</v>
      </c>
      <c r="D41" s="26" t="n">
        <v>1</v>
      </c>
      <c r="E41" s="26" t="n">
        <v>1</v>
      </c>
      <c r="F41" s="26" t="n">
        <v>2</v>
      </c>
      <c r="G41" s="26" t="n">
        <v>1</v>
      </c>
      <c r="H41" s="26" t="n">
        <v>1</v>
      </c>
      <c r="I41" s="26" t="n">
        <v>1</v>
      </c>
      <c r="J41" s="26" t="n">
        <v>0</v>
      </c>
      <c r="K41" s="27" t="n">
        <v>1</v>
      </c>
      <c r="L41" s="27" t="n">
        <v>0.0362</v>
      </c>
      <c r="M41" s="19" t="n">
        <f aca="false">K41-L41</f>
        <v>0.9638</v>
      </c>
      <c r="N41" s="26" t="n">
        <v>1</v>
      </c>
      <c r="O41" s="26" t="n">
        <v>1</v>
      </c>
      <c r="P41" s="28" t="n">
        <f aca="false">IF($C41=0,"",D41/$C41)</f>
        <v>0.5</v>
      </c>
      <c r="Q41" s="28" t="n">
        <f aca="false">IF($C41=0,"",E41/$C41)</f>
        <v>0.5</v>
      </c>
      <c r="R41" s="28" t="n">
        <f aca="false">IF($C41=0,"",F41/$C41)</f>
        <v>1</v>
      </c>
      <c r="S41" s="28" t="n">
        <f aca="false">IF($C41=0,"",G41/$C41)</f>
        <v>0.5</v>
      </c>
      <c r="T41" s="28" t="n">
        <f aca="false">IF($C41=0,"",H41/$C41)</f>
        <v>0.5</v>
      </c>
      <c r="U41" s="28" t="n">
        <f aca="false">IF($C41=0,"",I41/$C41)</f>
        <v>0.5</v>
      </c>
      <c r="V41" s="29" t="n">
        <f aca="false">IF($C41=0,"",K41/$C41)</f>
        <v>0.5</v>
      </c>
      <c r="W41" s="29" t="n">
        <f aca="false">IF($C41=0,"",M41/$C41)</f>
        <v>0.4819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5</v>
      </c>
      <c r="D42" s="26" t="n">
        <v>1</v>
      </c>
      <c r="E42" s="26" t="n">
        <v>1</v>
      </c>
      <c r="F42" s="26" t="n">
        <v>2</v>
      </c>
      <c r="G42" s="26" t="n">
        <v>1</v>
      </c>
      <c r="H42" s="26" t="n">
        <v>1</v>
      </c>
      <c r="I42" s="26" t="n">
        <v>1</v>
      </c>
      <c r="J42" s="26" t="n">
        <v>0</v>
      </c>
      <c r="K42" s="27" t="n">
        <v>-2</v>
      </c>
      <c r="L42" s="27" t="n">
        <v>0.0733</v>
      </c>
      <c r="M42" s="19" t="n">
        <f aca="false">K42-L42</f>
        <v>-2.0733</v>
      </c>
      <c r="N42" s="26" t="n">
        <v>1</v>
      </c>
      <c r="O42" s="26" t="n">
        <v>3</v>
      </c>
      <c r="P42" s="28" t="n">
        <f aca="false">IF($C42=0,"",D42/$C42)</f>
        <v>0.2</v>
      </c>
      <c r="Q42" s="28" t="n">
        <f aca="false">IF($C42=0,"",E42/$C42)</f>
        <v>0.2</v>
      </c>
      <c r="R42" s="28" t="n">
        <f aca="false">IF($C42=0,"",F42/$C42)</f>
        <v>0.4</v>
      </c>
      <c r="S42" s="28" t="n">
        <f aca="false">IF($C42=0,"",G42/$C42)</f>
        <v>0.2</v>
      </c>
      <c r="T42" s="28" t="n">
        <f aca="false">IF($C42=0,"",H42/$C42)</f>
        <v>0.2</v>
      </c>
      <c r="U42" s="28" t="n">
        <f aca="false">IF($C42=0,"",I42/$C42)</f>
        <v>0.2</v>
      </c>
      <c r="V42" s="29" t="n">
        <f aca="false">IF($C42=0,"",K42/$C42)</f>
        <v>-0.4</v>
      </c>
      <c r="W42" s="29" t="n">
        <f aca="false">IF($C42=0,"",M42/$C42)</f>
        <v>-0.41466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</v>
      </c>
      <c r="D43" s="26" t="n">
        <v>2</v>
      </c>
      <c r="E43" s="26" t="n">
        <v>2</v>
      </c>
      <c r="F43" s="26" t="n">
        <v>3</v>
      </c>
      <c r="G43" s="26" t="n">
        <v>3</v>
      </c>
      <c r="H43" s="26" t="n">
        <v>3</v>
      </c>
      <c r="I43" s="26" t="n">
        <v>2</v>
      </c>
      <c r="J43" s="26" t="n">
        <v>0</v>
      </c>
      <c r="K43" s="27" t="n">
        <v>3</v>
      </c>
      <c r="L43" s="27" t="n">
        <v>0.0273</v>
      </c>
      <c r="M43" s="19" t="n">
        <f aca="false">K43-L43</f>
        <v>2.9727</v>
      </c>
      <c r="N43" s="26" t="n">
        <v>2</v>
      </c>
      <c r="O43" s="26" t="n">
        <v>1</v>
      </c>
      <c r="P43" s="28" t="n">
        <f aca="false">IF($C43=0,"",D43/$C43)</f>
        <v>0.666666666666667</v>
      </c>
      <c r="Q43" s="28" t="n">
        <f aca="false">IF($C43=0,"",E43/$C43)</f>
        <v>0.666666666666667</v>
      </c>
      <c r="R43" s="28" t="n">
        <f aca="false">IF($C43=0,"",F43/$C43)</f>
        <v>1</v>
      </c>
      <c r="S43" s="28" t="n">
        <f aca="false">IF($C43=0,"",G43/$C43)</f>
        <v>1</v>
      </c>
      <c r="T43" s="28" t="n">
        <f aca="false">IF($C43=0,"",H43/$C43)</f>
        <v>1</v>
      </c>
      <c r="U43" s="28" t="n">
        <f aca="false">IF($C43=0,"",I43/$C43)</f>
        <v>0.666666666666667</v>
      </c>
      <c r="V43" s="29" t="n">
        <f aca="false">IF($C43=0,"",K43/$C43)</f>
        <v>1</v>
      </c>
      <c r="W43" s="29" t="n">
        <f aca="false">IF($C43=0,"",M43/$C43)</f>
        <v>0.9909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31</v>
      </c>
      <c r="D44" s="30" t="n">
        <f aca="false">SUM(D32:D43)</f>
        <v>13</v>
      </c>
      <c r="E44" s="30" t="n">
        <f aca="false">SUM(E32:E43)</f>
        <v>13</v>
      </c>
      <c r="F44" s="30" t="n">
        <f aca="false">SUM(F32:F43)</f>
        <v>20</v>
      </c>
      <c r="G44" s="30" t="n">
        <f aca="false">SUM(G32:G43)</f>
        <v>16</v>
      </c>
      <c r="H44" s="30" t="n">
        <f aca="false">SUM(H32:H43)</f>
        <v>14</v>
      </c>
      <c r="I44" s="30" t="n">
        <f aca="false">SUM(I32:I43)</f>
        <v>13</v>
      </c>
      <c r="J44" s="30" t="n">
        <f aca="false">SUM(J32:J43)</f>
        <v>0</v>
      </c>
      <c r="K44" s="31" t="n">
        <f aca="false">SUM(K32:K43)</f>
        <v>8</v>
      </c>
      <c r="L44" s="31" t="n">
        <f aca="false">SUM(L32:L43)</f>
        <v>0.9302</v>
      </c>
      <c r="M44" s="31" t="n">
        <f aca="false">K44-L44</f>
        <v>7.0698</v>
      </c>
      <c r="N44" s="32" t="n">
        <v>2</v>
      </c>
      <c r="O44" s="32" t="n">
        <v>4</v>
      </c>
      <c r="P44" s="33" t="n">
        <f aca="false">IF($C44=0,"",D44/$C44)</f>
        <v>0.419354838709677</v>
      </c>
      <c r="Q44" s="33" t="n">
        <f aca="false">IF($C44=0,"",E44/$C44)</f>
        <v>0.419354838709677</v>
      </c>
      <c r="R44" s="33" t="n">
        <f aca="false">IF($C44=0,"",F44/$C44)</f>
        <v>0.645161290322581</v>
      </c>
      <c r="S44" s="33" t="n">
        <f aca="false">IF($C44=0,"",G44/$C44)</f>
        <v>0.516129032258065</v>
      </c>
      <c r="T44" s="33" t="n">
        <f aca="false">IF($C44=0,"",H44/$C44)</f>
        <v>0.451612903225806</v>
      </c>
      <c r="U44" s="33" t="n">
        <f aca="false">IF($C44=0,"",I44/$C44)</f>
        <v>0.419354838709677</v>
      </c>
      <c r="V44" s="34" t="n">
        <f aca="false">IF($C44=0,"",K44/$C44)</f>
        <v>0.258064516129032</v>
      </c>
      <c r="W44" s="34" t="n">
        <f aca="false">IF($C44=0,"",M44/$C44)</f>
        <v>0.228058064516129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</v>
      </c>
      <c r="D45" s="26" t="n">
        <v>0</v>
      </c>
      <c r="E45" s="26" t="n">
        <v>0</v>
      </c>
      <c r="F45" s="26" t="n">
        <v>1</v>
      </c>
      <c r="G45" s="26" t="n">
        <v>0</v>
      </c>
      <c r="H45" s="26" t="n">
        <v>0</v>
      </c>
      <c r="I45" s="26" t="n">
        <v>0</v>
      </c>
      <c r="J45" s="26" t="n">
        <v>0</v>
      </c>
      <c r="K45" s="27" t="n">
        <v>-2</v>
      </c>
      <c r="L45" s="27" t="n">
        <v>0.0226</v>
      </c>
      <c r="M45" s="19" t="n">
        <f aca="false">K45-L45</f>
        <v>-2.0226</v>
      </c>
      <c r="N45" s="26" t="n">
        <v>0</v>
      </c>
      <c r="O45" s="26" t="n">
        <v>2</v>
      </c>
      <c r="P45" s="28" t="n">
        <f aca="false">IF($C45=0,"",D45/$C45)</f>
        <v>0</v>
      </c>
      <c r="Q45" s="28" t="n">
        <f aca="false">IF($C45=0,"",E45/$C45)</f>
        <v>0</v>
      </c>
      <c r="R45" s="28" t="n">
        <f aca="false">IF($C45=0,"",F45/$C45)</f>
        <v>0.5</v>
      </c>
      <c r="S45" s="28" t="n">
        <f aca="false">IF($C45=0,"",G45/$C45)</f>
        <v>0</v>
      </c>
      <c r="T45" s="28" t="n">
        <f aca="false">IF($C45=0,"",H45/$C45)</f>
        <v>0</v>
      </c>
      <c r="U45" s="28" t="n">
        <f aca="false">IF($C45=0,"",I45/$C45)</f>
        <v>0</v>
      </c>
      <c r="V45" s="29" t="n">
        <f aca="false">IF($C45=0,"",K45/$C45)</f>
        <v>-1</v>
      </c>
      <c r="W45" s="29" t="n">
        <f aca="false">IF($C45=0,"",M45/$C45)</f>
        <v>-1.0113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7" t="n">
        <v>-2</v>
      </c>
      <c r="L46" s="27" t="n">
        <v>0.0287</v>
      </c>
      <c r="M46" s="19" t="n">
        <f aca="false">K46-L46</f>
        <v>-2.0287</v>
      </c>
      <c r="N46" s="26" t="n">
        <v>0</v>
      </c>
      <c r="O46" s="26" t="n">
        <v>2</v>
      </c>
      <c r="P46" s="28" t="n">
        <f aca="false">IF($C46=0,"",D46/$C46)</f>
        <v>0</v>
      </c>
      <c r="Q46" s="28" t="n">
        <f aca="false">IF($C46=0,"",E46/$C46)</f>
        <v>0</v>
      </c>
      <c r="R46" s="28" t="n">
        <f aca="false">IF($C46=0,"",F46/$C46)</f>
        <v>0</v>
      </c>
      <c r="S46" s="28" t="n">
        <f aca="false">IF($C46=0,"",G46/$C46)</f>
        <v>0</v>
      </c>
      <c r="T46" s="28" t="n">
        <f aca="false">IF($C46=0,"",H46/$C46)</f>
        <v>0</v>
      </c>
      <c r="U46" s="28" t="n">
        <f aca="false">IF($C46=0,"",I46/$C46)</f>
        <v>0</v>
      </c>
      <c r="V46" s="29" t="n">
        <f aca="false">IF($C46=0,"",K46/$C46)</f>
        <v>-1</v>
      </c>
      <c r="W46" s="29" t="n">
        <f aca="false">IF($C46=0,"",M46/$C46)</f>
        <v>-1.01435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</v>
      </c>
      <c r="D47" s="26" t="n">
        <v>0</v>
      </c>
      <c r="E47" s="26" t="n">
        <v>0</v>
      </c>
      <c r="F47" s="26" t="n">
        <v>1</v>
      </c>
      <c r="G47" s="26" t="n">
        <v>1</v>
      </c>
      <c r="H47" s="26" t="n">
        <v>1</v>
      </c>
      <c r="I47" s="26" t="n">
        <v>0</v>
      </c>
      <c r="J47" s="26" t="n">
        <v>0</v>
      </c>
      <c r="K47" s="27" t="n">
        <v>-1</v>
      </c>
      <c r="L47" s="27" t="n">
        <v>0.0283</v>
      </c>
      <c r="M47" s="19" t="n">
        <f aca="false">K47-L47</f>
        <v>-1.0283</v>
      </c>
      <c r="N47" s="26" t="n">
        <v>0</v>
      </c>
      <c r="O47" s="26" t="n">
        <v>1</v>
      </c>
      <c r="P47" s="28" t="n">
        <f aca="false">IF($C47=0,"",D47/$C47)</f>
        <v>0</v>
      </c>
      <c r="Q47" s="28" t="n">
        <f aca="false">IF($C47=0,"",E47/$C47)</f>
        <v>0</v>
      </c>
      <c r="R47" s="28" t="n">
        <f aca="false">IF($C47=0,"",F47/$C47)</f>
        <v>1</v>
      </c>
      <c r="S47" s="28" t="n">
        <f aca="false">IF($C47=0,"",G47/$C47)</f>
        <v>1</v>
      </c>
      <c r="T47" s="28" t="n">
        <f aca="false">IF($C47=0,"",H47/$C47)</f>
        <v>1</v>
      </c>
      <c r="U47" s="28" t="n">
        <f aca="false">IF($C47=0,"",I47/$C47)</f>
        <v>0</v>
      </c>
      <c r="V47" s="29" t="n">
        <f aca="false">IF($C47=0,"",K47/$C47)</f>
        <v>-1</v>
      </c>
      <c r="W47" s="29" t="n">
        <f aca="false">IF($C47=0,"",M47/$C47)</f>
        <v>-1.0283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3</v>
      </c>
      <c r="D48" s="26" t="n">
        <v>1</v>
      </c>
      <c r="E48" s="26" t="n">
        <v>1</v>
      </c>
      <c r="F48" s="26" t="n">
        <v>2</v>
      </c>
      <c r="G48" s="26" t="n">
        <v>2</v>
      </c>
      <c r="H48" s="26" t="n">
        <v>2</v>
      </c>
      <c r="I48" s="26" t="n">
        <v>1</v>
      </c>
      <c r="J48" s="26" t="n">
        <v>0</v>
      </c>
      <c r="K48" s="27" t="n">
        <v>0</v>
      </c>
      <c r="L48" s="27" t="n">
        <v>0.0386</v>
      </c>
      <c r="M48" s="19" t="n">
        <f aca="false">K48-L48</f>
        <v>-0.0386</v>
      </c>
      <c r="N48" s="26" t="n">
        <v>1</v>
      </c>
      <c r="O48" s="26" t="n">
        <v>2</v>
      </c>
      <c r="P48" s="28" t="n">
        <f aca="false">IF($C48=0,"",D48/$C48)</f>
        <v>0.333333333333333</v>
      </c>
      <c r="Q48" s="28" t="n">
        <f aca="false">IF($C48=0,"",E48/$C48)</f>
        <v>0.333333333333333</v>
      </c>
      <c r="R48" s="28" t="n">
        <f aca="false">IF($C48=0,"",F48/$C48)</f>
        <v>0.666666666666667</v>
      </c>
      <c r="S48" s="28" t="n">
        <f aca="false">IF($C48=0,"",G48/$C48)</f>
        <v>0.666666666666667</v>
      </c>
      <c r="T48" s="28" t="n">
        <f aca="false">IF($C48=0,"",H48/$C48)</f>
        <v>0.666666666666667</v>
      </c>
      <c r="U48" s="28" t="n">
        <f aca="false">IF($C48=0,"",I48/$C48)</f>
        <v>0.333333333333333</v>
      </c>
      <c r="V48" s="29" t="n">
        <f aca="false">IF($C48=0,"",K48/$C48)</f>
        <v>0</v>
      </c>
      <c r="W48" s="29" t="n">
        <f aca="false">IF($C48=0,"",M48/$C48)</f>
        <v>-0.0128666666666667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</v>
      </c>
      <c r="D49" s="26" t="n">
        <v>2</v>
      </c>
      <c r="E49" s="26" t="n">
        <v>2</v>
      </c>
      <c r="F49" s="26" t="n">
        <v>3</v>
      </c>
      <c r="G49" s="26" t="n">
        <v>2</v>
      </c>
      <c r="H49" s="26" t="n">
        <v>2</v>
      </c>
      <c r="I49" s="26" t="n">
        <v>2</v>
      </c>
      <c r="J49" s="26" t="n">
        <v>0</v>
      </c>
      <c r="K49" s="27" t="n">
        <v>3</v>
      </c>
      <c r="L49" s="27" t="n">
        <v>0.021</v>
      </c>
      <c r="M49" s="19" t="n">
        <f aca="false">K49-L49</f>
        <v>2.979</v>
      </c>
      <c r="N49" s="26" t="n">
        <v>1</v>
      </c>
      <c r="O49" s="26" t="n">
        <v>1</v>
      </c>
      <c r="P49" s="28" t="n">
        <f aca="false">IF($C49=0,"",D49/$C49)</f>
        <v>0.666666666666667</v>
      </c>
      <c r="Q49" s="28" t="n">
        <f aca="false">IF($C49=0,"",E49/$C49)</f>
        <v>0.666666666666667</v>
      </c>
      <c r="R49" s="28" t="n">
        <f aca="false">IF($C49=0,"",F49/$C49)</f>
        <v>1</v>
      </c>
      <c r="S49" s="28" t="n">
        <f aca="false">IF($C49=0,"",G49/$C49)</f>
        <v>0.666666666666667</v>
      </c>
      <c r="T49" s="28" t="n">
        <f aca="false">IF($C49=0,"",H49/$C49)</f>
        <v>0.666666666666667</v>
      </c>
      <c r="U49" s="28" t="n">
        <f aca="false">IF($C49=0,"",I49/$C49)</f>
        <v>0.666666666666667</v>
      </c>
      <c r="V49" s="29" t="n">
        <f aca="false">IF($C49=0,"",K49/$C49)</f>
        <v>1</v>
      </c>
      <c r="W49" s="29" t="n">
        <f aca="false">IF($C49=0,"",M49/$C49)</f>
        <v>0.993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</v>
      </c>
      <c r="D50" s="26" t="n">
        <v>1</v>
      </c>
      <c r="E50" s="26" t="n">
        <v>1</v>
      </c>
      <c r="F50" s="26" t="n">
        <v>1</v>
      </c>
      <c r="G50" s="26" t="n">
        <v>1</v>
      </c>
      <c r="H50" s="26" t="n">
        <v>1</v>
      </c>
      <c r="I50" s="26" t="n">
        <v>1</v>
      </c>
      <c r="J50" s="26" t="n">
        <v>0</v>
      </c>
      <c r="K50" s="27" t="n">
        <v>1</v>
      </c>
      <c r="L50" s="27" t="n">
        <v>0.0457</v>
      </c>
      <c r="M50" s="19" t="n">
        <f aca="false">K50-L50</f>
        <v>0.9543</v>
      </c>
      <c r="N50" s="26" t="n">
        <v>1</v>
      </c>
      <c r="O50" s="26" t="n">
        <v>1</v>
      </c>
      <c r="P50" s="28" t="n">
        <f aca="false">IF($C50=0,"",D50/$C50)</f>
        <v>0.5</v>
      </c>
      <c r="Q50" s="28" t="n">
        <f aca="false">IF($C50=0,"",E50/$C50)</f>
        <v>0.5</v>
      </c>
      <c r="R50" s="28" t="n">
        <f aca="false">IF($C50=0,"",F50/$C50)</f>
        <v>0.5</v>
      </c>
      <c r="S50" s="28" t="n">
        <f aca="false">IF($C50=0,"",G50/$C50)</f>
        <v>0.5</v>
      </c>
      <c r="T50" s="28" t="n">
        <f aca="false">IF($C50=0,"",H50/$C50)</f>
        <v>0.5</v>
      </c>
      <c r="U50" s="28" t="n">
        <f aca="false">IF($C50=0,"",I50/$C50)</f>
        <v>0.5</v>
      </c>
      <c r="V50" s="29" t="n">
        <f aca="false">IF($C50=0,"",K50/$C50)</f>
        <v>0.5</v>
      </c>
      <c r="W50" s="29" t="n">
        <f aca="false">IF($C50=0,"",M50/$C50)</f>
        <v>0.47715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4</v>
      </c>
      <c r="D51" s="26" t="n">
        <v>2</v>
      </c>
      <c r="E51" s="26" t="n">
        <v>2</v>
      </c>
      <c r="F51" s="26" t="n">
        <v>3</v>
      </c>
      <c r="G51" s="26" t="n">
        <v>3</v>
      </c>
      <c r="H51" s="26" t="n">
        <v>2</v>
      </c>
      <c r="I51" s="26" t="n">
        <v>2</v>
      </c>
      <c r="J51" s="26" t="n">
        <v>0</v>
      </c>
      <c r="K51" s="27" t="n">
        <v>2</v>
      </c>
      <c r="L51" s="27" t="n">
        <v>0.035</v>
      </c>
      <c r="M51" s="19" t="n">
        <f aca="false">K51-L51</f>
        <v>1.965</v>
      </c>
      <c r="N51" s="26" t="n">
        <v>2</v>
      </c>
      <c r="O51" s="26" t="n">
        <v>2</v>
      </c>
      <c r="P51" s="28" t="n">
        <f aca="false">IF($C51=0,"",D51/$C51)</f>
        <v>0.5</v>
      </c>
      <c r="Q51" s="28" t="n">
        <f aca="false">IF($C51=0,"",E51/$C51)</f>
        <v>0.5</v>
      </c>
      <c r="R51" s="28" t="n">
        <f aca="false">IF($C51=0,"",F51/$C51)</f>
        <v>0.75</v>
      </c>
      <c r="S51" s="28" t="n">
        <f aca="false">IF($C51=0,"",G51/$C51)</f>
        <v>0.75</v>
      </c>
      <c r="T51" s="28" t="n">
        <f aca="false">IF($C51=0,"",H51/$C51)</f>
        <v>0.5</v>
      </c>
      <c r="U51" s="28" t="n">
        <f aca="false">IF($C51=0,"",I51/$C51)</f>
        <v>0.5</v>
      </c>
      <c r="V51" s="29" t="n">
        <f aca="false">IF($C51=0,"",K51/$C51)</f>
        <v>0.5</v>
      </c>
      <c r="W51" s="29" t="n">
        <f aca="false">IF($C51=0,"",M51/$C51)</f>
        <v>0.49125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3</v>
      </c>
      <c r="D52" s="26" t="n">
        <v>1</v>
      </c>
      <c r="E52" s="26" t="n">
        <v>1</v>
      </c>
      <c r="F52" s="26" t="n">
        <v>1</v>
      </c>
      <c r="G52" s="26" t="n">
        <v>1</v>
      </c>
      <c r="H52" s="26" t="n">
        <v>1</v>
      </c>
      <c r="I52" s="26" t="n">
        <v>1</v>
      </c>
      <c r="J52" s="26" t="n">
        <v>0</v>
      </c>
      <c r="K52" s="27" t="n">
        <v>0</v>
      </c>
      <c r="L52" s="27" t="n">
        <v>0.0309</v>
      </c>
      <c r="M52" s="19" t="n">
        <f aca="false">K52-L52</f>
        <v>-0.0309</v>
      </c>
      <c r="N52" s="26" t="n">
        <v>1</v>
      </c>
      <c r="O52" s="26" t="n">
        <v>1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0.333333333333333</v>
      </c>
      <c r="S52" s="28" t="n">
        <f aca="false">IF($C52=0,"",G52/$C52)</f>
        <v>0.333333333333333</v>
      </c>
      <c r="T52" s="28" t="n">
        <f aca="false">IF($C52=0,"",H52/$C52)</f>
        <v>0.333333333333333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-0.0103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7" t="n">
        <v>0</v>
      </c>
      <c r="L53" s="27" t="n">
        <v>0</v>
      </c>
      <c r="M53" s="19" t="n">
        <f aca="false">K53-L53</f>
        <v>0</v>
      </c>
      <c r="N53" s="26" t="n">
        <v>0</v>
      </c>
      <c r="O53" s="26" t="n">
        <v>0</v>
      </c>
      <c r="P53" s="28" t="str">
        <f aca="false">IF($C53=0,"",D53/$C53)</f>
        <v/>
      </c>
      <c r="Q53" s="28" t="str">
        <f aca="false">IF($C53=0,"",E53/$C53)</f>
        <v/>
      </c>
      <c r="R53" s="28" t="str">
        <f aca="false">IF($C53=0,"",F53/$C53)</f>
        <v/>
      </c>
      <c r="S53" s="28" t="str">
        <f aca="false">IF($C53=0,"",G53/$C53)</f>
        <v/>
      </c>
      <c r="T53" s="28" t="str">
        <f aca="false">IF($C53=0,"",H53/$C53)</f>
        <v/>
      </c>
      <c r="U53" s="28" t="str">
        <f aca="false">IF($C53=0,"",I53/$C53)</f>
        <v/>
      </c>
      <c r="V53" s="29" t="str">
        <f aca="false">IF($C53=0,"",K53/$C53)</f>
        <v/>
      </c>
      <c r="W53" s="29" t="str">
        <f aca="false">IF($C53=0,"",M53/$C53)</f>
        <v/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</v>
      </c>
      <c r="D54" s="26" t="n">
        <v>2</v>
      </c>
      <c r="E54" s="26" t="n">
        <v>2</v>
      </c>
      <c r="F54" s="26" t="n">
        <v>2</v>
      </c>
      <c r="G54" s="26" t="n">
        <v>2</v>
      </c>
      <c r="H54" s="26" t="n">
        <v>2</v>
      </c>
      <c r="I54" s="26" t="n">
        <v>2</v>
      </c>
      <c r="J54" s="26" t="n">
        <v>0</v>
      </c>
      <c r="K54" s="27" t="n">
        <v>4</v>
      </c>
      <c r="L54" s="27" t="n">
        <v>0.0206</v>
      </c>
      <c r="M54" s="19" t="n">
        <f aca="false">K54-L54</f>
        <v>3.9794</v>
      </c>
      <c r="N54" s="26" t="n">
        <v>2</v>
      </c>
      <c r="O54" s="26" t="n">
        <v>0</v>
      </c>
      <c r="P54" s="28" t="n">
        <f aca="false">IF($C54=0,"",D54/$C54)</f>
        <v>1</v>
      </c>
      <c r="Q54" s="28" t="n">
        <f aca="false">IF($C54=0,"",E54/$C54)</f>
        <v>1</v>
      </c>
      <c r="R54" s="28" t="n">
        <f aca="false">IF($C54=0,"",F54/$C54)</f>
        <v>1</v>
      </c>
      <c r="S54" s="28" t="n">
        <f aca="false">IF($C54=0,"",G54/$C54)</f>
        <v>1</v>
      </c>
      <c r="T54" s="28" t="n">
        <f aca="false">IF($C54=0,"",H54/$C54)</f>
        <v>1</v>
      </c>
      <c r="U54" s="28" t="n">
        <f aca="false">IF($C54=0,"",I54/$C54)</f>
        <v>1</v>
      </c>
      <c r="V54" s="29" t="n">
        <f aca="false">IF($C54=0,"",K54/$C54)</f>
        <v>2</v>
      </c>
      <c r="W54" s="29" t="n">
        <f aca="false">IF($C54=0,"",M54/$C54)</f>
        <v>1.9897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5</v>
      </c>
      <c r="D55" s="26" t="n">
        <v>2</v>
      </c>
      <c r="E55" s="26" t="n">
        <v>2</v>
      </c>
      <c r="F55" s="26" t="n">
        <v>3</v>
      </c>
      <c r="G55" s="26" t="n">
        <v>2</v>
      </c>
      <c r="H55" s="26" t="n">
        <v>2</v>
      </c>
      <c r="I55" s="26" t="n">
        <v>2</v>
      </c>
      <c r="J55" s="26" t="n">
        <v>0</v>
      </c>
      <c r="K55" s="27" t="n">
        <v>1</v>
      </c>
      <c r="L55" s="27" t="n">
        <v>0.0527</v>
      </c>
      <c r="M55" s="19" t="n">
        <f aca="false">K55-L55</f>
        <v>0.9473</v>
      </c>
      <c r="N55" s="26" t="n">
        <v>2</v>
      </c>
      <c r="O55" s="26" t="n">
        <v>3</v>
      </c>
      <c r="P55" s="28" t="n">
        <f aca="false">IF($C55=0,"",D55/$C55)</f>
        <v>0.4</v>
      </c>
      <c r="Q55" s="28" t="n">
        <f aca="false">IF($C55=0,"",E55/$C55)</f>
        <v>0.4</v>
      </c>
      <c r="R55" s="28" t="n">
        <f aca="false">IF($C55=0,"",F55/$C55)</f>
        <v>0.6</v>
      </c>
      <c r="S55" s="28" t="n">
        <f aca="false">IF($C55=0,"",G55/$C55)</f>
        <v>0.4</v>
      </c>
      <c r="T55" s="28" t="n">
        <f aca="false">IF($C55=0,"",H55/$C55)</f>
        <v>0.4</v>
      </c>
      <c r="U55" s="28" t="n">
        <f aca="false">IF($C55=0,"",I55/$C55)</f>
        <v>0.4</v>
      </c>
      <c r="V55" s="29" t="n">
        <f aca="false">IF($C55=0,"",K55/$C55)</f>
        <v>0.2</v>
      </c>
      <c r="W55" s="29" t="n">
        <f aca="false">IF($C55=0,"",M55/$C55)</f>
        <v>0.18946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</v>
      </c>
      <c r="D56" s="26" t="n">
        <v>1</v>
      </c>
      <c r="E56" s="26" t="n">
        <v>1</v>
      </c>
      <c r="F56" s="26" t="n">
        <v>1</v>
      </c>
      <c r="G56" s="26" t="n">
        <v>1</v>
      </c>
      <c r="H56" s="26" t="n">
        <v>1</v>
      </c>
      <c r="I56" s="26" t="n">
        <v>1</v>
      </c>
      <c r="J56" s="26" t="n">
        <v>0</v>
      </c>
      <c r="K56" s="27" t="n">
        <v>2</v>
      </c>
      <c r="L56" s="27" t="n">
        <v>0.0064</v>
      </c>
      <c r="M56" s="19" t="n">
        <f aca="false">K56-L56</f>
        <v>1.9936</v>
      </c>
      <c r="N56" s="26" t="n">
        <v>1</v>
      </c>
      <c r="O56" s="26" t="n">
        <v>0</v>
      </c>
      <c r="P56" s="28" t="n">
        <f aca="false">IF($C56=0,"",D56/$C56)</f>
        <v>1</v>
      </c>
      <c r="Q56" s="28" t="n">
        <f aca="false">IF($C56=0,"",E56/$C56)</f>
        <v>1</v>
      </c>
      <c r="R56" s="28" t="n">
        <f aca="false">IF($C56=0,"",F56/$C56)</f>
        <v>1</v>
      </c>
      <c r="S56" s="28" t="n">
        <f aca="false">IF($C56=0,"",G56/$C56)</f>
        <v>1</v>
      </c>
      <c r="T56" s="28" t="n">
        <f aca="false">IF($C56=0,"",H56/$C56)</f>
        <v>1</v>
      </c>
      <c r="U56" s="28" t="n">
        <f aca="false">IF($C56=0,"",I56/$C56)</f>
        <v>1</v>
      </c>
      <c r="V56" s="29" t="n">
        <f aca="false">IF($C56=0,"",K56/$C56)</f>
        <v>2</v>
      </c>
      <c r="W56" s="29" t="n">
        <f aca="false">IF($C56=0,"",M56/$C56)</f>
        <v>1.9936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28</v>
      </c>
      <c r="D57" s="30" t="n">
        <f aca="false">SUM(D45:D56)</f>
        <v>12</v>
      </c>
      <c r="E57" s="30" t="n">
        <f aca="false">SUM(E45:E56)</f>
        <v>12</v>
      </c>
      <c r="F57" s="30" t="n">
        <f aca="false">SUM(F45:F56)</f>
        <v>18</v>
      </c>
      <c r="G57" s="30" t="n">
        <f aca="false">SUM(G45:G56)</f>
        <v>15</v>
      </c>
      <c r="H57" s="30" t="n">
        <f aca="false">SUM(H45:H56)</f>
        <v>14</v>
      </c>
      <c r="I57" s="30" t="n">
        <f aca="false">SUM(I45:I56)</f>
        <v>12</v>
      </c>
      <c r="J57" s="30" t="n">
        <f aca="false">SUM(J45:J56)</f>
        <v>0</v>
      </c>
      <c r="K57" s="31" t="n">
        <f aca="false">SUM(K45:K56)</f>
        <v>8</v>
      </c>
      <c r="L57" s="31" t="n">
        <f aca="false">SUM(L45:L56)</f>
        <v>0.3305</v>
      </c>
      <c r="M57" s="31" t="n">
        <f aca="false">K57-L57</f>
        <v>7.6695</v>
      </c>
      <c r="N57" s="32" t="n">
        <v>4</v>
      </c>
      <c r="O57" s="32" t="n">
        <v>7</v>
      </c>
      <c r="P57" s="33" t="n">
        <f aca="false">IF($C57=0,"",D57/$C57)</f>
        <v>0.428571428571429</v>
      </c>
      <c r="Q57" s="33" t="n">
        <f aca="false">IF($C57=0,"",E57/$C57)</f>
        <v>0.428571428571429</v>
      </c>
      <c r="R57" s="33" t="n">
        <f aca="false">IF($C57=0,"",F57/$C57)</f>
        <v>0.642857142857143</v>
      </c>
      <c r="S57" s="33" t="n">
        <f aca="false">IF($C57=0,"",G57/$C57)</f>
        <v>0.535714285714286</v>
      </c>
      <c r="T57" s="33" t="n">
        <f aca="false">IF($C57=0,"",H57/$C57)</f>
        <v>0.5</v>
      </c>
      <c r="U57" s="33" t="n">
        <f aca="false">IF($C57=0,"",I57/$C57)</f>
        <v>0.428571428571429</v>
      </c>
      <c r="V57" s="34" t="n">
        <f aca="false">IF($C57=0,"",K57/$C57)</f>
        <v>0.285714285714286</v>
      </c>
      <c r="W57" s="34" t="n">
        <f aca="false">IF($C57=0,"",M57/$C57)</f>
        <v>0.273910714285714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</v>
      </c>
      <c r="D58" s="26" t="n">
        <v>1</v>
      </c>
      <c r="E58" s="26" t="n">
        <v>1</v>
      </c>
      <c r="F58" s="26" t="n">
        <v>2</v>
      </c>
      <c r="G58" s="26" t="n">
        <v>1</v>
      </c>
      <c r="H58" s="26" t="n">
        <v>1</v>
      </c>
      <c r="I58" s="26" t="n">
        <v>1</v>
      </c>
      <c r="J58" s="26" t="n">
        <v>0</v>
      </c>
      <c r="K58" s="27" t="n">
        <v>1</v>
      </c>
      <c r="L58" s="27" t="n">
        <v>0.0181</v>
      </c>
      <c r="M58" s="19" t="n">
        <f aca="false">K58-L58</f>
        <v>0.9819</v>
      </c>
      <c r="N58" s="26" t="n">
        <v>1</v>
      </c>
      <c r="O58" s="26" t="n">
        <v>1</v>
      </c>
      <c r="P58" s="28" t="n">
        <f aca="false">IF($C58=0,"",D58/$C58)</f>
        <v>0.5</v>
      </c>
      <c r="Q58" s="28" t="n">
        <f aca="false">IF($C58=0,"",E58/$C58)</f>
        <v>0.5</v>
      </c>
      <c r="R58" s="28" t="n">
        <f aca="false">IF($C58=0,"",F58/$C58)</f>
        <v>1</v>
      </c>
      <c r="S58" s="28" t="n">
        <f aca="false">IF($C58=0,"",G58/$C58)</f>
        <v>0.5</v>
      </c>
      <c r="T58" s="28" t="n">
        <f aca="false">IF($C58=0,"",H58/$C58)</f>
        <v>0.5</v>
      </c>
      <c r="U58" s="28" t="n">
        <f aca="false">IF($C58=0,"",I58/$C58)</f>
        <v>0.5</v>
      </c>
      <c r="V58" s="29" t="n">
        <f aca="false">IF($C58=0,"",K58/$C58)</f>
        <v>0.5</v>
      </c>
      <c r="W58" s="29" t="n">
        <f aca="false">IF($C58=0,"",M58/$C58)</f>
        <v>0.49095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</v>
      </c>
      <c r="D59" s="26" t="n">
        <v>0</v>
      </c>
      <c r="E59" s="26" t="n">
        <v>0</v>
      </c>
      <c r="F59" s="26" t="n">
        <v>1</v>
      </c>
      <c r="G59" s="26" t="n">
        <v>1</v>
      </c>
      <c r="H59" s="26" t="n">
        <v>0</v>
      </c>
      <c r="I59" s="26" t="n">
        <v>0</v>
      </c>
      <c r="J59" s="26" t="n">
        <v>0</v>
      </c>
      <c r="K59" s="27" t="n">
        <v>-1</v>
      </c>
      <c r="L59" s="27" t="n">
        <v>0.0102</v>
      </c>
      <c r="M59" s="19" t="n">
        <f aca="false">K59-L59</f>
        <v>-1.0102</v>
      </c>
      <c r="N59" s="26" t="n">
        <v>0</v>
      </c>
      <c r="O59" s="26" t="n">
        <v>1</v>
      </c>
      <c r="P59" s="28" t="n">
        <f aca="false">IF($C59=0,"",D59/$C59)</f>
        <v>0</v>
      </c>
      <c r="Q59" s="28" t="n">
        <f aca="false">IF($C59=0,"",E59/$C59)</f>
        <v>0</v>
      </c>
      <c r="R59" s="28" t="n">
        <f aca="false">IF($C59=0,"",F59/$C59)</f>
        <v>1</v>
      </c>
      <c r="S59" s="28" t="n">
        <f aca="false">IF($C59=0,"",G59/$C59)</f>
        <v>1</v>
      </c>
      <c r="T59" s="28" t="n">
        <f aca="false">IF($C59=0,"",H59/$C59)</f>
        <v>0</v>
      </c>
      <c r="U59" s="28" t="n">
        <f aca="false">IF($C59=0,"",I59/$C59)</f>
        <v>0</v>
      </c>
      <c r="V59" s="29" t="n">
        <f aca="false">IF($C59=0,"",K59/$C59)</f>
        <v>-1</v>
      </c>
      <c r="W59" s="29" t="n">
        <f aca="false">IF($C59=0,"",M59/$C59)</f>
        <v>-1.0102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</v>
      </c>
      <c r="D60" s="26" t="n">
        <v>3</v>
      </c>
      <c r="E60" s="26" t="n">
        <v>3</v>
      </c>
      <c r="F60" s="26" t="n">
        <v>3</v>
      </c>
      <c r="G60" s="26" t="n">
        <v>3</v>
      </c>
      <c r="H60" s="26" t="n">
        <v>3</v>
      </c>
      <c r="I60" s="26" t="n">
        <v>3</v>
      </c>
      <c r="J60" s="26" t="n">
        <v>0</v>
      </c>
      <c r="K60" s="27" t="n">
        <v>6</v>
      </c>
      <c r="L60" s="27" t="n">
        <v>0.0231</v>
      </c>
      <c r="M60" s="19" t="n">
        <f aca="false">K60-L60</f>
        <v>5.9769</v>
      </c>
      <c r="N60" s="26" t="n">
        <v>3</v>
      </c>
      <c r="O60" s="26" t="n">
        <v>0</v>
      </c>
      <c r="P60" s="28" t="n">
        <f aca="false">IF($C60=0,"",D60/$C60)</f>
        <v>1</v>
      </c>
      <c r="Q60" s="28" t="n">
        <f aca="false">IF($C60=0,"",E60/$C60)</f>
        <v>1</v>
      </c>
      <c r="R60" s="28" t="n">
        <f aca="false">IF($C60=0,"",F60/$C60)</f>
        <v>1</v>
      </c>
      <c r="S60" s="28" t="n">
        <f aca="false">IF($C60=0,"",G60/$C60)</f>
        <v>1</v>
      </c>
      <c r="T60" s="28" t="n">
        <f aca="false">IF($C60=0,"",H60/$C60)</f>
        <v>1</v>
      </c>
      <c r="U60" s="28" t="n">
        <f aca="false">IF($C60=0,"",I60/$C60)</f>
        <v>1</v>
      </c>
      <c r="V60" s="29" t="n">
        <f aca="false">IF($C60=0,"",K60/$C60)</f>
        <v>2</v>
      </c>
      <c r="W60" s="29" t="n">
        <f aca="false">IF($C60=0,"",M60/$C60)</f>
        <v>1.9923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6</v>
      </c>
      <c r="D61" s="26" t="n">
        <v>1</v>
      </c>
      <c r="E61" s="26" t="n">
        <v>1</v>
      </c>
      <c r="F61" s="26" t="n">
        <v>2</v>
      </c>
      <c r="G61" s="26" t="n">
        <v>2</v>
      </c>
      <c r="H61" s="26" t="n">
        <v>2</v>
      </c>
      <c r="I61" s="26" t="n">
        <v>1</v>
      </c>
      <c r="J61" s="26" t="n">
        <v>0</v>
      </c>
      <c r="K61" s="27" t="n">
        <v>-3</v>
      </c>
      <c r="L61" s="27" t="n">
        <v>0.0263</v>
      </c>
      <c r="M61" s="19" t="n">
        <f aca="false">K61-L61</f>
        <v>-3.0263</v>
      </c>
      <c r="N61" s="26" t="n">
        <v>1</v>
      </c>
      <c r="O61" s="26" t="n">
        <v>4</v>
      </c>
      <c r="P61" s="28" t="n">
        <f aca="false">IF($C61=0,"",D61/$C61)</f>
        <v>0.166666666666667</v>
      </c>
      <c r="Q61" s="28" t="n">
        <f aca="false">IF($C61=0,"",E61/$C61)</f>
        <v>0.166666666666667</v>
      </c>
      <c r="R61" s="28" t="n">
        <f aca="false">IF($C61=0,"",F61/$C61)</f>
        <v>0.333333333333333</v>
      </c>
      <c r="S61" s="28" t="n">
        <f aca="false">IF($C61=0,"",G61/$C61)</f>
        <v>0.333333333333333</v>
      </c>
      <c r="T61" s="28" t="n">
        <f aca="false">IF($C61=0,"",H61/$C61)</f>
        <v>0.333333333333333</v>
      </c>
      <c r="U61" s="28" t="n">
        <f aca="false">IF($C61=0,"",I61/$C61)</f>
        <v>0.166666666666667</v>
      </c>
      <c r="V61" s="29" t="n">
        <f aca="false">IF($C61=0,"",K61/$C61)</f>
        <v>-0.5</v>
      </c>
      <c r="W61" s="29" t="n">
        <f aca="false">IF($C61=0,"",M61/$C61)</f>
        <v>-0.504383333333333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7</v>
      </c>
      <c r="D62" s="26" t="n">
        <v>2</v>
      </c>
      <c r="E62" s="26" t="n">
        <v>2</v>
      </c>
      <c r="F62" s="26" t="n">
        <v>2</v>
      </c>
      <c r="G62" s="26" t="n">
        <v>2</v>
      </c>
      <c r="H62" s="26" t="n">
        <v>2</v>
      </c>
      <c r="I62" s="26" t="n">
        <v>2</v>
      </c>
      <c r="J62" s="26" t="n">
        <v>0</v>
      </c>
      <c r="K62" s="27" t="n">
        <v>-1</v>
      </c>
      <c r="L62" s="27" t="n">
        <v>0.0334</v>
      </c>
      <c r="M62" s="19" t="n">
        <f aca="false">K62-L62</f>
        <v>-1.0334</v>
      </c>
      <c r="N62" s="26" t="n">
        <v>1</v>
      </c>
      <c r="O62" s="26" t="n">
        <v>2</v>
      </c>
      <c r="P62" s="28" t="n">
        <f aca="false">IF($C62=0,"",D62/$C62)</f>
        <v>0.285714285714286</v>
      </c>
      <c r="Q62" s="28" t="n">
        <f aca="false">IF($C62=0,"",E62/$C62)</f>
        <v>0.285714285714286</v>
      </c>
      <c r="R62" s="28" t="n">
        <f aca="false">IF($C62=0,"",F62/$C62)</f>
        <v>0.285714285714286</v>
      </c>
      <c r="S62" s="28" t="n">
        <f aca="false">IF($C62=0,"",G62/$C62)</f>
        <v>0.285714285714286</v>
      </c>
      <c r="T62" s="28" t="n">
        <f aca="false">IF($C62=0,"",H62/$C62)</f>
        <v>0.285714285714286</v>
      </c>
      <c r="U62" s="28" t="n">
        <f aca="false">IF($C62=0,"",I62/$C62)</f>
        <v>0.285714285714286</v>
      </c>
      <c r="V62" s="29" t="n">
        <f aca="false">IF($C62=0,"",K62/$C62)</f>
        <v>-0.142857142857143</v>
      </c>
      <c r="W62" s="29" t="n">
        <f aca="false">IF($C62=0,"",M62/$C62)</f>
        <v>-0.147628571428571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4</v>
      </c>
      <c r="D63" s="26" t="n">
        <v>1</v>
      </c>
      <c r="E63" s="26" t="n">
        <v>1</v>
      </c>
      <c r="F63" s="26" t="n">
        <v>3</v>
      </c>
      <c r="G63" s="26" t="n">
        <v>1</v>
      </c>
      <c r="H63" s="26" t="n">
        <v>1</v>
      </c>
      <c r="I63" s="26" t="n">
        <v>1</v>
      </c>
      <c r="J63" s="26" t="n">
        <v>0</v>
      </c>
      <c r="K63" s="27" t="n">
        <v>-1</v>
      </c>
      <c r="L63" s="27" t="n">
        <v>0.0297</v>
      </c>
      <c r="M63" s="19" t="n">
        <f aca="false">K63-L63</f>
        <v>-1.0297</v>
      </c>
      <c r="N63" s="26" t="n">
        <v>1</v>
      </c>
      <c r="O63" s="26" t="n">
        <v>3</v>
      </c>
      <c r="P63" s="28" t="n">
        <f aca="false">IF($C63=0,"",D63/$C63)</f>
        <v>0.25</v>
      </c>
      <c r="Q63" s="28" t="n">
        <f aca="false">IF($C63=0,"",E63/$C63)</f>
        <v>0.25</v>
      </c>
      <c r="R63" s="28" t="n">
        <f aca="false">IF($C63=0,"",F63/$C63)</f>
        <v>0.75</v>
      </c>
      <c r="S63" s="28" t="n">
        <f aca="false">IF($C63=0,"",G63/$C63)</f>
        <v>0.25</v>
      </c>
      <c r="T63" s="28" t="n">
        <f aca="false">IF($C63=0,"",H63/$C63)</f>
        <v>0.25</v>
      </c>
      <c r="U63" s="28" t="n">
        <f aca="false">IF($C63=0,"",I63/$C63)</f>
        <v>0.25</v>
      </c>
      <c r="V63" s="29" t="n">
        <f aca="false">IF($C63=0,"",K63/$C63)</f>
        <v>-0.25</v>
      </c>
      <c r="W63" s="29" t="n">
        <f aca="false">IF($C63=0,"",M63/$C63)</f>
        <v>-0.257425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</v>
      </c>
      <c r="D64" s="26" t="n">
        <v>1</v>
      </c>
      <c r="E64" s="26" t="n">
        <v>1</v>
      </c>
      <c r="F64" s="26" t="n">
        <v>1</v>
      </c>
      <c r="G64" s="26" t="n">
        <v>1</v>
      </c>
      <c r="H64" s="26" t="n">
        <v>1</v>
      </c>
      <c r="I64" s="26" t="n">
        <v>1</v>
      </c>
      <c r="J64" s="26" t="n">
        <v>0</v>
      </c>
      <c r="K64" s="27" t="n">
        <v>2</v>
      </c>
      <c r="L64" s="27" t="n">
        <v>0.0144</v>
      </c>
      <c r="M64" s="19" t="n">
        <f aca="false">K64-L64</f>
        <v>1.9856</v>
      </c>
      <c r="N64" s="26" t="n">
        <v>1</v>
      </c>
      <c r="O64" s="26" t="n">
        <v>0</v>
      </c>
      <c r="P64" s="28" t="n">
        <f aca="false">IF($C64=0,"",D64/$C64)</f>
        <v>1</v>
      </c>
      <c r="Q64" s="28" t="n">
        <f aca="false">IF($C64=0,"",E64/$C64)</f>
        <v>1</v>
      </c>
      <c r="R64" s="28" t="n">
        <f aca="false">IF($C64=0,"",F64/$C64)</f>
        <v>1</v>
      </c>
      <c r="S64" s="28" t="n">
        <f aca="false">IF($C64=0,"",G64/$C64)</f>
        <v>1</v>
      </c>
      <c r="T64" s="28" t="n">
        <f aca="false">IF($C64=0,"",H64/$C64)</f>
        <v>1</v>
      </c>
      <c r="U64" s="28" t="n">
        <f aca="false">IF($C64=0,"",I64/$C64)</f>
        <v>1</v>
      </c>
      <c r="V64" s="29" t="n">
        <f aca="false">IF($C64=0,"",K64/$C64)</f>
        <v>2</v>
      </c>
      <c r="W64" s="29" t="n">
        <f aca="false">IF($C64=0,"",M64/$C64)</f>
        <v>1.9856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</v>
      </c>
      <c r="D65" s="26" t="n">
        <v>1</v>
      </c>
      <c r="E65" s="26" t="n">
        <v>1</v>
      </c>
      <c r="F65" s="26" t="n">
        <v>2</v>
      </c>
      <c r="G65" s="26" t="n">
        <v>2</v>
      </c>
      <c r="H65" s="26" t="n">
        <v>2</v>
      </c>
      <c r="I65" s="26" t="n">
        <v>1</v>
      </c>
      <c r="J65" s="26" t="n">
        <v>0</v>
      </c>
      <c r="K65" s="27" t="n">
        <v>1</v>
      </c>
      <c r="L65" s="27" t="n">
        <v>0.0088</v>
      </c>
      <c r="M65" s="19" t="n">
        <f aca="false">K65-L65</f>
        <v>0.9912</v>
      </c>
      <c r="N65" s="26" t="n">
        <v>1</v>
      </c>
      <c r="O65" s="26" t="n">
        <v>1</v>
      </c>
      <c r="P65" s="28" t="n">
        <f aca="false">IF($C65=0,"",D65/$C65)</f>
        <v>0.5</v>
      </c>
      <c r="Q65" s="28" t="n">
        <f aca="false">IF($C65=0,"",E65/$C65)</f>
        <v>0.5</v>
      </c>
      <c r="R65" s="28" t="n">
        <f aca="false">IF($C65=0,"",F65/$C65)</f>
        <v>1</v>
      </c>
      <c r="S65" s="28" t="n">
        <f aca="false">IF($C65=0,"",G65/$C65)</f>
        <v>1</v>
      </c>
      <c r="T65" s="28" t="n">
        <f aca="false">IF($C65=0,"",H65/$C65)</f>
        <v>1</v>
      </c>
      <c r="U65" s="28" t="n">
        <f aca="false">IF($C65=0,"",I65/$C65)</f>
        <v>0.5</v>
      </c>
      <c r="V65" s="29" t="n">
        <f aca="false">IF($C65=0,"",K65/$C65)</f>
        <v>0.5</v>
      </c>
      <c r="W65" s="29" t="n">
        <f aca="false">IF($C65=0,"",M65/$C65)</f>
        <v>0.4956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4</v>
      </c>
      <c r="D66" s="26" t="n">
        <v>3</v>
      </c>
      <c r="E66" s="26" t="n">
        <v>3</v>
      </c>
      <c r="F66" s="26" t="n">
        <v>3</v>
      </c>
      <c r="G66" s="26" t="n">
        <v>3</v>
      </c>
      <c r="H66" s="26" t="n">
        <v>3</v>
      </c>
      <c r="I66" s="26" t="n">
        <v>3</v>
      </c>
      <c r="J66" s="26" t="n">
        <v>0</v>
      </c>
      <c r="K66" s="27" t="n">
        <v>5</v>
      </c>
      <c r="L66" s="27" t="n">
        <v>0.0438</v>
      </c>
      <c r="M66" s="19" t="n">
        <f aca="false">K66-L66</f>
        <v>4.9562</v>
      </c>
      <c r="N66" s="26" t="n">
        <v>3</v>
      </c>
      <c r="O66" s="26" t="n">
        <v>1</v>
      </c>
      <c r="P66" s="28" t="n">
        <f aca="false">IF($C66=0,"",D66/$C66)</f>
        <v>0.75</v>
      </c>
      <c r="Q66" s="28" t="n">
        <f aca="false">IF($C66=0,"",E66/$C66)</f>
        <v>0.75</v>
      </c>
      <c r="R66" s="28" t="n">
        <f aca="false">IF($C66=0,"",F66/$C66)</f>
        <v>0.75</v>
      </c>
      <c r="S66" s="28" t="n">
        <f aca="false">IF($C66=0,"",G66/$C66)</f>
        <v>0.75</v>
      </c>
      <c r="T66" s="28" t="n">
        <f aca="false">IF($C66=0,"",H66/$C66)</f>
        <v>0.75</v>
      </c>
      <c r="U66" s="28" t="n">
        <f aca="false">IF($C66=0,"",I66/$C66)</f>
        <v>0.75</v>
      </c>
      <c r="V66" s="29" t="n">
        <f aca="false">IF($C66=0,"",K66/$C66)</f>
        <v>1.25</v>
      </c>
      <c r="W66" s="29" t="n">
        <f aca="false">IF($C66=0,"",M66/$C66)</f>
        <v>1.23905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</v>
      </c>
      <c r="D67" s="26" t="n">
        <v>3</v>
      </c>
      <c r="E67" s="26" t="n">
        <v>3</v>
      </c>
      <c r="F67" s="26" t="n">
        <v>3</v>
      </c>
      <c r="G67" s="26" t="n">
        <v>3</v>
      </c>
      <c r="H67" s="26" t="n">
        <v>3</v>
      </c>
      <c r="I67" s="26" t="n">
        <v>3</v>
      </c>
      <c r="J67" s="26" t="n">
        <v>0</v>
      </c>
      <c r="K67" s="27" t="n">
        <v>4</v>
      </c>
      <c r="L67" s="27" t="n">
        <v>0.0202</v>
      </c>
      <c r="M67" s="19" t="n">
        <f aca="false">K67-L67</f>
        <v>3.9798</v>
      </c>
      <c r="N67" s="26" t="n">
        <v>2</v>
      </c>
      <c r="O67" s="26" t="n">
        <v>1</v>
      </c>
      <c r="P67" s="28" t="n">
        <f aca="false">IF($C67=0,"",D67/$C67)</f>
        <v>0.6</v>
      </c>
      <c r="Q67" s="28" t="n">
        <f aca="false">IF($C67=0,"",E67/$C67)</f>
        <v>0.6</v>
      </c>
      <c r="R67" s="28" t="n">
        <f aca="false">IF($C67=0,"",F67/$C67)</f>
        <v>0.6</v>
      </c>
      <c r="S67" s="28" t="n">
        <f aca="false">IF($C67=0,"",G67/$C67)</f>
        <v>0.6</v>
      </c>
      <c r="T67" s="28" t="n">
        <f aca="false">IF($C67=0,"",H67/$C67)</f>
        <v>0.6</v>
      </c>
      <c r="U67" s="28" t="n">
        <f aca="false">IF($C67=0,"",I67/$C67)</f>
        <v>0.6</v>
      </c>
      <c r="V67" s="29" t="n">
        <f aca="false">IF($C67=0,"",K67/$C67)</f>
        <v>0.8</v>
      </c>
      <c r="W67" s="29" t="n">
        <f aca="false">IF($C67=0,"",M67/$C67)</f>
        <v>0.79596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4</v>
      </c>
      <c r="D68" s="26" t="n">
        <v>2</v>
      </c>
      <c r="E68" s="26" t="n">
        <v>2</v>
      </c>
      <c r="F68" s="26" t="n">
        <v>3</v>
      </c>
      <c r="G68" s="26" t="n">
        <v>2</v>
      </c>
      <c r="H68" s="26" t="n">
        <v>2</v>
      </c>
      <c r="I68" s="26" t="n">
        <v>2</v>
      </c>
      <c r="J68" s="26" t="n">
        <v>0</v>
      </c>
      <c r="K68" s="27" t="n">
        <v>2</v>
      </c>
      <c r="L68" s="27" t="n">
        <v>0.0145</v>
      </c>
      <c r="M68" s="19" t="n">
        <f aca="false">K68-L68</f>
        <v>1.9855</v>
      </c>
      <c r="N68" s="26" t="n">
        <v>1</v>
      </c>
      <c r="O68" s="26" t="n">
        <v>2</v>
      </c>
      <c r="P68" s="28" t="n">
        <f aca="false">IF($C68=0,"",D68/$C68)</f>
        <v>0.5</v>
      </c>
      <c r="Q68" s="28" t="n">
        <f aca="false">IF($C68=0,"",E68/$C68)</f>
        <v>0.5</v>
      </c>
      <c r="R68" s="28" t="n">
        <f aca="false">IF($C68=0,"",F68/$C68)</f>
        <v>0.75</v>
      </c>
      <c r="S68" s="28" t="n">
        <f aca="false">IF($C68=0,"",G68/$C68)</f>
        <v>0.5</v>
      </c>
      <c r="T68" s="28" t="n">
        <f aca="false">IF($C68=0,"",H68/$C68)</f>
        <v>0.5</v>
      </c>
      <c r="U68" s="28" t="n">
        <f aca="false">IF($C68=0,"",I68/$C68)</f>
        <v>0.5</v>
      </c>
      <c r="V68" s="29" t="n">
        <f aca="false">IF($C68=0,"",K68/$C68)</f>
        <v>0.5</v>
      </c>
      <c r="W68" s="29" t="n">
        <f aca="false">IF($C68=0,"",M68/$C68)</f>
        <v>0.496375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0</v>
      </c>
      <c r="J69" s="26" t="n">
        <v>0</v>
      </c>
      <c r="K69" s="27" t="n">
        <v>-2</v>
      </c>
      <c r="L69" s="27" t="n">
        <v>0.0078</v>
      </c>
      <c r="M69" s="19" t="n">
        <f aca="false">K69-L69</f>
        <v>-2.0078</v>
      </c>
      <c r="N69" s="26" t="n">
        <v>0</v>
      </c>
      <c r="O69" s="26" t="n">
        <v>2</v>
      </c>
      <c r="P69" s="28" t="n">
        <f aca="false">IF($C69=0,"",D69/$C69)</f>
        <v>0</v>
      </c>
      <c r="Q69" s="28" t="n">
        <f aca="false">IF($C69=0,"",E69/$C69)</f>
        <v>0</v>
      </c>
      <c r="R69" s="28" t="n">
        <f aca="false">IF($C69=0,"",F69/$C69)</f>
        <v>0</v>
      </c>
      <c r="S69" s="28" t="n">
        <f aca="false">IF($C69=0,"",G69/$C69)</f>
        <v>0</v>
      </c>
      <c r="T69" s="28" t="n">
        <f aca="false">IF($C69=0,"",H69/$C69)</f>
        <v>0</v>
      </c>
      <c r="U69" s="28" t="n">
        <f aca="false">IF($C69=0,"",I69/$C69)</f>
        <v>0</v>
      </c>
      <c r="V69" s="29" t="n">
        <f aca="false">IF($C69=0,"",K69/$C69)</f>
        <v>-1</v>
      </c>
      <c r="W69" s="29" t="n">
        <f aca="false">IF($C69=0,"",M69/$C69)</f>
        <v>-1.0039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41</v>
      </c>
      <c r="D70" s="30" t="n">
        <f aca="false">SUM(D58:D69)</f>
        <v>18</v>
      </c>
      <c r="E70" s="30" t="n">
        <f aca="false">SUM(E58:E69)</f>
        <v>18</v>
      </c>
      <c r="F70" s="30" t="n">
        <f aca="false">SUM(F58:F69)</f>
        <v>25</v>
      </c>
      <c r="G70" s="30" t="n">
        <f aca="false">SUM(G58:G69)</f>
        <v>21</v>
      </c>
      <c r="H70" s="30" t="n">
        <f aca="false">SUM(H58:H69)</f>
        <v>20</v>
      </c>
      <c r="I70" s="30" t="n">
        <f aca="false">SUM(I58:I69)</f>
        <v>18</v>
      </c>
      <c r="J70" s="30" t="n">
        <f aca="false">SUM(J58:J69)</f>
        <v>0</v>
      </c>
      <c r="K70" s="31" t="n">
        <f aca="false">SUM(K58:K69)</f>
        <v>13</v>
      </c>
      <c r="L70" s="31" t="n">
        <f aca="false">SUM(L58:L69)</f>
        <v>0.2503</v>
      </c>
      <c r="M70" s="31" t="n">
        <f aca="false">K70-L70</f>
        <v>12.7497</v>
      </c>
      <c r="N70" s="32" t="n">
        <v>5</v>
      </c>
      <c r="O70" s="32" t="n">
        <v>4</v>
      </c>
      <c r="P70" s="33" t="n">
        <f aca="false">IF($C70=0,"",D70/$C70)</f>
        <v>0.439024390243902</v>
      </c>
      <c r="Q70" s="33" t="n">
        <f aca="false">IF($C70=0,"",E70/$C70)</f>
        <v>0.439024390243902</v>
      </c>
      <c r="R70" s="33" t="n">
        <f aca="false">IF($C70=0,"",F70/$C70)</f>
        <v>0.609756097560976</v>
      </c>
      <c r="S70" s="33" t="n">
        <f aca="false">IF($C70=0,"",G70/$C70)</f>
        <v>0.51219512195122</v>
      </c>
      <c r="T70" s="33" t="n">
        <f aca="false">IF($C70=0,"",H70/$C70)</f>
        <v>0.487804878048781</v>
      </c>
      <c r="U70" s="33" t="n">
        <f aca="false">IF($C70=0,"",I70/$C70)</f>
        <v>0.439024390243902</v>
      </c>
      <c r="V70" s="34" t="n">
        <f aca="false">IF($C70=0,"",K70/$C70)</f>
        <v>0.317073170731707</v>
      </c>
      <c r="W70" s="34" t="n">
        <f aca="false">IF($C70=0,"",M70/$C70)</f>
        <v>0.310968292682927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4</v>
      </c>
      <c r="D71" s="26" t="n">
        <v>2</v>
      </c>
      <c r="E71" s="26" t="n">
        <v>2</v>
      </c>
      <c r="F71" s="26" t="n">
        <v>2</v>
      </c>
      <c r="G71" s="26" t="n">
        <v>2</v>
      </c>
      <c r="H71" s="26" t="n">
        <v>2</v>
      </c>
      <c r="I71" s="26" t="n">
        <v>2</v>
      </c>
      <c r="J71" s="26" t="n">
        <v>0</v>
      </c>
      <c r="K71" s="27" t="n">
        <v>2</v>
      </c>
      <c r="L71" s="27" t="n">
        <v>0.0147</v>
      </c>
      <c r="M71" s="19" t="n">
        <f aca="false">K71-L71</f>
        <v>1.9853</v>
      </c>
      <c r="N71" s="26" t="n">
        <v>1</v>
      </c>
      <c r="O71" s="26" t="n">
        <v>1</v>
      </c>
      <c r="P71" s="28" t="n">
        <f aca="false">IF($C71=0,"",D71/$C71)</f>
        <v>0.5</v>
      </c>
      <c r="Q71" s="28" t="n">
        <f aca="false">IF($C71=0,"",E71/$C71)</f>
        <v>0.5</v>
      </c>
      <c r="R71" s="28" t="n">
        <f aca="false">IF($C71=0,"",F71/$C71)</f>
        <v>0.5</v>
      </c>
      <c r="S71" s="28" t="n">
        <f aca="false">IF($C71=0,"",G71/$C71)</f>
        <v>0.5</v>
      </c>
      <c r="T71" s="28" t="n">
        <f aca="false">IF($C71=0,"",H71/$C71)</f>
        <v>0.5</v>
      </c>
      <c r="U71" s="28" t="n">
        <f aca="false">IF($C71=0,"",I71/$C71)</f>
        <v>0.5</v>
      </c>
      <c r="V71" s="29" t="n">
        <f aca="false">IF($C71=0,"",K71/$C71)</f>
        <v>0.5</v>
      </c>
      <c r="W71" s="29" t="n">
        <f aca="false">IF($C71=0,"",M71/$C71)</f>
        <v>0.496325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</v>
      </c>
      <c r="D72" s="26" t="n">
        <v>0</v>
      </c>
      <c r="E72" s="26" t="n">
        <v>0</v>
      </c>
      <c r="F72" s="26" t="n">
        <v>1</v>
      </c>
      <c r="G72" s="26" t="n">
        <v>1</v>
      </c>
      <c r="H72" s="26" t="n">
        <v>1</v>
      </c>
      <c r="I72" s="26" t="n">
        <v>0</v>
      </c>
      <c r="J72" s="26" t="n">
        <v>0</v>
      </c>
      <c r="K72" s="27" t="n">
        <v>-1</v>
      </c>
      <c r="L72" s="27" t="n">
        <v>0.0023</v>
      </c>
      <c r="M72" s="19" t="n">
        <f aca="false">K72-L72</f>
        <v>-1.0023</v>
      </c>
      <c r="N72" s="26" t="n">
        <v>0</v>
      </c>
      <c r="O72" s="26" t="n">
        <v>1</v>
      </c>
      <c r="P72" s="28" t="n">
        <f aca="false">IF($C72=0,"",D72/$C72)</f>
        <v>0</v>
      </c>
      <c r="Q72" s="28" t="n">
        <f aca="false">IF($C72=0,"",E72/$C72)</f>
        <v>0</v>
      </c>
      <c r="R72" s="28" t="n">
        <f aca="false">IF($C72=0,"",F72/$C72)</f>
        <v>1</v>
      </c>
      <c r="S72" s="28" t="n">
        <f aca="false">IF($C72=0,"",G72/$C72)</f>
        <v>1</v>
      </c>
      <c r="T72" s="28" t="n">
        <f aca="false">IF($C72=0,"",H72/$C72)</f>
        <v>1</v>
      </c>
      <c r="U72" s="28" t="n">
        <f aca="false">IF($C72=0,"",I72/$C72)</f>
        <v>0</v>
      </c>
      <c r="V72" s="29" t="n">
        <f aca="false">IF($C72=0,"",K72/$C72)</f>
        <v>-1</v>
      </c>
      <c r="W72" s="29" t="n">
        <f aca="false">IF($C72=0,"",M72/$C72)</f>
        <v>-1.0023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</v>
      </c>
      <c r="D73" s="26" t="n">
        <v>2</v>
      </c>
      <c r="E73" s="26" t="n">
        <v>2</v>
      </c>
      <c r="F73" s="26" t="n">
        <v>2</v>
      </c>
      <c r="G73" s="26" t="n">
        <v>2</v>
      </c>
      <c r="H73" s="26" t="n">
        <v>2</v>
      </c>
      <c r="I73" s="26" t="n">
        <v>2</v>
      </c>
      <c r="J73" s="26" t="n">
        <v>0</v>
      </c>
      <c r="K73" s="27" t="n">
        <v>4</v>
      </c>
      <c r="L73" s="27" t="n">
        <v>0.005</v>
      </c>
      <c r="M73" s="19" t="n">
        <f aca="false">K73-L73</f>
        <v>3.995</v>
      </c>
      <c r="N73" s="26" t="n">
        <v>2</v>
      </c>
      <c r="O73" s="26" t="n">
        <v>0</v>
      </c>
      <c r="P73" s="28" t="n">
        <f aca="false">IF($C73=0,"",D73/$C73)</f>
        <v>1</v>
      </c>
      <c r="Q73" s="28" t="n">
        <f aca="false">IF($C73=0,"",E73/$C73)</f>
        <v>1</v>
      </c>
      <c r="R73" s="28" t="n">
        <f aca="false">IF($C73=0,"",F73/$C73)</f>
        <v>1</v>
      </c>
      <c r="S73" s="28" t="n">
        <f aca="false">IF($C73=0,"",G73/$C73)</f>
        <v>1</v>
      </c>
      <c r="T73" s="28" t="n">
        <f aca="false">IF($C73=0,"",H73/$C73)</f>
        <v>1</v>
      </c>
      <c r="U73" s="28" t="n">
        <f aca="false">IF($C73=0,"",I73/$C73)</f>
        <v>1</v>
      </c>
      <c r="V73" s="29" t="n">
        <f aca="false">IF($C73=0,"",K73/$C73)</f>
        <v>2</v>
      </c>
      <c r="W73" s="29" t="n">
        <f aca="false">IF($C73=0,"",M73/$C73)</f>
        <v>1.9975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0</v>
      </c>
      <c r="J74" s="26" t="n">
        <v>0</v>
      </c>
      <c r="K74" s="27" t="n">
        <v>0</v>
      </c>
      <c r="L74" s="27" t="n">
        <v>0</v>
      </c>
      <c r="M74" s="19" t="n">
        <f aca="false">K74-L74</f>
        <v>0</v>
      </c>
      <c r="N74" s="26" t="n">
        <v>0</v>
      </c>
      <c r="O74" s="26" t="n">
        <v>0</v>
      </c>
      <c r="P74" s="28" t="str">
        <f aca="false">IF($C74=0,"",D74/$C74)</f>
        <v/>
      </c>
      <c r="Q74" s="28" t="str">
        <f aca="false">IF($C74=0,"",E74/$C74)</f>
        <v/>
      </c>
      <c r="R74" s="28" t="str">
        <f aca="false">IF($C74=0,"",F74/$C74)</f>
        <v/>
      </c>
      <c r="S74" s="28" t="str">
        <f aca="false">IF($C74=0,"",G74/$C74)</f>
        <v/>
      </c>
      <c r="T74" s="28" t="str">
        <f aca="false">IF($C74=0,"",H74/$C74)</f>
        <v/>
      </c>
      <c r="U74" s="28" t="str">
        <f aca="false">IF($C74=0,"",I74/$C74)</f>
        <v/>
      </c>
      <c r="V74" s="29" t="str">
        <f aca="false">IF($C74=0,"",K74/$C74)</f>
        <v/>
      </c>
      <c r="W74" s="29" t="str">
        <f aca="false">IF($C74=0,"",M74/$C74)</f>
        <v/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2</v>
      </c>
      <c r="D75" s="26" t="n">
        <v>0</v>
      </c>
      <c r="E75" s="26" t="n">
        <v>0</v>
      </c>
      <c r="F75" s="26" t="n">
        <v>1</v>
      </c>
      <c r="G75" s="26" t="n">
        <v>1</v>
      </c>
      <c r="H75" s="26" t="n">
        <v>1</v>
      </c>
      <c r="I75" s="26" t="n">
        <v>0</v>
      </c>
      <c r="J75" s="26" t="n">
        <v>0</v>
      </c>
      <c r="K75" s="27" t="n">
        <v>-2</v>
      </c>
      <c r="L75" s="27" t="n">
        <v>0.0075</v>
      </c>
      <c r="M75" s="19" t="n">
        <f aca="false">K75-L75</f>
        <v>-2.0075</v>
      </c>
      <c r="N75" s="26" t="n">
        <v>0</v>
      </c>
      <c r="O75" s="26" t="n">
        <v>2</v>
      </c>
      <c r="P75" s="28" t="n">
        <f aca="false">IF($C75=0,"",D75/$C75)</f>
        <v>0</v>
      </c>
      <c r="Q75" s="28" t="n">
        <f aca="false">IF($C75=0,"",E75/$C75)</f>
        <v>0</v>
      </c>
      <c r="R75" s="28" t="n">
        <f aca="false">IF($C75=0,"",F75/$C75)</f>
        <v>0.5</v>
      </c>
      <c r="S75" s="28" t="n">
        <f aca="false">IF($C75=0,"",G75/$C75)</f>
        <v>0.5</v>
      </c>
      <c r="T75" s="28" t="n">
        <f aca="false">IF($C75=0,"",H75/$C75)</f>
        <v>0.5</v>
      </c>
      <c r="U75" s="28" t="n">
        <f aca="false">IF($C75=0,"",I75/$C75)</f>
        <v>0</v>
      </c>
      <c r="V75" s="29" t="n">
        <f aca="false">IF($C75=0,"",K75/$C75)</f>
        <v>-1</v>
      </c>
      <c r="W75" s="29" t="n">
        <f aca="false">IF($C75=0,"",M75/$C75)</f>
        <v>-1.00375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</v>
      </c>
      <c r="D76" s="26" t="n">
        <v>2</v>
      </c>
      <c r="E76" s="26" t="n">
        <v>2</v>
      </c>
      <c r="F76" s="26" t="n">
        <v>2</v>
      </c>
      <c r="G76" s="26" t="n">
        <v>2</v>
      </c>
      <c r="H76" s="26" t="n">
        <v>2</v>
      </c>
      <c r="I76" s="26" t="n">
        <v>2</v>
      </c>
      <c r="J76" s="26" t="n">
        <v>0</v>
      </c>
      <c r="K76" s="27" t="n">
        <v>4</v>
      </c>
      <c r="L76" s="27" t="n">
        <v>0.0079</v>
      </c>
      <c r="M76" s="19" t="n">
        <f aca="false">K76-L76</f>
        <v>3.9921</v>
      </c>
      <c r="N76" s="26" t="n">
        <v>2</v>
      </c>
      <c r="O76" s="26" t="n">
        <v>0</v>
      </c>
      <c r="P76" s="28" t="n">
        <f aca="false">IF($C76=0,"",D76/$C76)</f>
        <v>1</v>
      </c>
      <c r="Q76" s="28" t="n">
        <f aca="false">IF($C76=0,"",E76/$C76)</f>
        <v>1</v>
      </c>
      <c r="R76" s="28" t="n">
        <f aca="false">IF($C76=0,"",F76/$C76)</f>
        <v>1</v>
      </c>
      <c r="S76" s="28" t="n">
        <f aca="false">IF($C76=0,"",G76/$C76)</f>
        <v>1</v>
      </c>
      <c r="T76" s="28" t="n">
        <f aca="false">IF($C76=0,"",H76/$C76)</f>
        <v>1</v>
      </c>
      <c r="U76" s="28" t="n">
        <f aca="false">IF($C76=0,"",I76/$C76)</f>
        <v>1</v>
      </c>
      <c r="V76" s="29" t="n">
        <f aca="false">IF($C76=0,"",K76/$C76)</f>
        <v>2</v>
      </c>
      <c r="W76" s="29" t="n">
        <f aca="false">IF($C76=0,"",M76/$C76)</f>
        <v>1.99605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</v>
      </c>
      <c r="D77" s="26" t="n">
        <v>1</v>
      </c>
      <c r="E77" s="26" t="n">
        <v>1</v>
      </c>
      <c r="F77" s="26" t="n">
        <v>2</v>
      </c>
      <c r="G77" s="26" t="n">
        <v>1</v>
      </c>
      <c r="H77" s="26" t="n">
        <v>1</v>
      </c>
      <c r="I77" s="26" t="n">
        <v>1</v>
      </c>
      <c r="J77" s="26" t="n">
        <v>0</v>
      </c>
      <c r="K77" s="27" t="n">
        <v>1</v>
      </c>
      <c r="L77" s="27" t="n">
        <v>0.0069</v>
      </c>
      <c r="M77" s="19" t="n">
        <f aca="false">K77-L77</f>
        <v>0.9931</v>
      </c>
      <c r="N77" s="26" t="n">
        <v>1</v>
      </c>
      <c r="O77" s="26" t="n">
        <v>1</v>
      </c>
      <c r="P77" s="28" t="n">
        <f aca="false">IF($C77=0,"",D77/$C77)</f>
        <v>0.5</v>
      </c>
      <c r="Q77" s="28" t="n">
        <f aca="false">IF($C77=0,"",E77/$C77)</f>
        <v>0.5</v>
      </c>
      <c r="R77" s="28" t="n">
        <f aca="false">IF($C77=0,"",F77/$C77)</f>
        <v>1</v>
      </c>
      <c r="S77" s="28" t="n">
        <f aca="false">IF($C77=0,"",G77/$C77)</f>
        <v>0.5</v>
      </c>
      <c r="T77" s="28" t="n">
        <f aca="false">IF($C77=0,"",H77/$C77)</f>
        <v>0.5</v>
      </c>
      <c r="U77" s="28" t="n">
        <f aca="false">IF($C77=0,"",I77/$C77)</f>
        <v>0.5</v>
      </c>
      <c r="V77" s="29" t="n">
        <f aca="false">IF($C77=0,"",K77/$C77)</f>
        <v>0.5</v>
      </c>
      <c r="W77" s="29" t="n">
        <f aca="false">IF($C77=0,"",M77/$C77)</f>
        <v>0.49655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5</v>
      </c>
      <c r="D78" s="26" t="n">
        <v>1</v>
      </c>
      <c r="E78" s="26" t="n">
        <v>1</v>
      </c>
      <c r="F78" s="26" t="n">
        <v>1</v>
      </c>
      <c r="G78" s="26" t="n">
        <v>1</v>
      </c>
      <c r="H78" s="26" t="n">
        <v>1</v>
      </c>
      <c r="I78" s="26" t="n">
        <v>1</v>
      </c>
      <c r="J78" s="26" t="n">
        <v>0</v>
      </c>
      <c r="K78" s="27" t="n">
        <v>-2</v>
      </c>
      <c r="L78" s="27" t="n">
        <v>0.023</v>
      </c>
      <c r="M78" s="19" t="n">
        <f aca="false">K78-L78</f>
        <v>-2.023</v>
      </c>
      <c r="N78" s="26" t="n">
        <v>1</v>
      </c>
      <c r="O78" s="26" t="n">
        <v>4</v>
      </c>
      <c r="P78" s="28" t="n">
        <f aca="false">IF($C78=0,"",D78/$C78)</f>
        <v>0.2</v>
      </c>
      <c r="Q78" s="28" t="n">
        <f aca="false">IF($C78=0,"",E78/$C78)</f>
        <v>0.2</v>
      </c>
      <c r="R78" s="28" t="n">
        <f aca="false">IF($C78=0,"",F78/$C78)</f>
        <v>0.2</v>
      </c>
      <c r="S78" s="28" t="n">
        <f aca="false">IF($C78=0,"",G78/$C78)</f>
        <v>0.2</v>
      </c>
      <c r="T78" s="28" t="n">
        <f aca="false">IF($C78=0,"",H78/$C78)</f>
        <v>0.2</v>
      </c>
      <c r="U78" s="28" t="n">
        <f aca="false">IF($C78=0,"",I78/$C78)</f>
        <v>0.2</v>
      </c>
      <c r="V78" s="29" t="n">
        <f aca="false">IF($C78=0,"",K78/$C78)</f>
        <v>-0.4</v>
      </c>
      <c r="W78" s="29" t="n">
        <f aca="false">IF($C78=0,"",M78/$C78)</f>
        <v>-0.4046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4</v>
      </c>
      <c r="D79" s="26" t="n">
        <v>2</v>
      </c>
      <c r="E79" s="26" t="n">
        <v>2</v>
      </c>
      <c r="F79" s="26" t="n">
        <v>2</v>
      </c>
      <c r="G79" s="26" t="n">
        <v>2</v>
      </c>
      <c r="H79" s="26" t="n">
        <v>2</v>
      </c>
      <c r="I79" s="26" t="n">
        <v>2</v>
      </c>
      <c r="J79" s="26" t="n">
        <v>0</v>
      </c>
      <c r="K79" s="27" t="n">
        <v>2</v>
      </c>
      <c r="L79" s="27" t="n">
        <v>0.015</v>
      </c>
      <c r="M79" s="19" t="n">
        <f aca="false">K79-L79</f>
        <v>1.985</v>
      </c>
      <c r="N79" s="26" t="n">
        <v>1</v>
      </c>
      <c r="O79" s="26" t="n">
        <v>1</v>
      </c>
      <c r="P79" s="28" t="n">
        <f aca="false">IF($C79=0,"",D79/$C79)</f>
        <v>0.5</v>
      </c>
      <c r="Q79" s="28" t="n">
        <f aca="false">IF($C79=0,"",E79/$C79)</f>
        <v>0.5</v>
      </c>
      <c r="R79" s="28" t="n">
        <f aca="false">IF($C79=0,"",F79/$C79)</f>
        <v>0.5</v>
      </c>
      <c r="S79" s="28" t="n">
        <f aca="false">IF($C79=0,"",G79/$C79)</f>
        <v>0.5</v>
      </c>
      <c r="T79" s="28" t="n">
        <f aca="false">IF($C79=0,"",H79/$C79)</f>
        <v>0.5</v>
      </c>
      <c r="U79" s="28" t="n">
        <f aca="false">IF($C79=0,"",I79/$C79)</f>
        <v>0.5</v>
      </c>
      <c r="V79" s="29" t="n">
        <f aca="false">IF($C79=0,"",K79/$C79)</f>
        <v>0.5</v>
      </c>
      <c r="W79" s="29" t="n">
        <f aca="false">IF($C79=0,"",M79/$C79)</f>
        <v>0.49625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0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0</v>
      </c>
      <c r="L80" s="27" t="n">
        <v>0</v>
      </c>
      <c r="M80" s="19" t="n">
        <f aca="false">K80-L80</f>
        <v>0</v>
      </c>
      <c r="N80" s="26" t="n">
        <v>0</v>
      </c>
      <c r="O80" s="26" t="n">
        <v>0</v>
      </c>
      <c r="P80" s="28" t="str">
        <f aca="false">IF($C80=0,"",D80/$C80)</f>
        <v/>
      </c>
      <c r="Q80" s="28" t="str">
        <f aca="false">IF($C80=0,"",E80/$C80)</f>
        <v/>
      </c>
      <c r="R80" s="28" t="str">
        <f aca="false">IF($C80=0,"",F80/$C80)</f>
        <v/>
      </c>
      <c r="S80" s="28" t="str">
        <f aca="false">IF($C80=0,"",G80/$C80)</f>
        <v/>
      </c>
      <c r="T80" s="28" t="str">
        <f aca="false">IF($C80=0,"",H80/$C80)</f>
        <v/>
      </c>
      <c r="U80" s="28" t="str">
        <f aca="false">IF($C80=0,"",I80/$C80)</f>
        <v/>
      </c>
      <c r="V80" s="29" t="str">
        <f aca="false">IF($C80=0,"",K80/$C80)</f>
        <v/>
      </c>
      <c r="W80" s="29" t="str">
        <f aca="false">IF($C80=0,"",M80/$C80)</f>
        <v/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22</v>
      </c>
      <c r="D81" s="30" t="n">
        <f aca="false">SUM(D71:D80)</f>
        <v>10</v>
      </c>
      <c r="E81" s="30" t="n">
        <f aca="false">SUM(E71:E80)</f>
        <v>10</v>
      </c>
      <c r="F81" s="30" t="n">
        <f aca="false">SUM(F71:F80)</f>
        <v>13</v>
      </c>
      <c r="G81" s="30" t="n">
        <f aca="false">SUM(G71:G80)</f>
        <v>12</v>
      </c>
      <c r="H81" s="30" t="n">
        <f aca="false">SUM(H71:H80)</f>
        <v>12</v>
      </c>
      <c r="I81" s="30" t="n">
        <f aca="false">SUM(I71:I80)</f>
        <v>10</v>
      </c>
      <c r="J81" s="30" t="n">
        <f aca="false">SUM(J71:J80)</f>
        <v>0</v>
      </c>
      <c r="K81" s="31" t="n">
        <f aca="false">SUM(K71:K80)</f>
        <v>8</v>
      </c>
      <c r="L81" s="31" t="n">
        <f aca="false">SUM(L71:L80)</f>
        <v>0.0823</v>
      </c>
      <c r="M81" s="31" t="n">
        <f aca="false">K81-L81</f>
        <v>7.9177</v>
      </c>
      <c r="N81" s="32" t="n">
        <v>3</v>
      </c>
      <c r="O81" s="32" t="n">
        <v>4</v>
      </c>
      <c r="P81" s="33" t="n">
        <f aca="false">IF($C81=0,"",D81/$C81)</f>
        <v>0.454545454545455</v>
      </c>
      <c r="Q81" s="33" t="n">
        <f aca="false">IF($C81=0,"",E81/$C81)</f>
        <v>0.454545454545455</v>
      </c>
      <c r="R81" s="33" t="n">
        <f aca="false">IF($C81=0,"",F81/$C81)</f>
        <v>0.590909090909091</v>
      </c>
      <c r="S81" s="33" t="n">
        <f aca="false">IF($C81=0,"",G81/$C81)</f>
        <v>0.545454545454545</v>
      </c>
      <c r="T81" s="33" t="n">
        <f aca="false">IF($C81=0,"",H81/$C81)</f>
        <v>0.545454545454545</v>
      </c>
      <c r="U81" s="33" t="n">
        <f aca="false">IF($C81=0,"",I81/$C81)</f>
        <v>0.454545454545455</v>
      </c>
      <c r="V81" s="34" t="n">
        <f aca="false">IF($C81=0,"",K81/$C81)</f>
        <v>0.363636363636364</v>
      </c>
      <c r="W81" s="34" t="n">
        <f aca="false">IF($C81=0,"",M81/$C81)</f>
        <v>0.359895454545455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186</v>
      </c>
      <c r="D82" s="5" t="n">
        <f aca="false">D18+D31+D44+D57+D70+D81</f>
        <v>84</v>
      </c>
      <c r="E82" s="5" t="n">
        <f aca="false">E18+E31+E44+E57+E70+E81</f>
        <v>84</v>
      </c>
      <c r="F82" s="5" t="n">
        <f aca="false">F18+F31+F44+F57+F70+F81</f>
        <v>122</v>
      </c>
      <c r="G82" s="5" t="n">
        <f aca="false">G18+G31+G44+G57+G70+G81</f>
        <v>105</v>
      </c>
      <c r="H82" s="5" t="n">
        <f aca="false">H18+H31+H44+H57+H70+H81</f>
        <v>99</v>
      </c>
      <c r="I82" s="5" t="n">
        <f aca="false">I18+I31+I44+I57+I70+I81</f>
        <v>84</v>
      </c>
      <c r="J82" s="5" t="n">
        <f aca="false">J18+J31+J44+J57+J70+J81</f>
        <v>0</v>
      </c>
      <c r="K82" s="21" t="n">
        <f aca="false">K18+K31+K44+K57+K70+K81</f>
        <v>66</v>
      </c>
      <c r="L82" s="21" t="n">
        <f aca="false">L18+L31+L44+L57+L70+L81</f>
        <v>3.2939</v>
      </c>
      <c r="M82" s="21" t="n">
        <f aca="false">K82-L82</f>
        <v>62.7061</v>
      </c>
      <c r="N82" s="35" t="n">
        <v>8</v>
      </c>
      <c r="O82" s="35" t="n">
        <v>8</v>
      </c>
      <c r="P82" s="36" t="n">
        <f aca="false">IF($C82=0,"",D82/$C82)</f>
        <v>0.451612903225806</v>
      </c>
      <c r="Q82" s="36" t="n">
        <f aca="false">IF($C82=0,"",E82/$C82)</f>
        <v>0.451612903225806</v>
      </c>
      <c r="R82" s="36" t="n">
        <f aca="false">IF($C82=0,"",F82/$C82)</f>
        <v>0.655913978494624</v>
      </c>
      <c r="S82" s="36" t="n">
        <f aca="false">IF($C82=0,"",G82/$C82)</f>
        <v>0.564516129032258</v>
      </c>
      <c r="T82" s="36" t="n">
        <f aca="false">IF($C82=0,"",H82/$C82)</f>
        <v>0.532258064516129</v>
      </c>
      <c r="U82" s="36" t="n">
        <f aca="false">IF($C82=0,"",I82/$C82)</f>
        <v>0.451612903225806</v>
      </c>
      <c r="V82" s="37" t="n">
        <f aca="false">IF($C82=0,"",K82/$C82)</f>
        <v>0.354838709677419</v>
      </c>
      <c r="W82" s="37" t="n">
        <f aca="false">IF($C82=0,"",M82/$C82)</f>
        <v>0.337129569892473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204</v>
      </c>
    </row>
    <row r="2" customFormat="false" ht="42" hidden="false" customHeight="true" outlineLevel="0" collapsed="false">
      <c r="A2" s="4" t="s">
        <v>205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5</v>
      </c>
      <c r="D6" s="26" t="n">
        <v>3</v>
      </c>
      <c r="E6" s="26" t="n">
        <v>3</v>
      </c>
      <c r="F6" s="26" t="n">
        <v>3</v>
      </c>
      <c r="G6" s="26" t="n">
        <v>3</v>
      </c>
      <c r="H6" s="26" t="n">
        <v>3</v>
      </c>
      <c r="I6" s="26" t="n">
        <v>3</v>
      </c>
      <c r="J6" s="26" t="n">
        <v>0</v>
      </c>
      <c r="K6" s="27" t="n">
        <v>1.06</v>
      </c>
      <c r="L6" s="27" t="n">
        <v>0.1003</v>
      </c>
      <c r="M6" s="19" t="n">
        <f aca="false">K6-L6</f>
        <v>0.9597</v>
      </c>
      <c r="N6" s="26" t="n">
        <v>3</v>
      </c>
      <c r="O6" s="26" t="n">
        <v>1</v>
      </c>
      <c r="P6" s="28" t="n">
        <f aca="false">IF($C6=0,"",D6/$C6)</f>
        <v>0.6</v>
      </c>
      <c r="Q6" s="28" t="n">
        <f aca="false">IF($C6=0,"",E6/$C6)</f>
        <v>0.6</v>
      </c>
      <c r="R6" s="28" t="n">
        <f aca="false">IF($C6=0,"",F6/$C6)</f>
        <v>0.6</v>
      </c>
      <c r="S6" s="28" t="n">
        <f aca="false">IF($C6=0,"",G6/$C6)</f>
        <v>0.6</v>
      </c>
      <c r="T6" s="28" t="n">
        <f aca="false">IF($C6=0,"",H6/$C6)</f>
        <v>0.6</v>
      </c>
      <c r="U6" s="28" t="n">
        <f aca="false">IF($C6=0,"",I6/$C6)</f>
        <v>0.6</v>
      </c>
      <c r="V6" s="29" t="n">
        <f aca="false">IF($C6=0,"",K6/$C6)</f>
        <v>0.212</v>
      </c>
      <c r="W6" s="29" t="n">
        <f aca="false">IF($C6=0,"",M6/$C6)</f>
        <v>0.19194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3</v>
      </c>
      <c r="D7" s="26" t="n">
        <v>2</v>
      </c>
      <c r="E7" s="26" t="n">
        <v>3</v>
      </c>
      <c r="F7" s="26" t="n">
        <v>3</v>
      </c>
      <c r="G7" s="26" t="n">
        <v>3</v>
      </c>
      <c r="H7" s="26" t="n">
        <v>3</v>
      </c>
      <c r="I7" s="26" t="n">
        <v>2</v>
      </c>
      <c r="J7" s="26" t="n">
        <v>0</v>
      </c>
      <c r="K7" s="27" t="n">
        <v>2.16</v>
      </c>
      <c r="L7" s="27" t="n">
        <v>0.0737</v>
      </c>
      <c r="M7" s="19" t="n">
        <f aca="false">K7-L7</f>
        <v>2.0863</v>
      </c>
      <c r="N7" s="26" t="n">
        <v>3</v>
      </c>
      <c r="O7" s="26" t="n">
        <v>0</v>
      </c>
      <c r="P7" s="28" t="n">
        <f aca="false">IF($C7=0,"",D7/$C7)</f>
        <v>0.666666666666667</v>
      </c>
      <c r="Q7" s="28" t="n">
        <f aca="false">IF($C7=0,"",E7/$C7)</f>
        <v>1</v>
      </c>
      <c r="R7" s="28" t="n">
        <f aca="false">IF($C7=0,"",F7/$C7)</f>
        <v>1</v>
      </c>
      <c r="S7" s="28" t="n">
        <f aca="false">IF($C7=0,"",G7/$C7)</f>
        <v>1</v>
      </c>
      <c r="T7" s="28" t="n">
        <f aca="false">IF($C7=0,"",H7/$C7)</f>
        <v>1</v>
      </c>
      <c r="U7" s="28" t="n">
        <f aca="false">IF($C7=0,"",I7/$C7)</f>
        <v>0.666666666666667</v>
      </c>
      <c r="V7" s="29" t="n">
        <f aca="false">IF($C7=0,"",K7/$C7)</f>
        <v>0.72</v>
      </c>
      <c r="W7" s="29" t="n">
        <f aca="false">IF($C7=0,"",M7/$C7)</f>
        <v>0.695433333333333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3</v>
      </c>
      <c r="D8" s="26" t="n">
        <v>2</v>
      </c>
      <c r="E8" s="26" t="n">
        <v>3</v>
      </c>
      <c r="F8" s="26" t="n">
        <v>3</v>
      </c>
      <c r="G8" s="26" t="n">
        <v>2</v>
      </c>
      <c r="H8" s="26" t="n">
        <v>2</v>
      </c>
      <c r="I8" s="26" t="n">
        <v>2</v>
      </c>
      <c r="J8" s="26" t="n">
        <v>0</v>
      </c>
      <c r="K8" s="27" t="n">
        <v>2.16</v>
      </c>
      <c r="L8" s="27" t="n">
        <v>0.0722</v>
      </c>
      <c r="M8" s="19" t="n">
        <f aca="false">K8-L8</f>
        <v>2.0878</v>
      </c>
      <c r="N8" s="26" t="n">
        <v>3</v>
      </c>
      <c r="O8" s="26" t="n">
        <v>0</v>
      </c>
      <c r="P8" s="28" t="n">
        <f aca="false">IF($C8=0,"",D8/$C8)</f>
        <v>0.666666666666667</v>
      </c>
      <c r="Q8" s="28" t="n">
        <f aca="false">IF($C8=0,"",E8/$C8)</f>
        <v>1</v>
      </c>
      <c r="R8" s="28" t="n">
        <f aca="false">IF($C8=0,"",F8/$C8)</f>
        <v>1</v>
      </c>
      <c r="S8" s="28" t="n">
        <f aca="false">IF($C8=0,"",G8/$C8)</f>
        <v>0.666666666666667</v>
      </c>
      <c r="T8" s="28" t="n">
        <f aca="false">IF($C8=0,"",H8/$C8)</f>
        <v>0.666666666666667</v>
      </c>
      <c r="U8" s="28" t="n">
        <f aca="false">IF($C8=0,"",I8/$C8)</f>
        <v>0.666666666666667</v>
      </c>
      <c r="V8" s="29" t="n">
        <f aca="false">IF($C8=0,"",K8/$C8)</f>
        <v>0.72</v>
      </c>
      <c r="W8" s="29" t="n">
        <f aca="false">IF($C8=0,"",M8/$C8)</f>
        <v>0.695933333333333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</v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7" t="n">
        <v>-2</v>
      </c>
      <c r="L9" s="27" t="n">
        <v>0.0567</v>
      </c>
      <c r="M9" s="19" t="n">
        <f aca="false">K9-L9</f>
        <v>-2.0567</v>
      </c>
      <c r="N9" s="26" t="n">
        <v>0</v>
      </c>
      <c r="O9" s="26" t="n">
        <v>2</v>
      </c>
      <c r="P9" s="28" t="n">
        <f aca="false">IF($C9=0,"",D9/$C9)</f>
        <v>0</v>
      </c>
      <c r="Q9" s="28" t="n">
        <f aca="false">IF($C9=0,"",E9/$C9)</f>
        <v>0</v>
      </c>
      <c r="R9" s="28" t="n">
        <f aca="false">IF($C9=0,"",F9/$C9)</f>
        <v>0</v>
      </c>
      <c r="S9" s="28" t="n">
        <f aca="false">IF($C9=0,"",G9/$C9)</f>
        <v>0</v>
      </c>
      <c r="T9" s="28" t="n">
        <f aca="false">IF($C9=0,"",H9/$C9)</f>
        <v>0</v>
      </c>
      <c r="U9" s="28" t="n">
        <f aca="false">IF($C9=0,"",I9/$C9)</f>
        <v>0</v>
      </c>
      <c r="V9" s="29" t="n">
        <f aca="false">IF($C9=0,"",K9/$C9)</f>
        <v>-1</v>
      </c>
      <c r="W9" s="29" t="n">
        <f aca="false">IF($C9=0,"",M9/$C9)</f>
        <v>-1.02835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</v>
      </c>
      <c r="D10" s="26" t="n">
        <v>1</v>
      </c>
      <c r="E10" s="26" t="n">
        <v>1</v>
      </c>
      <c r="F10" s="26" t="n">
        <v>1</v>
      </c>
      <c r="G10" s="26" t="n">
        <v>1</v>
      </c>
      <c r="H10" s="26" t="n">
        <v>1</v>
      </c>
      <c r="I10" s="26" t="n">
        <v>1</v>
      </c>
      <c r="J10" s="26" t="n">
        <v>0</v>
      </c>
      <c r="K10" s="27" t="n">
        <v>1.02</v>
      </c>
      <c r="L10" s="27" t="n">
        <v>0.0288</v>
      </c>
      <c r="M10" s="19" t="n">
        <f aca="false">K10-L10</f>
        <v>0.9912</v>
      </c>
      <c r="N10" s="26" t="n">
        <v>1</v>
      </c>
      <c r="O10" s="26" t="n">
        <v>0</v>
      </c>
      <c r="P10" s="28" t="n">
        <f aca="false">IF($C10=0,"",D10/$C10)</f>
        <v>1</v>
      </c>
      <c r="Q10" s="28" t="n">
        <f aca="false">IF($C10=0,"",E10/$C10)</f>
        <v>1</v>
      </c>
      <c r="R10" s="28" t="n">
        <f aca="false">IF($C10=0,"",F10/$C10)</f>
        <v>1</v>
      </c>
      <c r="S10" s="28" t="n">
        <f aca="false">IF($C10=0,"",G10/$C10)</f>
        <v>1</v>
      </c>
      <c r="T10" s="28" t="n">
        <f aca="false">IF($C10=0,"",H10/$C10)</f>
        <v>1</v>
      </c>
      <c r="U10" s="28" t="n">
        <f aca="false">IF($C10=0,"",I10/$C10)</f>
        <v>1</v>
      </c>
      <c r="V10" s="29" t="n">
        <f aca="false">IF($C10=0,"",K10/$C10)</f>
        <v>1.02</v>
      </c>
      <c r="W10" s="29" t="n">
        <f aca="false">IF($C10=0,"",M10/$C10)</f>
        <v>0.9912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5</v>
      </c>
      <c r="D11" s="26" t="n">
        <v>3</v>
      </c>
      <c r="E11" s="26" t="n">
        <v>4</v>
      </c>
      <c r="F11" s="26" t="n">
        <v>4</v>
      </c>
      <c r="G11" s="26" t="n">
        <v>3</v>
      </c>
      <c r="H11" s="26" t="n">
        <v>3</v>
      </c>
      <c r="I11" s="26" t="n">
        <v>3</v>
      </c>
      <c r="J11" s="26" t="n">
        <v>0</v>
      </c>
      <c r="K11" s="27" t="n">
        <v>2.18</v>
      </c>
      <c r="L11" s="27" t="n">
        <v>0.1686</v>
      </c>
      <c r="M11" s="19" t="n">
        <f aca="false">K11-L11</f>
        <v>2.0114</v>
      </c>
      <c r="N11" s="26" t="n">
        <v>3</v>
      </c>
      <c r="O11" s="26" t="n">
        <v>1</v>
      </c>
      <c r="P11" s="28" t="n">
        <f aca="false">IF($C11=0,"",D11/$C11)</f>
        <v>0.6</v>
      </c>
      <c r="Q11" s="28" t="n">
        <f aca="false">IF($C11=0,"",E11/$C11)</f>
        <v>0.8</v>
      </c>
      <c r="R11" s="28" t="n">
        <f aca="false">IF($C11=0,"",F11/$C11)</f>
        <v>0.8</v>
      </c>
      <c r="S11" s="28" t="n">
        <f aca="false">IF($C11=0,"",G11/$C11)</f>
        <v>0.6</v>
      </c>
      <c r="T11" s="28" t="n">
        <f aca="false">IF($C11=0,"",H11/$C11)</f>
        <v>0.6</v>
      </c>
      <c r="U11" s="28" t="n">
        <f aca="false">IF($C11=0,"",I11/$C11)</f>
        <v>0.6</v>
      </c>
      <c r="V11" s="29" t="n">
        <f aca="false">IF($C11=0,"",K11/$C11)</f>
        <v>0.436</v>
      </c>
      <c r="W11" s="29" t="n">
        <f aca="false">IF($C11=0,"",M11/$C11)</f>
        <v>0.40228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</v>
      </c>
      <c r="D12" s="26" t="n">
        <v>0</v>
      </c>
      <c r="E12" s="26" t="n">
        <v>3</v>
      </c>
      <c r="F12" s="26" t="n">
        <v>3</v>
      </c>
      <c r="G12" s="26" t="n">
        <v>3</v>
      </c>
      <c r="H12" s="26" t="n">
        <v>1</v>
      </c>
      <c r="I12" s="26" t="n">
        <v>0</v>
      </c>
      <c r="J12" s="26" t="n">
        <v>0</v>
      </c>
      <c r="K12" s="27" t="n">
        <v>-0.64</v>
      </c>
      <c r="L12" s="27" t="n">
        <v>0.1186</v>
      </c>
      <c r="M12" s="19" t="n">
        <f aca="false">K12-L12</f>
        <v>-0.7586</v>
      </c>
      <c r="N12" s="26" t="n">
        <v>3</v>
      </c>
      <c r="O12" s="26" t="n">
        <v>1</v>
      </c>
      <c r="P12" s="28" t="n">
        <f aca="false">IF($C12=0,"",D12/$C12)</f>
        <v>0</v>
      </c>
      <c r="Q12" s="28" t="n">
        <f aca="false">IF($C12=0,"",E12/$C12)</f>
        <v>0.75</v>
      </c>
      <c r="R12" s="28" t="n">
        <f aca="false">IF($C12=0,"",F12/$C12)</f>
        <v>0.75</v>
      </c>
      <c r="S12" s="28" t="n">
        <f aca="false">IF($C12=0,"",G12/$C12)</f>
        <v>0.75</v>
      </c>
      <c r="T12" s="28" t="n">
        <f aca="false">IF($C12=0,"",H12/$C12)</f>
        <v>0.25</v>
      </c>
      <c r="U12" s="28" t="n">
        <f aca="false">IF($C12=0,"",I12/$C12)</f>
        <v>0</v>
      </c>
      <c r="V12" s="29" t="n">
        <f aca="false">IF($C12=0,"",K12/$C12)</f>
        <v>-0.16</v>
      </c>
      <c r="W12" s="29" t="n">
        <f aca="false">IF($C12=0,"",M12/$C12)</f>
        <v>-0.18965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</v>
      </c>
      <c r="D13" s="26" t="n">
        <v>1</v>
      </c>
      <c r="E13" s="26" t="n">
        <v>1</v>
      </c>
      <c r="F13" s="26" t="n">
        <v>1</v>
      </c>
      <c r="G13" s="26" t="n">
        <v>1</v>
      </c>
      <c r="H13" s="26" t="n">
        <v>1</v>
      </c>
      <c r="I13" s="26" t="n">
        <v>1</v>
      </c>
      <c r="J13" s="26" t="n">
        <v>0</v>
      </c>
      <c r="K13" s="27" t="n">
        <v>0.02</v>
      </c>
      <c r="L13" s="27" t="n">
        <v>0.077</v>
      </c>
      <c r="M13" s="19" t="n">
        <f aca="false">K13-L13</f>
        <v>-0.057</v>
      </c>
      <c r="N13" s="26" t="n">
        <v>1</v>
      </c>
      <c r="O13" s="26" t="n">
        <v>1</v>
      </c>
      <c r="P13" s="28" t="n">
        <f aca="false">IF($C13=0,"",D13/$C13)</f>
        <v>0.5</v>
      </c>
      <c r="Q13" s="28" t="n">
        <f aca="false">IF($C13=0,"",E13/$C13)</f>
        <v>0.5</v>
      </c>
      <c r="R13" s="28" t="n">
        <f aca="false">IF($C13=0,"",F13/$C13)</f>
        <v>0.5</v>
      </c>
      <c r="S13" s="28" t="n">
        <f aca="false">IF($C13=0,"",G13/$C13)</f>
        <v>0.5</v>
      </c>
      <c r="T13" s="28" t="n">
        <f aca="false">IF($C13=0,"",H13/$C13)</f>
        <v>0.5</v>
      </c>
      <c r="U13" s="28" t="n">
        <f aca="false">IF($C13=0,"",I13/$C13)</f>
        <v>0.5</v>
      </c>
      <c r="V13" s="29" t="n">
        <f aca="false">IF($C13=0,"",K13/$C13)</f>
        <v>0.01</v>
      </c>
      <c r="W13" s="29" t="n">
        <f aca="false">IF($C13=0,"",M13/$C13)</f>
        <v>-0.0285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26" t="n">
        <v>1</v>
      </c>
      <c r="J14" s="26" t="n">
        <v>0</v>
      </c>
      <c r="K14" s="27" t="n">
        <v>0.02</v>
      </c>
      <c r="L14" s="27" t="n">
        <v>0.0606</v>
      </c>
      <c r="M14" s="19" t="n">
        <f aca="false">K14-L14</f>
        <v>-0.0406</v>
      </c>
      <c r="N14" s="26" t="n">
        <v>1</v>
      </c>
      <c r="O14" s="26" t="n">
        <v>1</v>
      </c>
      <c r="P14" s="28" t="n">
        <f aca="false">IF($C14=0,"",D14/$C14)</f>
        <v>0.5</v>
      </c>
      <c r="Q14" s="28" t="n">
        <f aca="false">IF($C14=0,"",E14/$C14)</f>
        <v>0.5</v>
      </c>
      <c r="R14" s="28" t="n">
        <f aca="false">IF($C14=0,"",F14/$C14)</f>
        <v>0.5</v>
      </c>
      <c r="S14" s="28" t="n">
        <f aca="false">IF($C14=0,"",G14/$C14)</f>
        <v>0.5</v>
      </c>
      <c r="T14" s="28" t="n">
        <f aca="false">IF($C14=0,"",H14/$C14)</f>
        <v>0.5</v>
      </c>
      <c r="U14" s="28" t="n">
        <f aca="false">IF($C14=0,"",I14/$C14)</f>
        <v>0.5</v>
      </c>
      <c r="V14" s="29" t="n">
        <f aca="false">IF($C14=0,"",K14/$C14)</f>
        <v>0.01</v>
      </c>
      <c r="W14" s="29" t="n">
        <f aca="false">IF($C14=0,"",M14/$C14)</f>
        <v>-0.0203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3</v>
      </c>
      <c r="D15" s="26" t="n">
        <v>2</v>
      </c>
      <c r="E15" s="26" t="n">
        <v>3</v>
      </c>
      <c r="F15" s="26" t="n">
        <v>3</v>
      </c>
      <c r="G15" s="26" t="n">
        <v>3</v>
      </c>
      <c r="H15" s="26" t="n">
        <v>2</v>
      </c>
      <c r="I15" s="26" t="n">
        <v>2</v>
      </c>
      <c r="J15" s="26" t="n">
        <v>0</v>
      </c>
      <c r="K15" s="27" t="n">
        <v>2.16</v>
      </c>
      <c r="L15" s="27" t="n">
        <v>0.0839</v>
      </c>
      <c r="M15" s="19" t="n">
        <f aca="false">K15-L15</f>
        <v>2.0761</v>
      </c>
      <c r="N15" s="26" t="n">
        <v>3</v>
      </c>
      <c r="O15" s="26" t="n">
        <v>0</v>
      </c>
      <c r="P15" s="28" t="n">
        <f aca="false">IF($C15=0,"",D15/$C15)</f>
        <v>0.666666666666667</v>
      </c>
      <c r="Q15" s="28" t="n">
        <f aca="false">IF($C15=0,"",E15/$C15)</f>
        <v>1</v>
      </c>
      <c r="R15" s="28" t="n">
        <f aca="false">IF($C15=0,"",F15/$C15)</f>
        <v>1</v>
      </c>
      <c r="S15" s="28" t="n">
        <f aca="false">IF($C15=0,"",G15/$C15)</f>
        <v>1</v>
      </c>
      <c r="T15" s="28" t="n">
        <f aca="false">IF($C15=0,"",H15/$C15)</f>
        <v>0.666666666666667</v>
      </c>
      <c r="U15" s="28" t="n">
        <f aca="false">IF($C15=0,"",I15/$C15)</f>
        <v>0.666666666666667</v>
      </c>
      <c r="V15" s="29" t="n">
        <f aca="false">IF($C15=0,"",K15/$C15)</f>
        <v>0.72</v>
      </c>
      <c r="W15" s="29" t="n">
        <f aca="false">IF($C15=0,"",M15/$C15)</f>
        <v>0.692033333333333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0</v>
      </c>
      <c r="D16" s="26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7" t="n">
        <v>0</v>
      </c>
      <c r="L16" s="27" t="n">
        <v>0</v>
      </c>
      <c r="M16" s="19" t="n">
        <f aca="false">K16-L16</f>
        <v>0</v>
      </c>
      <c r="N16" s="26" t="n">
        <v>0</v>
      </c>
      <c r="O16" s="26" t="n">
        <v>0</v>
      </c>
      <c r="P16" s="28" t="str">
        <f aca="false">IF($C16=0,"",D16/$C16)</f>
        <v/>
      </c>
      <c r="Q16" s="28" t="str">
        <f aca="false">IF($C16=0,"",E16/$C16)</f>
        <v/>
      </c>
      <c r="R16" s="28" t="str">
        <f aca="false">IF($C16=0,"",F16/$C16)</f>
        <v/>
      </c>
      <c r="S16" s="28" t="str">
        <f aca="false">IF($C16=0,"",G16/$C16)</f>
        <v/>
      </c>
      <c r="T16" s="28" t="str">
        <f aca="false">IF($C16=0,"",H16/$C16)</f>
        <v/>
      </c>
      <c r="U16" s="28" t="str">
        <f aca="false">IF($C16=0,"",I16/$C16)</f>
        <v/>
      </c>
      <c r="V16" s="29" t="str">
        <f aca="false">IF($C16=0,"",K16/$C16)</f>
        <v/>
      </c>
      <c r="W16" s="29" t="str">
        <f aca="false">IF($C16=0,"",M16/$C16)</f>
        <v/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4</v>
      </c>
      <c r="D17" s="26" t="n">
        <v>2</v>
      </c>
      <c r="E17" s="26" t="n">
        <v>4</v>
      </c>
      <c r="F17" s="26" t="n">
        <v>4</v>
      </c>
      <c r="G17" s="26" t="n">
        <v>3</v>
      </c>
      <c r="H17" s="26" t="n">
        <v>2</v>
      </c>
      <c r="I17" s="26" t="n">
        <v>2</v>
      </c>
      <c r="J17" s="26" t="n">
        <v>0</v>
      </c>
      <c r="K17" s="27" t="n">
        <v>2.28</v>
      </c>
      <c r="L17" s="27" t="n">
        <v>0.1563</v>
      </c>
      <c r="M17" s="19" t="n">
        <f aca="false">K17-L17</f>
        <v>2.1237</v>
      </c>
      <c r="N17" s="26" t="n">
        <v>4</v>
      </c>
      <c r="O17" s="26" t="n">
        <v>0</v>
      </c>
      <c r="P17" s="28" t="n">
        <f aca="false">IF($C17=0,"",D17/$C17)</f>
        <v>0.5</v>
      </c>
      <c r="Q17" s="28" t="n">
        <f aca="false">IF($C17=0,"",E17/$C17)</f>
        <v>1</v>
      </c>
      <c r="R17" s="28" t="n">
        <f aca="false">IF($C17=0,"",F17/$C17)</f>
        <v>1</v>
      </c>
      <c r="S17" s="28" t="n">
        <f aca="false">IF($C17=0,"",G17/$C17)</f>
        <v>0.75</v>
      </c>
      <c r="T17" s="28" t="n">
        <f aca="false">IF($C17=0,"",H17/$C17)</f>
        <v>0.5</v>
      </c>
      <c r="U17" s="28" t="n">
        <f aca="false">IF($C17=0,"",I17/$C17)</f>
        <v>0.5</v>
      </c>
      <c r="V17" s="29" t="n">
        <f aca="false">IF($C17=0,"",K17/$C17)</f>
        <v>0.57</v>
      </c>
      <c r="W17" s="29" t="n">
        <f aca="false">IF($C17=0,"",M17/$C17)</f>
        <v>0.530925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34</v>
      </c>
      <c r="D18" s="30" t="n">
        <f aca="false">SUM(D6:D17)</f>
        <v>17</v>
      </c>
      <c r="E18" s="30" t="n">
        <f aca="false">SUM(E6:E17)</f>
        <v>26</v>
      </c>
      <c r="F18" s="30" t="n">
        <f aca="false">SUM(F6:F17)</f>
        <v>26</v>
      </c>
      <c r="G18" s="30" t="n">
        <f aca="false">SUM(G6:G17)</f>
        <v>23</v>
      </c>
      <c r="H18" s="30" t="n">
        <f aca="false">SUM(H6:H17)</f>
        <v>19</v>
      </c>
      <c r="I18" s="30" t="n">
        <f aca="false">SUM(I6:I17)</f>
        <v>17</v>
      </c>
      <c r="J18" s="30" t="n">
        <f aca="false">SUM(J6:J17)</f>
        <v>0</v>
      </c>
      <c r="K18" s="31" t="n">
        <f aca="false">SUM(K6:K17)</f>
        <v>10.42</v>
      </c>
      <c r="L18" s="31" t="n">
        <f aca="false">SUM(L6:L17)</f>
        <v>0.9967</v>
      </c>
      <c r="M18" s="31" t="n">
        <f aca="false">K18-L18</f>
        <v>9.4233</v>
      </c>
      <c r="N18" s="32" t="n">
        <v>7</v>
      </c>
      <c r="O18" s="32" t="n">
        <v>2</v>
      </c>
      <c r="P18" s="33" t="n">
        <f aca="false">IF($C18=0,"",D18/$C18)</f>
        <v>0.5</v>
      </c>
      <c r="Q18" s="33" t="n">
        <f aca="false">IF($C18=0,"",E18/$C18)</f>
        <v>0.764705882352941</v>
      </c>
      <c r="R18" s="33" t="n">
        <f aca="false">IF($C18=0,"",F18/$C18)</f>
        <v>0.764705882352941</v>
      </c>
      <c r="S18" s="33" t="n">
        <f aca="false">IF($C18=0,"",G18/$C18)</f>
        <v>0.676470588235294</v>
      </c>
      <c r="T18" s="33" t="n">
        <f aca="false">IF($C18=0,"",H18/$C18)</f>
        <v>0.558823529411765</v>
      </c>
      <c r="U18" s="33" t="n">
        <f aca="false">IF($C18=0,"",I18/$C18)</f>
        <v>0.5</v>
      </c>
      <c r="V18" s="34" t="n">
        <f aca="false">IF($C18=0,"",K18/$C18)</f>
        <v>0.306470588235294</v>
      </c>
      <c r="W18" s="34" t="n">
        <f aca="false">IF($C18=0,"",M18/$C18)</f>
        <v>0.277155882352941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4</v>
      </c>
      <c r="D19" s="26" t="n">
        <v>3</v>
      </c>
      <c r="E19" s="26" t="n">
        <v>3</v>
      </c>
      <c r="F19" s="26" t="n">
        <v>3</v>
      </c>
      <c r="G19" s="26" t="n">
        <v>3</v>
      </c>
      <c r="H19" s="26" t="n">
        <v>3</v>
      </c>
      <c r="I19" s="26" t="n">
        <v>3</v>
      </c>
      <c r="J19" s="26" t="n">
        <v>0</v>
      </c>
      <c r="K19" s="27" t="n">
        <v>2.06</v>
      </c>
      <c r="L19" s="27" t="n">
        <v>0.1307</v>
      </c>
      <c r="M19" s="19" t="n">
        <f aca="false">K19-L19</f>
        <v>1.9293</v>
      </c>
      <c r="N19" s="26" t="n">
        <v>2</v>
      </c>
      <c r="O19" s="26" t="n">
        <v>1</v>
      </c>
      <c r="P19" s="28" t="n">
        <f aca="false">IF($C19=0,"",D19/$C19)</f>
        <v>0.75</v>
      </c>
      <c r="Q19" s="28" t="n">
        <f aca="false">IF($C19=0,"",E19/$C19)</f>
        <v>0.75</v>
      </c>
      <c r="R19" s="28" t="n">
        <f aca="false">IF($C19=0,"",F19/$C19)</f>
        <v>0.75</v>
      </c>
      <c r="S19" s="28" t="n">
        <f aca="false">IF($C19=0,"",G19/$C19)</f>
        <v>0.75</v>
      </c>
      <c r="T19" s="28" t="n">
        <f aca="false">IF($C19=0,"",H19/$C19)</f>
        <v>0.75</v>
      </c>
      <c r="U19" s="28" t="n">
        <f aca="false">IF($C19=0,"",I19/$C19)</f>
        <v>0.75</v>
      </c>
      <c r="V19" s="29" t="n">
        <f aca="false">IF($C19=0,"",K19/$C19)</f>
        <v>0.515</v>
      </c>
      <c r="W19" s="29" t="n">
        <f aca="false">IF($C19=0,"",M19/$C19)</f>
        <v>0.482325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7" t="n">
        <v>0</v>
      </c>
      <c r="L20" s="27" t="n">
        <v>0</v>
      </c>
      <c r="M20" s="19" t="n">
        <f aca="false">K20-L20</f>
        <v>0</v>
      </c>
      <c r="N20" s="26" t="n">
        <v>0</v>
      </c>
      <c r="O20" s="26" t="n">
        <v>0</v>
      </c>
      <c r="P20" s="28" t="str">
        <f aca="false">IF($C20=0,"",D20/$C20)</f>
        <v/>
      </c>
      <c r="Q20" s="28" t="str">
        <f aca="false">IF($C20=0,"",E20/$C20)</f>
        <v/>
      </c>
      <c r="R20" s="28" t="str">
        <f aca="false">IF($C20=0,"",F20/$C20)</f>
        <v/>
      </c>
      <c r="S20" s="28" t="str">
        <f aca="false">IF($C20=0,"",G20/$C20)</f>
        <v/>
      </c>
      <c r="T20" s="28" t="str">
        <f aca="false">IF($C20=0,"",H20/$C20)</f>
        <v/>
      </c>
      <c r="U20" s="28" t="str">
        <f aca="false">IF($C20=0,"",I20/$C20)</f>
        <v/>
      </c>
      <c r="V20" s="29" t="str">
        <f aca="false">IF($C20=0,"",K20/$C20)</f>
        <v/>
      </c>
      <c r="W20" s="29" t="str">
        <f aca="false">IF($C20=0,"",M20/$C20)</f>
        <v/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6</v>
      </c>
      <c r="D21" s="26" t="n">
        <v>4</v>
      </c>
      <c r="E21" s="26" t="n">
        <v>5</v>
      </c>
      <c r="F21" s="26" t="n">
        <v>5</v>
      </c>
      <c r="G21" s="26" t="n">
        <v>5</v>
      </c>
      <c r="H21" s="26" t="n">
        <v>5</v>
      </c>
      <c r="I21" s="26" t="n">
        <v>4</v>
      </c>
      <c r="J21" s="26" t="n">
        <v>0</v>
      </c>
      <c r="K21" s="27" t="n">
        <v>3.2</v>
      </c>
      <c r="L21" s="27" t="n">
        <v>0.109</v>
      </c>
      <c r="M21" s="19" t="n">
        <f aca="false">K21-L21</f>
        <v>3.091</v>
      </c>
      <c r="N21" s="26" t="n">
        <v>4</v>
      </c>
      <c r="O21" s="26" t="n">
        <v>1</v>
      </c>
      <c r="P21" s="28" t="n">
        <f aca="false">IF($C21=0,"",D21/$C21)</f>
        <v>0.666666666666667</v>
      </c>
      <c r="Q21" s="28" t="n">
        <f aca="false">IF($C21=0,"",E21/$C21)</f>
        <v>0.833333333333333</v>
      </c>
      <c r="R21" s="28" t="n">
        <f aca="false">IF($C21=0,"",F21/$C21)</f>
        <v>0.833333333333333</v>
      </c>
      <c r="S21" s="28" t="n">
        <f aca="false">IF($C21=0,"",G21/$C21)</f>
        <v>0.833333333333333</v>
      </c>
      <c r="T21" s="28" t="n">
        <f aca="false">IF($C21=0,"",H21/$C21)</f>
        <v>0.833333333333333</v>
      </c>
      <c r="U21" s="28" t="n">
        <f aca="false">IF($C21=0,"",I21/$C21)</f>
        <v>0.666666666666667</v>
      </c>
      <c r="V21" s="29" t="n">
        <f aca="false">IF($C21=0,"",K21/$C21)</f>
        <v>0.533333333333333</v>
      </c>
      <c r="W21" s="29" t="n">
        <f aca="false">IF($C21=0,"",M21/$C21)</f>
        <v>0.515166666666667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</v>
      </c>
      <c r="D22" s="26" t="n">
        <v>0</v>
      </c>
      <c r="E22" s="26" t="n">
        <v>1</v>
      </c>
      <c r="F22" s="26" t="n">
        <v>1</v>
      </c>
      <c r="G22" s="26" t="n">
        <v>0</v>
      </c>
      <c r="H22" s="26" t="n">
        <v>0</v>
      </c>
      <c r="I22" s="26" t="n">
        <v>0</v>
      </c>
      <c r="J22" s="26" t="n">
        <v>0</v>
      </c>
      <c r="K22" s="27" t="n">
        <v>0.12</v>
      </c>
      <c r="L22" s="27" t="n">
        <v>0.0188</v>
      </c>
      <c r="M22" s="19" t="n">
        <f aca="false">K22-L22</f>
        <v>0.1012</v>
      </c>
      <c r="N22" s="26" t="n">
        <v>1</v>
      </c>
      <c r="O22" s="26" t="n">
        <v>0</v>
      </c>
      <c r="P22" s="28" t="n">
        <f aca="false">IF($C22=0,"",D22/$C22)</f>
        <v>0</v>
      </c>
      <c r="Q22" s="28" t="n">
        <f aca="false">IF($C22=0,"",E22/$C22)</f>
        <v>1</v>
      </c>
      <c r="R22" s="28" t="n">
        <f aca="false">IF($C22=0,"",F22/$C22)</f>
        <v>1</v>
      </c>
      <c r="S22" s="28" t="n">
        <f aca="false">IF($C22=0,"",G22/$C22)</f>
        <v>0</v>
      </c>
      <c r="T22" s="28" t="n">
        <f aca="false">IF($C22=0,"",H22/$C22)</f>
        <v>0</v>
      </c>
      <c r="U22" s="28" t="n">
        <f aca="false">IF($C22=0,"",I22/$C22)</f>
        <v>0</v>
      </c>
      <c r="V22" s="29" t="n">
        <f aca="false">IF($C22=0,"",K22/$C22)</f>
        <v>0.12</v>
      </c>
      <c r="W22" s="29" t="n">
        <f aca="false">IF($C22=0,"",M22/$C22)</f>
        <v>0.1012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4</v>
      </c>
      <c r="D23" s="26" t="n">
        <v>0</v>
      </c>
      <c r="E23" s="26" t="n">
        <v>2</v>
      </c>
      <c r="F23" s="26" t="n">
        <v>2</v>
      </c>
      <c r="G23" s="26" t="n">
        <v>1</v>
      </c>
      <c r="H23" s="26" t="n">
        <v>0</v>
      </c>
      <c r="I23" s="26" t="n">
        <v>0</v>
      </c>
      <c r="J23" s="26" t="n">
        <v>0</v>
      </c>
      <c r="K23" s="27" t="n">
        <v>-1.76</v>
      </c>
      <c r="L23" s="27" t="n">
        <v>0.0899</v>
      </c>
      <c r="M23" s="19" t="n">
        <f aca="false">K23-L23</f>
        <v>-1.8499</v>
      </c>
      <c r="N23" s="26" t="n">
        <v>1</v>
      </c>
      <c r="O23" s="26" t="n">
        <v>2</v>
      </c>
      <c r="P23" s="28" t="n">
        <f aca="false">IF($C23=0,"",D23/$C23)</f>
        <v>0</v>
      </c>
      <c r="Q23" s="28" t="n">
        <f aca="false">IF($C23=0,"",E23/$C23)</f>
        <v>0.5</v>
      </c>
      <c r="R23" s="28" t="n">
        <f aca="false">IF($C23=0,"",F23/$C23)</f>
        <v>0.5</v>
      </c>
      <c r="S23" s="28" t="n">
        <f aca="false">IF($C23=0,"",G23/$C23)</f>
        <v>0.25</v>
      </c>
      <c r="T23" s="28" t="n">
        <f aca="false">IF($C23=0,"",H23/$C23)</f>
        <v>0</v>
      </c>
      <c r="U23" s="28" t="n">
        <f aca="false">IF($C23=0,"",I23/$C23)</f>
        <v>0</v>
      </c>
      <c r="V23" s="29" t="n">
        <f aca="false">IF($C23=0,"",K23/$C23)</f>
        <v>-0.44</v>
      </c>
      <c r="W23" s="29" t="n">
        <f aca="false">IF($C23=0,"",M23/$C23)</f>
        <v>-0.462475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4</v>
      </c>
      <c r="D24" s="26" t="n">
        <v>2</v>
      </c>
      <c r="E24" s="26" t="n">
        <v>4</v>
      </c>
      <c r="F24" s="26" t="n">
        <v>4</v>
      </c>
      <c r="G24" s="26" t="n">
        <v>2</v>
      </c>
      <c r="H24" s="26" t="n">
        <v>2</v>
      </c>
      <c r="I24" s="26" t="n">
        <v>2</v>
      </c>
      <c r="J24" s="26" t="n">
        <v>0</v>
      </c>
      <c r="K24" s="27" t="n">
        <v>2.28</v>
      </c>
      <c r="L24" s="27" t="n">
        <v>0.1625</v>
      </c>
      <c r="M24" s="19" t="n">
        <f aca="false">K24-L24</f>
        <v>2.1175</v>
      </c>
      <c r="N24" s="26" t="n">
        <v>4</v>
      </c>
      <c r="O24" s="26" t="n">
        <v>0</v>
      </c>
      <c r="P24" s="28" t="n">
        <f aca="false">IF($C24=0,"",D24/$C24)</f>
        <v>0.5</v>
      </c>
      <c r="Q24" s="28" t="n">
        <f aca="false">IF($C24=0,"",E24/$C24)</f>
        <v>1</v>
      </c>
      <c r="R24" s="28" t="n">
        <f aca="false">IF($C24=0,"",F24/$C24)</f>
        <v>1</v>
      </c>
      <c r="S24" s="28" t="n">
        <f aca="false">IF($C24=0,"",G24/$C24)</f>
        <v>0.5</v>
      </c>
      <c r="T24" s="28" t="n">
        <f aca="false">IF($C24=0,"",H24/$C24)</f>
        <v>0.5</v>
      </c>
      <c r="U24" s="28" t="n">
        <f aca="false">IF($C24=0,"",I24/$C24)</f>
        <v>0.5</v>
      </c>
      <c r="V24" s="29" t="n">
        <f aca="false">IF($C24=0,"",K24/$C24)</f>
        <v>0.57</v>
      </c>
      <c r="W24" s="29" t="n">
        <f aca="false">IF($C24=0,"",M24/$C24)</f>
        <v>0.529375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3</v>
      </c>
      <c r="D25" s="26" t="n">
        <v>2</v>
      </c>
      <c r="E25" s="26" t="n">
        <v>2</v>
      </c>
      <c r="F25" s="26" t="n">
        <v>2</v>
      </c>
      <c r="G25" s="26" t="n">
        <v>2</v>
      </c>
      <c r="H25" s="26" t="n">
        <v>2</v>
      </c>
      <c r="I25" s="26" t="n">
        <v>2</v>
      </c>
      <c r="J25" s="26" t="n">
        <v>0</v>
      </c>
      <c r="K25" s="27" t="n">
        <v>1.04</v>
      </c>
      <c r="L25" s="27" t="n">
        <v>0.0804</v>
      </c>
      <c r="M25" s="19" t="n">
        <f aca="false">K25-L25</f>
        <v>0.9596</v>
      </c>
      <c r="N25" s="26" t="n">
        <v>2</v>
      </c>
      <c r="O25" s="26" t="n">
        <v>1</v>
      </c>
      <c r="P25" s="28" t="n">
        <f aca="false">IF($C25=0,"",D25/$C25)</f>
        <v>0.666666666666667</v>
      </c>
      <c r="Q25" s="28" t="n">
        <f aca="false">IF($C25=0,"",E25/$C25)</f>
        <v>0.666666666666667</v>
      </c>
      <c r="R25" s="28" t="n">
        <f aca="false">IF($C25=0,"",F25/$C25)</f>
        <v>0.666666666666667</v>
      </c>
      <c r="S25" s="28" t="n">
        <f aca="false">IF($C25=0,"",G25/$C25)</f>
        <v>0.666666666666667</v>
      </c>
      <c r="T25" s="28" t="n">
        <f aca="false">IF($C25=0,"",H25/$C25)</f>
        <v>0.666666666666667</v>
      </c>
      <c r="U25" s="28" t="n">
        <f aca="false">IF($C25=0,"",I25/$C25)</f>
        <v>0.666666666666667</v>
      </c>
      <c r="V25" s="29" t="n">
        <f aca="false">IF($C25=0,"",K25/$C25)</f>
        <v>0.346666666666667</v>
      </c>
      <c r="W25" s="29" t="n">
        <f aca="false">IF($C25=0,"",M25/$C25)</f>
        <v>0.319866666666667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3</v>
      </c>
      <c r="D26" s="26" t="n">
        <v>3</v>
      </c>
      <c r="E26" s="26" t="n">
        <v>3</v>
      </c>
      <c r="F26" s="26" t="n">
        <v>3</v>
      </c>
      <c r="G26" s="26" t="n">
        <v>3</v>
      </c>
      <c r="H26" s="26" t="n">
        <v>3</v>
      </c>
      <c r="I26" s="26" t="n">
        <v>3</v>
      </c>
      <c r="J26" s="26" t="n">
        <v>0</v>
      </c>
      <c r="K26" s="27" t="n">
        <v>3.06</v>
      </c>
      <c r="L26" s="27" t="n">
        <v>0.1023</v>
      </c>
      <c r="M26" s="19" t="n">
        <f aca="false">K26-L26</f>
        <v>2.9577</v>
      </c>
      <c r="N26" s="26" t="n">
        <v>3</v>
      </c>
      <c r="O26" s="26" t="n">
        <v>0</v>
      </c>
      <c r="P26" s="28" t="n">
        <f aca="false">IF($C26=0,"",D26/$C26)</f>
        <v>1</v>
      </c>
      <c r="Q26" s="28" t="n">
        <f aca="false">IF($C26=0,"",E26/$C26)</f>
        <v>1</v>
      </c>
      <c r="R26" s="28" t="n">
        <f aca="false">IF($C26=0,"",F26/$C26)</f>
        <v>1</v>
      </c>
      <c r="S26" s="28" t="n">
        <f aca="false">IF($C26=0,"",G26/$C26)</f>
        <v>1</v>
      </c>
      <c r="T26" s="28" t="n">
        <f aca="false">IF($C26=0,"",H26/$C26)</f>
        <v>1</v>
      </c>
      <c r="U26" s="28" t="n">
        <f aca="false">IF($C26=0,"",I26/$C26)</f>
        <v>1</v>
      </c>
      <c r="V26" s="29" t="n">
        <f aca="false">IF($C26=0,"",K26/$C26)</f>
        <v>1.02</v>
      </c>
      <c r="W26" s="29" t="n">
        <f aca="false">IF($C26=0,"",M26/$C26)</f>
        <v>0.9859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7" t="n">
        <v>-1</v>
      </c>
      <c r="L27" s="27" t="n">
        <v>0.0214</v>
      </c>
      <c r="M27" s="19" t="n">
        <f aca="false">K27-L27</f>
        <v>-1.0214</v>
      </c>
      <c r="N27" s="26" t="n">
        <v>0</v>
      </c>
      <c r="O27" s="26" t="n">
        <v>1</v>
      </c>
      <c r="P27" s="28" t="n">
        <f aca="false">IF($C27=0,"",D27/$C27)</f>
        <v>0</v>
      </c>
      <c r="Q27" s="28" t="n">
        <f aca="false">IF($C27=0,"",E27/$C27)</f>
        <v>0</v>
      </c>
      <c r="R27" s="28" t="n">
        <f aca="false">IF($C27=0,"",F27/$C27)</f>
        <v>0</v>
      </c>
      <c r="S27" s="28" t="n">
        <f aca="false">IF($C27=0,"",G27/$C27)</f>
        <v>0</v>
      </c>
      <c r="T27" s="28" t="n">
        <f aca="false">IF($C27=0,"",H27/$C27)</f>
        <v>0</v>
      </c>
      <c r="U27" s="28" t="n">
        <f aca="false">IF($C27=0,"",I27/$C27)</f>
        <v>0</v>
      </c>
      <c r="V27" s="29" t="n">
        <f aca="false">IF($C27=0,"",K27/$C27)</f>
        <v>-1</v>
      </c>
      <c r="W27" s="29" t="n">
        <f aca="false">IF($C27=0,"",M27/$C27)</f>
        <v>-1.0214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3</v>
      </c>
      <c r="D28" s="26" t="n">
        <v>1</v>
      </c>
      <c r="E28" s="26" t="n">
        <v>3</v>
      </c>
      <c r="F28" s="26" t="n">
        <v>3</v>
      </c>
      <c r="G28" s="26" t="n">
        <v>2</v>
      </c>
      <c r="H28" s="26" t="n">
        <v>1</v>
      </c>
      <c r="I28" s="26" t="n">
        <v>1</v>
      </c>
      <c r="J28" s="26" t="n">
        <v>0</v>
      </c>
      <c r="K28" s="27" t="n">
        <v>1.26</v>
      </c>
      <c r="L28" s="27" t="n">
        <v>0.0735</v>
      </c>
      <c r="M28" s="19" t="n">
        <f aca="false">K28-L28</f>
        <v>1.1865</v>
      </c>
      <c r="N28" s="26" t="n">
        <v>3</v>
      </c>
      <c r="O28" s="26" t="n">
        <v>0</v>
      </c>
      <c r="P28" s="28" t="n">
        <f aca="false">IF($C28=0,"",D28/$C28)</f>
        <v>0.333333333333333</v>
      </c>
      <c r="Q28" s="28" t="n">
        <f aca="false">IF($C28=0,"",E28/$C28)</f>
        <v>1</v>
      </c>
      <c r="R28" s="28" t="n">
        <f aca="false">IF($C28=0,"",F28/$C28)</f>
        <v>1</v>
      </c>
      <c r="S28" s="28" t="n">
        <f aca="false">IF($C28=0,"",G28/$C28)</f>
        <v>0.666666666666667</v>
      </c>
      <c r="T28" s="28" t="n">
        <f aca="false">IF($C28=0,"",H28/$C28)</f>
        <v>0.333333333333333</v>
      </c>
      <c r="U28" s="28" t="n">
        <f aca="false">IF($C28=0,"",I28/$C28)</f>
        <v>0.333333333333333</v>
      </c>
      <c r="V28" s="29" t="n">
        <f aca="false">IF($C28=0,"",K28/$C28)</f>
        <v>0.42</v>
      </c>
      <c r="W28" s="29" t="n">
        <f aca="false">IF($C28=0,"",M28/$C28)</f>
        <v>0.3955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</v>
      </c>
      <c r="D29" s="26" t="n">
        <v>0</v>
      </c>
      <c r="E29" s="26" t="n">
        <v>2</v>
      </c>
      <c r="F29" s="26" t="n">
        <v>2</v>
      </c>
      <c r="G29" s="26" t="n">
        <v>0</v>
      </c>
      <c r="H29" s="26" t="n">
        <v>0</v>
      </c>
      <c r="I29" s="26" t="n">
        <v>0</v>
      </c>
      <c r="J29" s="26" t="n">
        <v>0</v>
      </c>
      <c r="K29" s="27" t="n">
        <v>0.24</v>
      </c>
      <c r="L29" s="27" t="n">
        <v>0.0672</v>
      </c>
      <c r="M29" s="19" t="n">
        <f aca="false">K29-L29</f>
        <v>0.1728</v>
      </c>
      <c r="N29" s="26" t="n">
        <v>2</v>
      </c>
      <c r="O29" s="26" t="n">
        <v>0</v>
      </c>
      <c r="P29" s="28" t="n">
        <f aca="false">IF($C29=0,"",D29/$C29)</f>
        <v>0</v>
      </c>
      <c r="Q29" s="28" t="n">
        <f aca="false">IF($C29=0,"",E29/$C29)</f>
        <v>1</v>
      </c>
      <c r="R29" s="28" t="n">
        <f aca="false">IF($C29=0,"",F29/$C29)</f>
        <v>1</v>
      </c>
      <c r="S29" s="28" t="n">
        <f aca="false">IF($C29=0,"",G29/$C29)</f>
        <v>0</v>
      </c>
      <c r="T29" s="28" t="n">
        <f aca="false">IF($C29=0,"",H29/$C29)</f>
        <v>0</v>
      </c>
      <c r="U29" s="28" t="n">
        <f aca="false">IF($C29=0,"",I29/$C29)</f>
        <v>0</v>
      </c>
      <c r="V29" s="29" t="n">
        <f aca="false">IF($C29=0,"",K29/$C29)</f>
        <v>0.12</v>
      </c>
      <c r="W29" s="29" t="n">
        <f aca="false">IF($C29=0,"",M29/$C29)</f>
        <v>0.0864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</v>
      </c>
      <c r="D30" s="26" t="n">
        <v>2</v>
      </c>
      <c r="E30" s="26" t="n">
        <v>2</v>
      </c>
      <c r="F30" s="26" t="n">
        <v>2</v>
      </c>
      <c r="G30" s="26" t="n">
        <v>2</v>
      </c>
      <c r="H30" s="26" t="n">
        <v>2</v>
      </c>
      <c r="I30" s="26" t="n">
        <v>2</v>
      </c>
      <c r="J30" s="26" t="n">
        <v>0</v>
      </c>
      <c r="K30" s="27" t="n">
        <v>1.04</v>
      </c>
      <c r="L30" s="27" t="n">
        <v>0.0784</v>
      </c>
      <c r="M30" s="19" t="n">
        <f aca="false">K30-L30</f>
        <v>0.9616</v>
      </c>
      <c r="N30" s="26" t="n">
        <v>1</v>
      </c>
      <c r="O30" s="26" t="n">
        <v>1</v>
      </c>
      <c r="P30" s="28" t="n">
        <f aca="false">IF($C30=0,"",D30/$C30)</f>
        <v>0.666666666666667</v>
      </c>
      <c r="Q30" s="28" t="n">
        <f aca="false">IF($C30=0,"",E30/$C30)</f>
        <v>0.666666666666667</v>
      </c>
      <c r="R30" s="28" t="n">
        <f aca="false">IF($C30=0,"",F30/$C30)</f>
        <v>0.666666666666667</v>
      </c>
      <c r="S30" s="28" t="n">
        <f aca="false">IF($C30=0,"",G30/$C30)</f>
        <v>0.666666666666667</v>
      </c>
      <c r="T30" s="28" t="n">
        <f aca="false">IF($C30=0,"",H30/$C30)</f>
        <v>0.666666666666667</v>
      </c>
      <c r="U30" s="28" t="n">
        <f aca="false">IF($C30=0,"",I30/$C30)</f>
        <v>0.666666666666667</v>
      </c>
      <c r="V30" s="29" t="n">
        <f aca="false">IF($C30=0,"",K30/$C30)</f>
        <v>0.346666666666667</v>
      </c>
      <c r="W30" s="29" t="n">
        <f aca="false">IF($C30=0,"",M30/$C30)</f>
        <v>0.320533333333333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34</v>
      </c>
      <c r="D31" s="30" t="n">
        <f aca="false">SUM(D19:D30)</f>
        <v>17</v>
      </c>
      <c r="E31" s="30" t="n">
        <f aca="false">SUM(E19:E30)</f>
        <v>27</v>
      </c>
      <c r="F31" s="30" t="n">
        <f aca="false">SUM(F19:F30)</f>
        <v>27</v>
      </c>
      <c r="G31" s="30" t="n">
        <f aca="false">SUM(G19:G30)</f>
        <v>20</v>
      </c>
      <c r="H31" s="30" t="n">
        <f aca="false">SUM(H19:H30)</f>
        <v>18</v>
      </c>
      <c r="I31" s="30" t="n">
        <f aca="false">SUM(I19:I30)</f>
        <v>17</v>
      </c>
      <c r="J31" s="30" t="n">
        <f aca="false">SUM(J19:J30)</f>
        <v>0</v>
      </c>
      <c r="K31" s="31" t="n">
        <f aca="false">SUM(K19:K30)</f>
        <v>11.54</v>
      </c>
      <c r="L31" s="31" t="n">
        <f aca="false">SUM(L19:L30)</f>
        <v>0.9341</v>
      </c>
      <c r="M31" s="31" t="n">
        <f aca="false">K31-L31</f>
        <v>10.6059</v>
      </c>
      <c r="N31" s="32" t="n">
        <v>7</v>
      </c>
      <c r="O31" s="32" t="n">
        <v>2</v>
      </c>
      <c r="P31" s="33" t="n">
        <f aca="false">IF($C31=0,"",D31/$C31)</f>
        <v>0.5</v>
      </c>
      <c r="Q31" s="33" t="n">
        <f aca="false">IF($C31=0,"",E31/$C31)</f>
        <v>0.794117647058824</v>
      </c>
      <c r="R31" s="33" t="n">
        <f aca="false">IF($C31=0,"",F31/$C31)</f>
        <v>0.794117647058824</v>
      </c>
      <c r="S31" s="33" t="n">
        <f aca="false">IF($C31=0,"",G31/$C31)</f>
        <v>0.588235294117647</v>
      </c>
      <c r="T31" s="33" t="n">
        <f aca="false">IF($C31=0,"",H31/$C31)</f>
        <v>0.529411764705882</v>
      </c>
      <c r="U31" s="33" t="n">
        <f aca="false">IF($C31=0,"",I31/$C31)</f>
        <v>0.5</v>
      </c>
      <c r="V31" s="34" t="n">
        <f aca="false">IF($C31=0,"",K31/$C31)</f>
        <v>0.339411764705882</v>
      </c>
      <c r="W31" s="34" t="n">
        <f aca="false">IF($C31=0,"",M31/$C31)</f>
        <v>0.311938235294118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</v>
      </c>
      <c r="D32" s="26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7" t="n">
        <v>-1</v>
      </c>
      <c r="L32" s="27" t="n">
        <v>0.0253</v>
      </c>
      <c r="M32" s="19" t="n">
        <f aca="false">K32-L32</f>
        <v>-1.0253</v>
      </c>
      <c r="N32" s="26" t="n">
        <v>0</v>
      </c>
      <c r="O32" s="26" t="n">
        <v>1</v>
      </c>
      <c r="P32" s="28" t="n">
        <f aca="false">IF($C32=0,"",D32/$C32)</f>
        <v>0</v>
      </c>
      <c r="Q32" s="28" t="n">
        <f aca="false">IF($C32=0,"",E32/$C32)</f>
        <v>0</v>
      </c>
      <c r="R32" s="28" t="n">
        <f aca="false">IF($C32=0,"",F32/$C32)</f>
        <v>0</v>
      </c>
      <c r="S32" s="28" t="n">
        <f aca="false">IF($C32=0,"",G32/$C32)</f>
        <v>0</v>
      </c>
      <c r="T32" s="28" t="n">
        <f aca="false">IF($C32=0,"",H32/$C32)</f>
        <v>0</v>
      </c>
      <c r="U32" s="28" t="n">
        <f aca="false">IF($C32=0,"",I32/$C32)</f>
        <v>0</v>
      </c>
      <c r="V32" s="29" t="n">
        <f aca="false">IF($C32=0,"",K32/$C32)</f>
        <v>-1</v>
      </c>
      <c r="W32" s="29" t="n">
        <f aca="false">IF($C32=0,"",M32/$C32)</f>
        <v>-1.0253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3</v>
      </c>
      <c r="D33" s="26" t="n">
        <v>1</v>
      </c>
      <c r="E33" s="26" t="n">
        <v>2</v>
      </c>
      <c r="F33" s="26" t="n">
        <v>2</v>
      </c>
      <c r="G33" s="26" t="n">
        <v>1</v>
      </c>
      <c r="H33" s="26" t="n">
        <v>1</v>
      </c>
      <c r="I33" s="26" t="n">
        <v>1</v>
      </c>
      <c r="J33" s="26" t="n">
        <v>0</v>
      </c>
      <c r="K33" s="27" t="n">
        <v>0.14</v>
      </c>
      <c r="L33" s="27" t="n">
        <v>0.0887</v>
      </c>
      <c r="M33" s="19" t="n">
        <f aca="false">K33-L33</f>
        <v>0.0513</v>
      </c>
      <c r="N33" s="26" t="n">
        <v>2</v>
      </c>
      <c r="O33" s="26" t="n">
        <v>1</v>
      </c>
      <c r="P33" s="28" t="n">
        <f aca="false">IF($C33=0,"",D33/$C33)</f>
        <v>0.333333333333333</v>
      </c>
      <c r="Q33" s="28" t="n">
        <f aca="false">IF($C33=0,"",E33/$C33)</f>
        <v>0.666666666666667</v>
      </c>
      <c r="R33" s="28" t="n">
        <f aca="false">IF($C33=0,"",F33/$C33)</f>
        <v>0.666666666666667</v>
      </c>
      <c r="S33" s="28" t="n">
        <f aca="false">IF($C33=0,"",G33/$C33)</f>
        <v>0.333333333333333</v>
      </c>
      <c r="T33" s="28" t="n">
        <f aca="false">IF($C33=0,"",H33/$C33)</f>
        <v>0.333333333333333</v>
      </c>
      <c r="U33" s="28" t="n">
        <f aca="false">IF($C33=0,"",I33/$C33)</f>
        <v>0.333333333333333</v>
      </c>
      <c r="V33" s="29" t="n">
        <f aca="false">IF($C33=0,"",K33/$C33)</f>
        <v>0.0466666666666667</v>
      </c>
      <c r="W33" s="29" t="n">
        <f aca="false">IF($C33=0,"",M33/$C33)</f>
        <v>0.0171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3</v>
      </c>
      <c r="D34" s="26" t="n">
        <v>2</v>
      </c>
      <c r="E34" s="26" t="n">
        <v>2</v>
      </c>
      <c r="F34" s="26" t="n">
        <v>2</v>
      </c>
      <c r="G34" s="26" t="n">
        <v>2</v>
      </c>
      <c r="H34" s="26" t="n">
        <v>2</v>
      </c>
      <c r="I34" s="26" t="n">
        <v>2</v>
      </c>
      <c r="J34" s="26" t="n">
        <v>0</v>
      </c>
      <c r="K34" s="27" t="n">
        <v>1.04</v>
      </c>
      <c r="L34" s="27" t="n">
        <v>0.0678</v>
      </c>
      <c r="M34" s="19" t="n">
        <f aca="false">K34-L34</f>
        <v>0.9722</v>
      </c>
      <c r="N34" s="26" t="n">
        <v>1</v>
      </c>
      <c r="O34" s="26" t="n">
        <v>1</v>
      </c>
      <c r="P34" s="28" t="n">
        <f aca="false">IF($C34=0,"",D34/$C34)</f>
        <v>0.666666666666667</v>
      </c>
      <c r="Q34" s="28" t="n">
        <f aca="false">IF($C34=0,"",E34/$C34)</f>
        <v>0.666666666666667</v>
      </c>
      <c r="R34" s="28" t="n">
        <f aca="false">IF($C34=0,"",F34/$C34)</f>
        <v>0.666666666666667</v>
      </c>
      <c r="S34" s="28" t="n">
        <f aca="false">IF($C34=0,"",G34/$C34)</f>
        <v>0.666666666666667</v>
      </c>
      <c r="T34" s="28" t="n">
        <f aca="false">IF($C34=0,"",H34/$C34)</f>
        <v>0.666666666666667</v>
      </c>
      <c r="U34" s="28" t="n">
        <f aca="false">IF($C34=0,"",I34/$C34)</f>
        <v>0.666666666666667</v>
      </c>
      <c r="V34" s="29" t="n">
        <f aca="false">IF($C34=0,"",K34/$C34)</f>
        <v>0.346666666666667</v>
      </c>
      <c r="W34" s="29" t="n">
        <f aca="false">IF($C34=0,"",M34/$C34)</f>
        <v>0.324066666666667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4</v>
      </c>
      <c r="D35" s="26" t="n">
        <v>1</v>
      </c>
      <c r="E35" s="26" t="n">
        <v>2</v>
      </c>
      <c r="F35" s="26" t="n">
        <v>2</v>
      </c>
      <c r="G35" s="26" t="n">
        <v>1</v>
      </c>
      <c r="H35" s="26" t="n">
        <v>1</v>
      </c>
      <c r="I35" s="26" t="n">
        <v>1</v>
      </c>
      <c r="J35" s="26" t="n">
        <v>0</v>
      </c>
      <c r="K35" s="27" t="n">
        <v>-0.86</v>
      </c>
      <c r="L35" s="27" t="n">
        <v>0.0931</v>
      </c>
      <c r="M35" s="19" t="n">
        <f aca="false">K35-L35</f>
        <v>-0.9531</v>
      </c>
      <c r="N35" s="26" t="n">
        <v>1</v>
      </c>
      <c r="O35" s="26" t="n">
        <v>2</v>
      </c>
      <c r="P35" s="28" t="n">
        <f aca="false">IF($C35=0,"",D35/$C35)</f>
        <v>0.25</v>
      </c>
      <c r="Q35" s="28" t="n">
        <f aca="false">IF($C35=0,"",E35/$C35)</f>
        <v>0.5</v>
      </c>
      <c r="R35" s="28" t="n">
        <f aca="false">IF($C35=0,"",F35/$C35)</f>
        <v>0.5</v>
      </c>
      <c r="S35" s="28" t="n">
        <f aca="false">IF($C35=0,"",G35/$C35)</f>
        <v>0.25</v>
      </c>
      <c r="T35" s="28" t="n">
        <f aca="false">IF($C35=0,"",H35/$C35)</f>
        <v>0.25</v>
      </c>
      <c r="U35" s="28" t="n">
        <f aca="false">IF($C35=0,"",I35/$C35)</f>
        <v>0.25</v>
      </c>
      <c r="V35" s="29" t="n">
        <f aca="false">IF($C35=0,"",K35/$C35)</f>
        <v>-0.215</v>
      </c>
      <c r="W35" s="29" t="n">
        <f aca="false">IF($C35=0,"",M35/$C35)</f>
        <v>-0.238275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</v>
      </c>
      <c r="D36" s="26" t="n">
        <v>1</v>
      </c>
      <c r="E36" s="26" t="n">
        <v>1</v>
      </c>
      <c r="F36" s="26" t="n">
        <v>1</v>
      </c>
      <c r="G36" s="26" t="n">
        <v>1</v>
      </c>
      <c r="H36" s="26" t="n">
        <v>1</v>
      </c>
      <c r="I36" s="26" t="n">
        <v>1</v>
      </c>
      <c r="J36" s="26" t="n">
        <v>0</v>
      </c>
      <c r="K36" s="27" t="n">
        <v>1.02</v>
      </c>
      <c r="L36" s="27" t="n">
        <v>0.0258</v>
      </c>
      <c r="M36" s="19" t="n">
        <f aca="false">K36-L36</f>
        <v>0.9942</v>
      </c>
      <c r="N36" s="26" t="n">
        <v>1</v>
      </c>
      <c r="O36" s="26" t="n">
        <v>0</v>
      </c>
      <c r="P36" s="28" t="n">
        <f aca="false">IF($C36=0,"",D36/$C36)</f>
        <v>1</v>
      </c>
      <c r="Q36" s="28" t="n">
        <f aca="false">IF($C36=0,"",E36/$C36)</f>
        <v>1</v>
      </c>
      <c r="R36" s="28" t="n">
        <f aca="false">IF($C36=0,"",F36/$C36)</f>
        <v>1</v>
      </c>
      <c r="S36" s="28" t="n">
        <f aca="false">IF($C36=0,"",G36/$C36)</f>
        <v>1</v>
      </c>
      <c r="T36" s="28" t="n">
        <f aca="false">IF($C36=0,"",H36/$C36)</f>
        <v>1</v>
      </c>
      <c r="U36" s="28" t="n">
        <f aca="false">IF($C36=0,"",I36/$C36)</f>
        <v>1</v>
      </c>
      <c r="V36" s="29" t="n">
        <f aca="false">IF($C36=0,"",K36/$C36)</f>
        <v>1.02</v>
      </c>
      <c r="W36" s="29" t="n">
        <f aca="false">IF($C36=0,"",M36/$C36)</f>
        <v>0.9942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</v>
      </c>
      <c r="D37" s="26" t="n">
        <v>1</v>
      </c>
      <c r="E37" s="26" t="n">
        <v>1</v>
      </c>
      <c r="F37" s="26" t="n">
        <v>1</v>
      </c>
      <c r="G37" s="26" t="n">
        <v>1</v>
      </c>
      <c r="H37" s="26" t="n">
        <v>1</v>
      </c>
      <c r="I37" s="26" t="n">
        <v>1</v>
      </c>
      <c r="J37" s="26" t="n">
        <v>0</v>
      </c>
      <c r="K37" s="27" t="n">
        <v>-1.98</v>
      </c>
      <c r="L37" s="27" t="n">
        <v>0.1418</v>
      </c>
      <c r="M37" s="19" t="n">
        <f aca="false">K37-L37</f>
        <v>-2.1218</v>
      </c>
      <c r="N37" s="26" t="n">
        <v>1</v>
      </c>
      <c r="O37" s="26" t="n">
        <v>3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0.25</v>
      </c>
      <c r="S37" s="28" t="n">
        <f aca="false">IF($C37=0,"",G37/$C37)</f>
        <v>0.25</v>
      </c>
      <c r="T37" s="28" t="n">
        <f aca="false">IF($C37=0,"",H37/$C37)</f>
        <v>0.25</v>
      </c>
      <c r="U37" s="28" t="n">
        <f aca="false">IF($C37=0,"",I37/$C37)</f>
        <v>0.25</v>
      </c>
      <c r="V37" s="29" t="n">
        <f aca="false">IF($C37=0,"",K37/$C37)</f>
        <v>-0.495</v>
      </c>
      <c r="W37" s="29" t="n">
        <f aca="false">IF($C37=0,"",M37/$C37)</f>
        <v>-0.53045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0</v>
      </c>
      <c r="D38" s="26" t="n">
        <v>0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>
        <v>0</v>
      </c>
      <c r="J38" s="26" t="n">
        <v>0</v>
      </c>
      <c r="K38" s="27" t="n">
        <v>0</v>
      </c>
      <c r="L38" s="27" t="n">
        <v>0</v>
      </c>
      <c r="M38" s="19" t="n">
        <f aca="false">K38-L38</f>
        <v>0</v>
      </c>
      <c r="N38" s="26" t="n">
        <v>0</v>
      </c>
      <c r="O38" s="26" t="n">
        <v>0</v>
      </c>
      <c r="P38" s="28" t="str">
        <f aca="false">IF($C38=0,"",D38/$C38)</f>
        <v/>
      </c>
      <c r="Q38" s="28" t="str">
        <f aca="false">IF($C38=0,"",E38/$C38)</f>
        <v/>
      </c>
      <c r="R38" s="28" t="str">
        <f aca="false">IF($C38=0,"",F38/$C38)</f>
        <v/>
      </c>
      <c r="S38" s="28" t="str">
        <f aca="false">IF($C38=0,"",G38/$C38)</f>
        <v/>
      </c>
      <c r="T38" s="28" t="str">
        <f aca="false">IF($C38=0,"",H38/$C38)</f>
        <v/>
      </c>
      <c r="U38" s="28" t="str">
        <f aca="false">IF($C38=0,"",I38/$C38)</f>
        <v/>
      </c>
      <c r="V38" s="29" t="str">
        <f aca="false">IF($C38=0,"",K38/$C38)</f>
        <v/>
      </c>
      <c r="W38" s="29" t="str">
        <f aca="false">IF($C38=0,"",M38/$C38)</f>
        <v/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3</v>
      </c>
      <c r="D39" s="26" t="n">
        <v>1</v>
      </c>
      <c r="E39" s="26" t="n">
        <v>1</v>
      </c>
      <c r="F39" s="26" t="n">
        <v>1</v>
      </c>
      <c r="G39" s="26" t="n">
        <v>1</v>
      </c>
      <c r="H39" s="26" t="n">
        <v>1</v>
      </c>
      <c r="I39" s="26" t="n">
        <v>1</v>
      </c>
      <c r="J39" s="26" t="n">
        <v>0</v>
      </c>
      <c r="K39" s="27" t="n">
        <v>-0.98</v>
      </c>
      <c r="L39" s="27" t="n">
        <v>0.1286</v>
      </c>
      <c r="M39" s="19" t="n">
        <f aca="false">K39-L39</f>
        <v>-1.1086</v>
      </c>
      <c r="N39" s="26" t="n">
        <v>1</v>
      </c>
      <c r="O39" s="26" t="n">
        <v>2</v>
      </c>
      <c r="P39" s="28" t="n">
        <f aca="false">IF($C39=0,"",D39/$C39)</f>
        <v>0.333333333333333</v>
      </c>
      <c r="Q39" s="28" t="n">
        <f aca="false">IF($C39=0,"",E39/$C39)</f>
        <v>0.333333333333333</v>
      </c>
      <c r="R39" s="28" t="n">
        <f aca="false">IF($C39=0,"",F39/$C39)</f>
        <v>0.333333333333333</v>
      </c>
      <c r="S39" s="28" t="n">
        <f aca="false">IF($C39=0,"",G39/$C39)</f>
        <v>0.333333333333333</v>
      </c>
      <c r="T39" s="28" t="n">
        <f aca="false">IF($C39=0,"",H39/$C39)</f>
        <v>0.333333333333333</v>
      </c>
      <c r="U39" s="28" t="n">
        <f aca="false">IF($C39=0,"",I39/$C39)</f>
        <v>0.333333333333333</v>
      </c>
      <c r="V39" s="29" t="n">
        <f aca="false">IF($C39=0,"",K39/$C39)</f>
        <v>-0.326666666666667</v>
      </c>
      <c r="W39" s="29" t="n">
        <f aca="false">IF($C39=0,"",M39/$C39)</f>
        <v>-0.369533333333333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5</v>
      </c>
      <c r="D40" s="26" t="n">
        <v>3</v>
      </c>
      <c r="E40" s="26" t="n">
        <v>3</v>
      </c>
      <c r="F40" s="26" t="n">
        <v>3</v>
      </c>
      <c r="G40" s="26" t="n">
        <v>3</v>
      </c>
      <c r="H40" s="26" t="n">
        <v>3</v>
      </c>
      <c r="I40" s="26" t="n">
        <v>3</v>
      </c>
      <c r="J40" s="26" t="n">
        <v>0</v>
      </c>
      <c r="K40" s="27" t="n">
        <v>1.06</v>
      </c>
      <c r="L40" s="27" t="n">
        <v>0.2845</v>
      </c>
      <c r="M40" s="19" t="n">
        <f aca="false">K40-L40</f>
        <v>0.7755</v>
      </c>
      <c r="N40" s="26" t="n">
        <v>2</v>
      </c>
      <c r="O40" s="26" t="n">
        <v>1</v>
      </c>
      <c r="P40" s="28" t="n">
        <f aca="false">IF($C40=0,"",D40/$C40)</f>
        <v>0.6</v>
      </c>
      <c r="Q40" s="28" t="n">
        <f aca="false">IF($C40=0,"",E40/$C40)</f>
        <v>0.6</v>
      </c>
      <c r="R40" s="28" t="n">
        <f aca="false">IF($C40=0,"",F40/$C40)</f>
        <v>0.6</v>
      </c>
      <c r="S40" s="28" t="n">
        <f aca="false">IF($C40=0,"",G40/$C40)</f>
        <v>0.6</v>
      </c>
      <c r="T40" s="28" t="n">
        <f aca="false">IF($C40=0,"",H40/$C40)</f>
        <v>0.6</v>
      </c>
      <c r="U40" s="28" t="n">
        <f aca="false">IF($C40=0,"",I40/$C40)</f>
        <v>0.6</v>
      </c>
      <c r="V40" s="29" t="n">
        <f aca="false">IF($C40=0,"",K40/$C40)</f>
        <v>0.212</v>
      </c>
      <c r="W40" s="29" t="n">
        <f aca="false">IF($C40=0,"",M40/$C40)</f>
        <v>0.1551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</v>
      </c>
      <c r="D41" s="26" t="n">
        <v>1</v>
      </c>
      <c r="E41" s="26" t="n">
        <v>1</v>
      </c>
      <c r="F41" s="26" t="n">
        <v>1</v>
      </c>
      <c r="G41" s="26" t="n">
        <v>1</v>
      </c>
      <c r="H41" s="26" t="n">
        <v>1</v>
      </c>
      <c r="I41" s="26" t="n">
        <v>1</v>
      </c>
      <c r="J41" s="26" t="n">
        <v>0</v>
      </c>
      <c r="K41" s="27" t="n">
        <v>1.02</v>
      </c>
      <c r="L41" s="27" t="n">
        <v>0.0376</v>
      </c>
      <c r="M41" s="19" t="n">
        <f aca="false">K41-L41</f>
        <v>0.9824</v>
      </c>
      <c r="N41" s="26" t="n">
        <v>1</v>
      </c>
      <c r="O41" s="26" t="n">
        <v>0</v>
      </c>
      <c r="P41" s="28" t="n">
        <f aca="false">IF($C41=0,"",D41/$C41)</f>
        <v>1</v>
      </c>
      <c r="Q41" s="28" t="n">
        <f aca="false">IF($C41=0,"",E41/$C41)</f>
        <v>1</v>
      </c>
      <c r="R41" s="28" t="n">
        <f aca="false">IF($C41=0,"",F41/$C41)</f>
        <v>1</v>
      </c>
      <c r="S41" s="28" t="n">
        <f aca="false">IF($C41=0,"",G41/$C41)</f>
        <v>1</v>
      </c>
      <c r="T41" s="28" t="n">
        <f aca="false">IF($C41=0,"",H41/$C41)</f>
        <v>1</v>
      </c>
      <c r="U41" s="28" t="n">
        <f aca="false">IF($C41=0,"",I41/$C41)</f>
        <v>1</v>
      </c>
      <c r="V41" s="29" t="n">
        <f aca="false">IF($C41=0,"",K41/$C41)</f>
        <v>1.02</v>
      </c>
      <c r="W41" s="29" t="n">
        <f aca="false">IF($C41=0,"",M41/$C41)</f>
        <v>0.9824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3</v>
      </c>
      <c r="D42" s="26" t="n">
        <v>1</v>
      </c>
      <c r="E42" s="26" t="n">
        <v>3</v>
      </c>
      <c r="F42" s="26" t="n">
        <v>3</v>
      </c>
      <c r="G42" s="26" t="n">
        <v>2</v>
      </c>
      <c r="H42" s="26" t="n">
        <v>1</v>
      </c>
      <c r="I42" s="26" t="n">
        <v>1</v>
      </c>
      <c r="J42" s="26" t="n">
        <v>0</v>
      </c>
      <c r="K42" s="27" t="n">
        <v>1.26</v>
      </c>
      <c r="L42" s="27" t="n">
        <v>0.0652</v>
      </c>
      <c r="M42" s="19" t="n">
        <f aca="false">K42-L42</f>
        <v>1.1948</v>
      </c>
      <c r="N42" s="26" t="n">
        <v>3</v>
      </c>
      <c r="O42" s="26" t="n">
        <v>0</v>
      </c>
      <c r="P42" s="28" t="n">
        <f aca="false">IF($C42=0,"",D42/$C42)</f>
        <v>0.333333333333333</v>
      </c>
      <c r="Q42" s="28" t="n">
        <f aca="false">IF($C42=0,"",E42/$C42)</f>
        <v>1</v>
      </c>
      <c r="R42" s="28" t="n">
        <f aca="false">IF($C42=0,"",F42/$C42)</f>
        <v>1</v>
      </c>
      <c r="S42" s="28" t="n">
        <f aca="false">IF($C42=0,"",G42/$C42)</f>
        <v>0.666666666666667</v>
      </c>
      <c r="T42" s="28" t="n">
        <f aca="false">IF($C42=0,"",H42/$C42)</f>
        <v>0.333333333333333</v>
      </c>
      <c r="U42" s="28" t="n">
        <f aca="false">IF($C42=0,"",I42/$C42)</f>
        <v>0.333333333333333</v>
      </c>
      <c r="V42" s="29" t="n">
        <f aca="false">IF($C42=0,"",K42/$C42)</f>
        <v>0.42</v>
      </c>
      <c r="W42" s="29" t="n">
        <f aca="false">IF($C42=0,"",M42/$C42)</f>
        <v>0.398266666666667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</v>
      </c>
      <c r="D43" s="26" t="n">
        <v>1</v>
      </c>
      <c r="E43" s="26" t="n">
        <v>2</v>
      </c>
      <c r="F43" s="26" t="n">
        <v>2</v>
      </c>
      <c r="G43" s="26" t="n">
        <v>1</v>
      </c>
      <c r="H43" s="26" t="n">
        <v>1</v>
      </c>
      <c r="I43" s="26" t="n">
        <v>1</v>
      </c>
      <c r="J43" s="26" t="n">
        <v>0</v>
      </c>
      <c r="K43" s="27" t="n">
        <v>1.14</v>
      </c>
      <c r="L43" s="27" t="n">
        <v>0.0189</v>
      </c>
      <c r="M43" s="19" t="n">
        <f aca="false">K43-L43</f>
        <v>1.1211</v>
      </c>
      <c r="N43" s="26" t="n">
        <v>2</v>
      </c>
      <c r="O43" s="26" t="n">
        <v>0</v>
      </c>
      <c r="P43" s="28" t="n">
        <f aca="false">IF($C43=0,"",D43/$C43)</f>
        <v>0.5</v>
      </c>
      <c r="Q43" s="28" t="n">
        <f aca="false">IF($C43=0,"",E43/$C43)</f>
        <v>1</v>
      </c>
      <c r="R43" s="28" t="n">
        <f aca="false">IF($C43=0,"",F43/$C43)</f>
        <v>1</v>
      </c>
      <c r="S43" s="28" t="n">
        <f aca="false">IF($C43=0,"",G43/$C43)</f>
        <v>0.5</v>
      </c>
      <c r="T43" s="28" t="n">
        <f aca="false">IF($C43=0,"",H43/$C43)</f>
        <v>0.5</v>
      </c>
      <c r="U43" s="28" t="n">
        <f aca="false">IF($C43=0,"",I43/$C43)</f>
        <v>0.5</v>
      </c>
      <c r="V43" s="29" t="n">
        <f aca="false">IF($C43=0,"",K43/$C43)</f>
        <v>0.57</v>
      </c>
      <c r="W43" s="29" t="n">
        <f aca="false">IF($C43=0,"",M43/$C43)</f>
        <v>0.56055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30</v>
      </c>
      <c r="D44" s="30" t="n">
        <f aca="false">SUM(D32:D43)</f>
        <v>13</v>
      </c>
      <c r="E44" s="30" t="n">
        <f aca="false">SUM(E32:E43)</f>
        <v>18</v>
      </c>
      <c r="F44" s="30" t="n">
        <f aca="false">SUM(F32:F43)</f>
        <v>18</v>
      </c>
      <c r="G44" s="30" t="n">
        <f aca="false">SUM(G32:G43)</f>
        <v>14</v>
      </c>
      <c r="H44" s="30" t="n">
        <f aca="false">SUM(H32:H43)</f>
        <v>13</v>
      </c>
      <c r="I44" s="30" t="n">
        <f aca="false">SUM(I32:I43)</f>
        <v>13</v>
      </c>
      <c r="J44" s="30" t="n">
        <f aca="false">SUM(J32:J43)</f>
        <v>0</v>
      </c>
      <c r="K44" s="31" t="n">
        <f aca="false">SUM(K32:K43)</f>
        <v>1.86</v>
      </c>
      <c r="L44" s="31" t="n">
        <f aca="false">SUM(L32:L43)</f>
        <v>0.9773</v>
      </c>
      <c r="M44" s="31" t="n">
        <f aca="false">K44-L44</f>
        <v>0.8827</v>
      </c>
      <c r="N44" s="32" t="n">
        <v>7</v>
      </c>
      <c r="O44" s="32" t="n">
        <v>3</v>
      </c>
      <c r="P44" s="33" t="n">
        <f aca="false">IF($C44=0,"",D44/$C44)</f>
        <v>0.433333333333333</v>
      </c>
      <c r="Q44" s="33" t="n">
        <f aca="false">IF($C44=0,"",E44/$C44)</f>
        <v>0.6</v>
      </c>
      <c r="R44" s="33" t="n">
        <f aca="false">IF($C44=0,"",F44/$C44)</f>
        <v>0.6</v>
      </c>
      <c r="S44" s="33" t="n">
        <f aca="false">IF($C44=0,"",G44/$C44)</f>
        <v>0.466666666666667</v>
      </c>
      <c r="T44" s="33" t="n">
        <f aca="false">IF($C44=0,"",H44/$C44)</f>
        <v>0.433333333333333</v>
      </c>
      <c r="U44" s="33" t="n">
        <f aca="false">IF($C44=0,"",I44/$C44)</f>
        <v>0.433333333333333</v>
      </c>
      <c r="V44" s="34" t="n">
        <f aca="false">IF($C44=0,"",K44/$C44)</f>
        <v>0.062</v>
      </c>
      <c r="W44" s="34" t="n">
        <f aca="false">IF($C44=0,"",M44/$C44)</f>
        <v>0.0294233333333333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4</v>
      </c>
      <c r="D45" s="26" t="n">
        <v>0</v>
      </c>
      <c r="E45" s="26" t="n">
        <v>1</v>
      </c>
      <c r="F45" s="26" t="n">
        <v>1</v>
      </c>
      <c r="G45" s="26" t="n">
        <v>1</v>
      </c>
      <c r="H45" s="26" t="n">
        <v>1</v>
      </c>
      <c r="I45" s="26" t="n">
        <v>0</v>
      </c>
      <c r="J45" s="26" t="n">
        <v>0</v>
      </c>
      <c r="K45" s="27" t="n">
        <v>-2.88</v>
      </c>
      <c r="L45" s="27" t="n">
        <v>0.0418</v>
      </c>
      <c r="M45" s="19" t="n">
        <f aca="false">K45-L45</f>
        <v>-2.9218</v>
      </c>
      <c r="N45" s="26" t="n">
        <v>1</v>
      </c>
      <c r="O45" s="26" t="n">
        <v>3</v>
      </c>
      <c r="P45" s="28" t="n">
        <f aca="false">IF($C45=0,"",D45/$C45)</f>
        <v>0</v>
      </c>
      <c r="Q45" s="28" t="n">
        <f aca="false">IF($C45=0,"",E45/$C45)</f>
        <v>0.25</v>
      </c>
      <c r="R45" s="28" t="n">
        <f aca="false">IF($C45=0,"",F45/$C45)</f>
        <v>0.25</v>
      </c>
      <c r="S45" s="28" t="n">
        <f aca="false">IF($C45=0,"",G45/$C45)</f>
        <v>0.25</v>
      </c>
      <c r="T45" s="28" t="n">
        <f aca="false">IF($C45=0,"",H45/$C45)</f>
        <v>0.25</v>
      </c>
      <c r="U45" s="28" t="n">
        <f aca="false">IF($C45=0,"",I45/$C45)</f>
        <v>0</v>
      </c>
      <c r="V45" s="29" t="n">
        <f aca="false">IF($C45=0,"",K45/$C45)</f>
        <v>-0.72</v>
      </c>
      <c r="W45" s="29" t="n">
        <f aca="false">IF($C45=0,"",M45/$C45)</f>
        <v>-0.73045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6</v>
      </c>
      <c r="D46" s="26" t="n">
        <v>2</v>
      </c>
      <c r="E46" s="26" t="n">
        <v>4</v>
      </c>
      <c r="F46" s="26" t="n">
        <v>4</v>
      </c>
      <c r="G46" s="26" t="n">
        <v>3</v>
      </c>
      <c r="H46" s="26" t="n">
        <v>2</v>
      </c>
      <c r="I46" s="26" t="n">
        <v>2</v>
      </c>
      <c r="J46" s="26" t="n">
        <v>0</v>
      </c>
      <c r="K46" s="27" t="n">
        <v>0.28</v>
      </c>
      <c r="L46" s="27" t="n">
        <v>0.0987</v>
      </c>
      <c r="M46" s="19" t="n">
        <f aca="false">K46-L46</f>
        <v>0.1813</v>
      </c>
      <c r="N46" s="26" t="n">
        <v>2</v>
      </c>
      <c r="O46" s="26" t="n">
        <v>1</v>
      </c>
      <c r="P46" s="28" t="n">
        <f aca="false">IF($C46=0,"",D46/$C46)</f>
        <v>0.333333333333333</v>
      </c>
      <c r="Q46" s="28" t="n">
        <f aca="false">IF($C46=0,"",E46/$C46)</f>
        <v>0.666666666666667</v>
      </c>
      <c r="R46" s="28" t="n">
        <f aca="false">IF($C46=0,"",F46/$C46)</f>
        <v>0.666666666666667</v>
      </c>
      <c r="S46" s="28" t="n">
        <f aca="false">IF($C46=0,"",G46/$C46)</f>
        <v>0.5</v>
      </c>
      <c r="T46" s="28" t="n">
        <f aca="false">IF($C46=0,"",H46/$C46)</f>
        <v>0.333333333333333</v>
      </c>
      <c r="U46" s="28" t="n">
        <f aca="false">IF($C46=0,"",I46/$C46)</f>
        <v>0.333333333333333</v>
      </c>
      <c r="V46" s="29" t="n">
        <f aca="false">IF($C46=0,"",K46/$C46)</f>
        <v>0.0466666666666667</v>
      </c>
      <c r="W46" s="29" t="n">
        <f aca="false">IF($C46=0,"",M46/$C46)</f>
        <v>0.0302166666666667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</v>
      </c>
      <c r="D47" s="26" t="n">
        <v>1</v>
      </c>
      <c r="E47" s="26" t="n">
        <v>2</v>
      </c>
      <c r="F47" s="26" t="n">
        <v>2</v>
      </c>
      <c r="G47" s="26" t="n">
        <v>2</v>
      </c>
      <c r="H47" s="26" t="n">
        <v>2</v>
      </c>
      <c r="I47" s="26" t="n">
        <v>1</v>
      </c>
      <c r="J47" s="26" t="n">
        <v>0</v>
      </c>
      <c r="K47" s="27" t="n">
        <v>1.14</v>
      </c>
      <c r="L47" s="27" t="n">
        <v>0.0264</v>
      </c>
      <c r="M47" s="19" t="n">
        <f aca="false">K47-L47</f>
        <v>1.1136</v>
      </c>
      <c r="N47" s="26" t="n">
        <v>2</v>
      </c>
      <c r="O47" s="26" t="n">
        <v>0</v>
      </c>
      <c r="P47" s="28" t="n">
        <f aca="false">IF($C47=0,"",D47/$C47)</f>
        <v>0.5</v>
      </c>
      <c r="Q47" s="28" t="n">
        <f aca="false">IF($C47=0,"",E47/$C47)</f>
        <v>1</v>
      </c>
      <c r="R47" s="28" t="n">
        <f aca="false">IF($C47=0,"",F47/$C47)</f>
        <v>1</v>
      </c>
      <c r="S47" s="28" t="n">
        <f aca="false">IF($C47=0,"",G47/$C47)</f>
        <v>1</v>
      </c>
      <c r="T47" s="28" t="n">
        <f aca="false">IF($C47=0,"",H47/$C47)</f>
        <v>1</v>
      </c>
      <c r="U47" s="28" t="n">
        <f aca="false">IF($C47=0,"",I47/$C47)</f>
        <v>0.5</v>
      </c>
      <c r="V47" s="29" t="n">
        <f aca="false">IF($C47=0,"",K47/$C47)</f>
        <v>0.57</v>
      </c>
      <c r="W47" s="29" t="n">
        <f aca="false">IF($C47=0,"",M47/$C47)</f>
        <v>0.5568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</v>
      </c>
      <c r="D48" s="26" t="n">
        <v>1</v>
      </c>
      <c r="E48" s="26" t="n">
        <v>1</v>
      </c>
      <c r="F48" s="26" t="n">
        <v>1</v>
      </c>
      <c r="G48" s="26" t="n">
        <v>1</v>
      </c>
      <c r="H48" s="26" t="n">
        <v>1</v>
      </c>
      <c r="I48" s="26" t="n">
        <v>1</v>
      </c>
      <c r="J48" s="26" t="n">
        <v>0</v>
      </c>
      <c r="K48" s="27" t="n">
        <v>0.02</v>
      </c>
      <c r="L48" s="27" t="n">
        <v>0.0253</v>
      </c>
      <c r="M48" s="19" t="n">
        <f aca="false">K48-L48</f>
        <v>-0.0053</v>
      </c>
      <c r="N48" s="26" t="n">
        <v>1</v>
      </c>
      <c r="O48" s="26" t="n">
        <v>1</v>
      </c>
      <c r="P48" s="28" t="n">
        <f aca="false">IF($C48=0,"",D48/$C48)</f>
        <v>0.5</v>
      </c>
      <c r="Q48" s="28" t="n">
        <f aca="false">IF($C48=0,"",E48/$C48)</f>
        <v>0.5</v>
      </c>
      <c r="R48" s="28" t="n">
        <f aca="false">IF($C48=0,"",F48/$C48)</f>
        <v>0.5</v>
      </c>
      <c r="S48" s="28" t="n">
        <f aca="false">IF($C48=0,"",G48/$C48)</f>
        <v>0.5</v>
      </c>
      <c r="T48" s="28" t="n">
        <f aca="false">IF($C48=0,"",H48/$C48)</f>
        <v>0.5</v>
      </c>
      <c r="U48" s="28" t="n">
        <f aca="false">IF($C48=0,"",I48/$C48)</f>
        <v>0.5</v>
      </c>
      <c r="V48" s="29" t="n">
        <f aca="false">IF($C48=0,"",K48/$C48)</f>
        <v>0.01</v>
      </c>
      <c r="W48" s="29" t="n">
        <f aca="false">IF($C48=0,"",M48/$C48)</f>
        <v>-0.00265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</v>
      </c>
      <c r="D49" s="26" t="n">
        <v>1</v>
      </c>
      <c r="E49" s="26" t="n">
        <v>1</v>
      </c>
      <c r="F49" s="26" t="n">
        <v>1</v>
      </c>
      <c r="G49" s="26" t="n">
        <v>1</v>
      </c>
      <c r="H49" s="26" t="n">
        <v>1</v>
      </c>
      <c r="I49" s="26" t="n">
        <v>1</v>
      </c>
      <c r="J49" s="26" t="n">
        <v>0</v>
      </c>
      <c r="K49" s="27" t="n">
        <v>-0.98</v>
      </c>
      <c r="L49" s="27" t="n">
        <v>0.0263</v>
      </c>
      <c r="M49" s="19" t="n">
        <f aca="false">K49-L49</f>
        <v>-1.0063</v>
      </c>
      <c r="N49" s="26" t="n">
        <v>1</v>
      </c>
      <c r="O49" s="26" t="n">
        <v>1</v>
      </c>
      <c r="P49" s="28" t="n">
        <f aca="false">IF($C49=0,"",D49/$C49)</f>
        <v>0.333333333333333</v>
      </c>
      <c r="Q49" s="28" t="n">
        <f aca="false">IF($C49=0,"",E49/$C49)</f>
        <v>0.333333333333333</v>
      </c>
      <c r="R49" s="28" t="n">
        <f aca="false">IF($C49=0,"",F49/$C49)</f>
        <v>0.333333333333333</v>
      </c>
      <c r="S49" s="28" t="n">
        <f aca="false">IF($C49=0,"",G49/$C49)</f>
        <v>0.333333333333333</v>
      </c>
      <c r="T49" s="28" t="n">
        <f aca="false">IF($C49=0,"",H49/$C49)</f>
        <v>0.333333333333333</v>
      </c>
      <c r="U49" s="28" t="n">
        <f aca="false">IF($C49=0,"",I49/$C49)</f>
        <v>0.333333333333333</v>
      </c>
      <c r="V49" s="29" t="n">
        <f aca="false">IF($C49=0,"",K49/$C49)</f>
        <v>-0.326666666666667</v>
      </c>
      <c r="W49" s="29" t="n">
        <f aca="false">IF($C49=0,"",M49/$C49)</f>
        <v>-0.335433333333333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8</v>
      </c>
      <c r="D50" s="26" t="n">
        <v>2</v>
      </c>
      <c r="E50" s="26" t="n">
        <v>6</v>
      </c>
      <c r="F50" s="26" t="n">
        <v>6</v>
      </c>
      <c r="G50" s="26" t="n">
        <v>4</v>
      </c>
      <c r="H50" s="26" t="n">
        <v>2</v>
      </c>
      <c r="I50" s="26" t="n">
        <v>2</v>
      </c>
      <c r="J50" s="26" t="n">
        <v>0</v>
      </c>
      <c r="K50" s="27" t="n">
        <v>0.52</v>
      </c>
      <c r="L50" s="27" t="n">
        <v>0.072</v>
      </c>
      <c r="M50" s="19" t="n">
        <f aca="false">K50-L50</f>
        <v>0.448</v>
      </c>
      <c r="N50" s="26" t="n">
        <v>4</v>
      </c>
      <c r="O50" s="26" t="n">
        <v>1</v>
      </c>
      <c r="P50" s="28" t="n">
        <f aca="false">IF($C50=0,"",D50/$C50)</f>
        <v>0.25</v>
      </c>
      <c r="Q50" s="28" t="n">
        <f aca="false">IF($C50=0,"",E50/$C50)</f>
        <v>0.75</v>
      </c>
      <c r="R50" s="28" t="n">
        <f aca="false">IF($C50=0,"",F50/$C50)</f>
        <v>0.75</v>
      </c>
      <c r="S50" s="28" t="n">
        <f aca="false">IF($C50=0,"",G50/$C50)</f>
        <v>0.5</v>
      </c>
      <c r="T50" s="28" t="n">
        <f aca="false">IF($C50=0,"",H50/$C50)</f>
        <v>0.25</v>
      </c>
      <c r="U50" s="28" t="n">
        <f aca="false">IF($C50=0,"",I50/$C50)</f>
        <v>0.25</v>
      </c>
      <c r="V50" s="29" t="n">
        <f aca="false">IF($C50=0,"",K50/$C50)</f>
        <v>0.065</v>
      </c>
      <c r="W50" s="29" t="n">
        <f aca="false">IF($C50=0,"",M50/$C50)</f>
        <v>0.056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3</v>
      </c>
      <c r="D51" s="26" t="n">
        <v>1</v>
      </c>
      <c r="E51" s="26" t="n">
        <v>2</v>
      </c>
      <c r="F51" s="26" t="n">
        <v>2</v>
      </c>
      <c r="G51" s="26" t="n">
        <v>2</v>
      </c>
      <c r="H51" s="26" t="n">
        <v>2</v>
      </c>
      <c r="I51" s="26" t="n">
        <v>1</v>
      </c>
      <c r="J51" s="26" t="n">
        <v>0</v>
      </c>
      <c r="K51" s="27" t="n">
        <v>0.14</v>
      </c>
      <c r="L51" s="27" t="n">
        <v>0.0348</v>
      </c>
      <c r="M51" s="19" t="n">
        <f aca="false">K51-L51</f>
        <v>0.1052</v>
      </c>
      <c r="N51" s="26" t="n">
        <v>2</v>
      </c>
      <c r="O51" s="26" t="n">
        <v>1</v>
      </c>
      <c r="P51" s="28" t="n">
        <f aca="false">IF($C51=0,"",D51/$C51)</f>
        <v>0.333333333333333</v>
      </c>
      <c r="Q51" s="28" t="n">
        <f aca="false">IF($C51=0,"",E51/$C51)</f>
        <v>0.666666666666667</v>
      </c>
      <c r="R51" s="28" t="n">
        <f aca="false">IF($C51=0,"",F51/$C51)</f>
        <v>0.666666666666667</v>
      </c>
      <c r="S51" s="28" t="n">
        <f aca="false">IF($C51=0,"",G51/$C51)</f>
        <v>0.666666666666667</v>
      </c>
      <c r="T51" s="28" t="n">
        <f aca="false">IF($C51=0,"",H51/$C51)</f>
        <v>0.666666666666667</v>
      </c>
      <c r="U51" s="28" t="n">
        <f aca="false">IF($C51=0,"",I51/$C51)</f>
        <v>0.333333333333333</v>
      </c>
      <c r="V51" s="29" t="n">
        <f aca="false">IF($C51=0,"",K51/$C51)</f>
        <v>0.0466666666666667</v>
      </c>
      <c r="W51" s="29" t="n">
        <f aca="false">IF($C51=0,"",M51/$C51)</f>
        <v>0.0350666666666667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</v>
      </c>
      <c r="D52" s="26" t="n">
        <v>1</v>
      </c>
      <c r="E52" s="26" t="n">
        <v>1</v>
      </c>
      <c r="F52" s="26" t="n">
        <v>1</v>
      </c>
      <c r="G52" s="26" t="n">
        <v>1</v>
      </c>
      <c r="H52" s="26" t="n">
        <v>1</v>
      </c>
      <c r="I52" s="26" t="n">
        <v>1</v>
      </c>
      <c r="J52" s="26" t="n">
        <v>0</v>
      </c>
      <c r="K52" s="27" t="n">
        <v>0.02</v>
      </c>
      <c r="L52" s="27" t="n">
        <v>0.0226</v>
      </c>
      <c r="M52" s="19" t="n">
        <f aca="false">K52-L52</f>
        <v>-0.0026</v>
      </c>
      <c r="N52" s="26" t="n">
        <v>1</v>
      </c>
      <c r="O52" s="26" t="n">
        <v>1</v>
      </c>
      <c r="P52" s="28" t="n">
        <f aca="false">IF($C52=0,"",D52/$C52)</f>
        <v>0.5</v>
      </c>
      <c r="Q52" s="28" t="n">
        <f aca="false">IF($C52=0,"",E52/$C52)</f>
        <v>0.5</v>
      </c>
      <c r="R52" s="28" t="n">
        <f aca="false">IF($C52=0,"",F52/$C52)</f>
        <v>0.5</v>
      </c>
      <c r="S52" s="28" t="n">
        <f aca="false">IF($C52=0,"",G52/$C52)</f>
        <v>0.5</v>
      </c>
      <c r="T52" s="28" t="n">
        <f aca="false">IF($C52=0,"",H52/$C52)</f>
        <v>0.5</v>
      </c>
      <c r="U52" s="28" t="n">
        <f aca="false">IF($C52=0,"",I52/$C52)</f>
        <v>0.5</v>
      </c>
      <c r="V52" s="29" t="n">
        <f aca="false">IF($C52=0,"",K52/$C52)</f>
        <v>0.01</v>
      </c>
      <c r="W52" s="29" t="n">
        <f aca="false">IF($C52=0,"",M52/$C52)</f>
        <v>-0.0013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7" t="n">
        <v>-1</v>
      </c>
      <c r="L53" s="27" t="n">
        <v>0.0074</v>
      </c>
      <c r="M53" s="19" t="n">
        <f aca="false">K53-L53</f>
        <v>-1.0074</v>
      </c>
      <c r="N53" s="26" t="n">
        <v>0</v>
      </c>
      <c r="O53" s="26" t="n">
        <v>1</v>
      </c>
      <c r="P53" s="28" t="n">
        <f aca="false">IF($C53=0,"",D53/$C53)</f>
        <v>0</v>
      </c>
      <c r="Q53" s="28" t="n">
        <f aca="false">IF($C53=0,"",E53/$C53)</f>
        <v>0</v>
      </c>
      <c r="R53" s="28" t="n">
        <f aca="false">IF($C53=0,"",F53/$C53)</f>
        <v>0</v>
      </c>
      <c r="S53" s="28" t="n">
        <f aca="false">IF($C53=0,"",G53/$C53)</f>
        <v>0</v>
      </c>
      <c r="T53" s="28" t="n">
        <f aca="false">IF($C53=0,"",H53/$C53)</f>
        <v>0</v>
      </c>
      <c r="U53" s="28" t="n">
        <f aca="false">IF($C53=0,"",I53/$C53)</f>
        <v>0</v>
      </c>
      <c r="V53" s="29" t="n">
        <f aca="false">IF($C53=0,"",K53/$C53)</f>
        <v>-1</v>
      </c>
      <c r="W53" s="29" t="n">
        <f aca="false">IF($C53=0,"",M53/$C53)</f>
        <v>-1.0074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</v>
      </c>
      <c r="D54" s="26" t="n">
        <v>0</v>
      </c>
      <c r="E54" s="26" t="n">
        <v>2</v>
      </c>
      <c r="F54" s="26" t="n">
        <v>2</v>
      </c>
      <c r="G54" s="26" t="n">
        <v>1</v>
      </c>
      <c r="H54" s="26" t="n">
        <v>0</v>
      </c>
      <c r="I54" s="26" t="n">
        <v>0</v>
      </c>
      <c r="J54" s="26" t="n">
        <v>0</v>
      </c>
      <c r="K54" s="27" t="n">
        <v>0.24</v>
      </c>
      <c r="L54" s="27" t="n">
        <v>0.0153</v>
      </c>
      <c r="M54" s="19" t="n">
        <f aca="false">K54-L54</f>
        <v>0.2247</v>
      </c>
      <c r="N54" s="26" t="n">
        <v>2</v>
      </c>
      <c r="O54" s="26" t="n">
        <v>0</v>
      </c>
      <c r="P54" s="28" t="n">
        <f aca="false">IF($C54=0,"",D54/$C54)</f>
        <v>0</v>
      </c>
      <c r="Q54" s="28" t="n">
        <f aca="false">IF($C54=0,"",E54/$C54)</f>
        <v>1</v>
      </c>
      <c r="R54" s="28" t="n">
        <f aca="false">IF($C54=0,"",F54/$C54)</f>
        <v>1</v>
      </c>
      <c r="S54" s="28" t="n">
        <f aca="false">IF($C54=0,"",G54/$C54)</f>
        <v>0.5</v>
      </c>
      <c r="T54" s="28" t="n">
        <f aca="false">IF($C54=0,"",H54/$C54)</f>
        <v>0</v>
      </c>
      <c r="U54" s="28" t="n">
        <f aca="false">IF($C54=0,"",I54/$C54)</f>
        <v>0</v>
      </c>
      <c r="V54" s="29" t="n">
        <f aca="false">IF($C54=0,"",K54/$C54)</f>
        <v>0.12</v>
      </c>
      <c r="W54" s="29" t="n">
        <f aca="false">IF($C54=0,"",M54/$C54)</f>
        <v>0.11235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5</v>
      </c>
      <c r="D55" s="26" t="n">
        <v>4</v>
      </c>
      <c r="E55" s="26" t="n">
        <v>4</v>
      </c>
      <c r="F55" s="26" t="n">
        <v>4</v>
      </c>
      <c r="G55" s="26" t="n">
        <v>4</v>
      </c>
      <c r="H55" s="26" t="n">
        <v>4</v>
      </c>
      <c r="I55" s="26" t="n">
        <v>4</v>
      </c>
      <c r="J55" s="26" t="n">
        <v>0</v>
      </c>
      <c r="K55" s="27" t="n">
        <v>3.08</v>
      </c>
      <c r="L55" s="27" t="n">
        <v>0.0424</v>
      </c>
      <c r="M55" s="19" t="n">
        <f aca="false">K55-L55</f>
        <v>3.0376</v>
      </c>
      <c r="N55" s="26" t="n">
        <v>3</v>
      </c>
      <c r="O55" s="26" t="n">
        <v>1</v>
      </c>
      <c r="P55" s="28" t="n">
        <f aca="false">IF($C55=0,"",D55/$C55)</f>
        <v>0.8</v>
      </c>
      <c r="Q55" s="28" t="n">
        <f aca="false">IF($C55=0,"",E55/$C55)</f>
        <v>0.8</v>
      </c>
      <c r="R55" s="28" t="n">
        <f aca="false">IF($C55=0,"",F55/$C55)</f>
        <v>0.8</v>
      </c>
      <c r="S55" s="28" t="n">
        <f aca="false">IF($C55=0,"",G55/$C55)</f>
        <v>0.8</v>
      </c>
      <c r="T55" s="28" t="n">
        <f aca="false">IF($C55=0,"",H55/$C55)</f>
        <v>0.8</v>
      </c>
      <c r="U55" s="28" t="n">
        <f aca="false">IF($C55=0,"",I55/$C55)</f>
        <v>0.8</v>
      </c>
      <c r="V55" s="29" t="n">
        <f aca="false">IF($C55=0,"",K55/$C55)</f>
        <v>0.616</v>
      </c>
      <c r="W55" s="29" t="n">
        <f aca="false">IF($C55=0,"",M55/$C55)</f>
        <v>0.60752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2</v>
      </c>
      <c r="D56" s="26" t="n">
        <v>2</v>
      </c>
      <c r="E56" s="26" t="n">
        <v>2</v>
      </c>
      <c r="F56" s="26" t="n">
        <v>2</v>
      </c>
      <c r="G56" s="26" t="n">
        <v>2</v>
      </c>
      <c r="H56" s="26" t="n">
        <v>2</v>
      </c>
      <c r="I56" s="26" t="n">
        <v>2</v>
      </c>
      <c r="J56" s="26" t="n">
        <v>0</v>
      </c>
      <c r="K56" s="27" t="n">
        <v>2.04</v>
      </c>
      <c r="L56" s="27" t="n">
        <v>0.0241</v>
      </c>
      <c r="M56" s="19" t="n">
        <f aca="false">K56-L56</f>
        <v>2.0159</v>
      </c>
      <c r="N56" s="26" t="n">
        <v>2</v>
      </c>
      <c r="O56" s="26" t="n">
        <v>0</v>
      </c>
      <c r="P56" s="28" t="n">
        <f aca="false">IF($C56=0,"",D56/$C56)</f>
        <v>1</v>
      </c>
      <c r="Q56" s="28" t="n">
        <f aca="false">IF($C56=0,"",E56/$C56)</f>
        <v>1</v>
      </c>
      <c r="R56" s="28" t="n">
        <f aca="false">IF($C56=0,"",F56/$C56)</f>
        <v>1</v>
      </c>
      <c r="S56" s="28" t="n">
        <f aca="false">IF($C56=0,"",G56/$C56)</f>
        <v>1</v>
      </c>
      <c r="T56" s="28" t="n">
        <f aca="false">IF($C56=0,"",H56/$C56)</f>
        <v>1</v>
      </c>
      <c r="U56" s="28" t="n">
        <f aca="false">IF($C56=0,"",I56/$C56)</f>
        <v>1</v>
      </c>
      <c r="V56" s="29" t="n">
        <f aca="false">IF($C56=0,"",K56/$C56)</f>
        <v>1.02</v>
      </c>
      <c r="W56" s="29" t="n">
        <f aca="false">IF($C56=0,"",M56/$C56)</f>
        <v>1.00795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40</v>
      </c>
      <c r="D57" s="30" t="n">
        <f aca="false">SUM(D45:D56)</f>
        <v>15</v>
      </c>
      <c r="E57" s="30" t="n">
        <f aca="false">SUM(E45:E56)</f>
        <v>26</v>
      </c>
      <c r="F57" s="30" t="n">
        <f aca="false">SUM(F45:F56)</f>
        <v>26</v>
      </c>
      <c r="G57" s="30" t="n">
        <f aca="false">SUM(G45:G56)</f>
        <v>22</v>
      </c>
      <c r="H57" s="30" t="n">
        <f aca="false">SUM(H45:H56)</f>
        <v>18</v>
      </c>
      <c r="I57" s="30" t="n">
        <f aca="false">SUM(I45:I56)</f>
        <v>15</v>
      </c>
      <c r="J57" s="30" t="n">
        <f aca="false">SUM(J45:J56)</f>
        <v>0</v>
      </c>
      <c r="K57" s="31" t="n">
        <f aca="false">SUM(K45:K56)</f>
        <v>2.62</v>
      </c>
      <c r="L57" s="31" t="n">
        <f aca="false">SUM(L45:L56)</f>
        <v>0.4371</v>
      </c>
      <c r="M57" s="31" t="n">
        <f aca="false">K57-L57</f>
        <v>2.1829</v>
      </c>
      <c r="N57" s="32" t="n">
        <v>5</v>
      </c>
      <c r="O57" s="32" t="n">
        <v>3</v>
      </c>
      <c r="P57" s="33" t="n">
        <f aca="false">IF($C57=0,"",D57/$C57)</f>
        <v>0.375</v>
      </c>
      <c r="Q57" s="33" t="n">
        <f aca="false">IF($C57=0,"",E57/$C57)</f>
        <v>0.65</v>
      </c>
      <c r="R57" s="33" t="n">
        <f aca="false">IF($C57=0,"",F57/$C57)</f>
        <v>0.65</v>
      </c>
      <c r="S57" s="33" t="n">
        <f aca="false">IF($C57=0,"",G57/$C57)</f>
        <v>0.55</v>
      </c>
      <c r="T57" s="33" t="n">
        <f aca="false">IF($C57=0,"",H57/$C57)</f>
        <v>0.45</v>
      </c>
      <c r="U57" s="33" t="n">
        <f aca="false">IF($C57=0,"",I57/$C57)</f>
        <v>0.375</v>
      </c>
      <c r="V57" s="34" t="n">
        <f aca="false">IF($C57=0,"",K57/$C57)</f>
        <v>0.0655</v>
      </c>
      <c r="W57" s="34" t="n">
        <f aca="false">IF($C57=0,"",M57/$C57)</f>
        <v>0.0545725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</v>
      </c>
      <c r="D58" s="26" t="n">
        <v>2</v>
      </c>
      <c r="E58" s="26" t="n">
        <v>2</v>
      </c>
      <c r="F58" s="26" t="n">
        <v>2</v>
      </c>
      <c r="G58" s="26" t="n">
        <v>2</v>
      </c>
      <c r="H58" s="26" t="n">
        <v>2</v>
      </c>
      <c r="I58" s="26" t="n">
        <v>2</v>
      </c>
      <c r="J58" s="26" t="n">
        <v>0</v>
      </c>
      <c r="K58" s="27" t="n">
        <v>2.04</v>
      </c>
      <c r="L58" s="27" t="n">
        <v>0.0276</v>
      </c>
      <c r="M58" s="19" t="n">
        <f aca="false">K58-L58</f>
        <v>2.0124</v>
      </c>
      <c r="N58" s="26" t="n">
        <v>2</v>
      </c>
      <c r="O58" s="26" t="n">
        <v>0</v>
      </c>
      <c r="P58" s="28" t="n">
        <f aca="false">IF($C58=0,"",D58/$C58)</f>
        <v>1</v>
      </c>
      <c r="Q58" s="28" t="n">
        <f aca="false">IF($C58=0,"",E58/$C58)</f>
        <v>1</v>
      </c>
      <c r="R58" s="28" t="n">
        <f aca="false">IF($C58=0,"",F58/$C58)</f>
        <v>1</v>
      </c>
      <c r="S58" s="28" t="n">
        <f aca="false">IF($C58=0,"",G58/$C58)</f>
        <v>1</v>
      </c>
      <c r="T58" s="28" t="n">
        <f aca="false">IF($C58=0,"",H58/$C58)</f>
        <v>1</v>
      </c>
      <c r="U58" s="28" t="n">
        <f aca="false">IF($C58=0,"",I58/$C58)</f>
        <v>1</v>
      </c>
      <c r="V58" s="29" t="n">
        <f aca="false">IF($C58=0,"",K58/$C58)</f>
        <v>1.02</v>
      </c>
      <c r="W58" s="29" t="n">
        <f aca="false">IF($C58=0,"",M58/$C58)</f>
        <v>1.0062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3</v>
      </c>
      <c r="D59" s="26" t="n">
        <v>3</v>
      </c>
      <c r="E59" s="26" t="n">
        <v>3</v>
      </c>
      <c r="F59" s="26" t="n">
        <v>3</v>
      </c>
      <c r="G59" s="26" t="n">
        <v>3</v>
      </c>
      <c r="H59" s="26" t="n">
        <v>3</v>
      </c>
      <c r="I59" s="26" t="n">
        <v>3</v>
      </c>
      <c r="J59" s="26" t="n">
        <v>0</v>
      </c>
      <c r="K59" s="27" t="n">
        <v>3.06</v>
      </c>
      <c r="L59" s="27" t="n">
        <v>0.0179</v>
      </c>
      <c r="M59" s="19" t="n">
        <f aca="false">K59-L59</f>
        <v>3.0421</v>
      </c>
      <c r="N59" s="26" t="n">
        <v>3</v>
      </c>
      <c r="O59" s="26" t="n">
        <v>0</v>
      </c>
      <c r="P59" s="28" t="n">
        <f aca="false">IF($C59=0,"",D59/$C59)</f>
        <v>1</v>
      </c>
      <c r="Q59" s="28" t="n">
        <f aca="false">IF($C59=0,"",E59/$C59)</f>
        <v>1</v>
      </c>
      <c r="R59" s="28" t="n">
        <f aca="false">IF($C59=0,"",F59/$C59)</f>
        <v>1</v>
      </c>
      <c r="S59" s="28" t="n">
        <f aca="false">IF($C59=0,"",G59/$C59)</f>
        <v>1</v>
      </c>
      <c r="T59" s="28" t="n">
        <f aca="false">IF($C59=0,"",H59/$C59)</f>
        <v>1</v>
      </c>
      <c r="U59" s="28" t="n">
        <f aca="false">IF($C59=0,"",I59/$C59)</f>
        <v>1</v>
      </c>
      <c r="V59" s="29" t="n">
        <f aca="false">IF($C59=0,"",K59/$C59)</f>
        <v>1.02</v>
      </c>
      <c r="W59" s="29" t="n">
        <f aca="false">IF($C59=0,"",M59/$C59)</f>
        <v>1.01403333333333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</v>
      </c>
      <c r="D60" s="26" t="n">
        <v>1</v>
      </c>
      <c r="E60" s="26" t="n">
        <v>2</v>
      </c>
      <c r="F60" s="26" t="n">
        <v>2</v>
      </c>
      <c r="G60" s="26" t="n">
        <v>1</v>
      </c>
      <c r="H60" s="26" t="n">
        <v>1</v>
      </c>
      <c r="I60" s="26" t="n">
        <v>1</v>
      </c>
      <c r="J60" s="26" t="n">
        <v>0</v>
      </c>
      <c r="K60" s="27" t="n">
        <v>0.14</v>
      </c>
      <c r="L60" s="27" t="n">
        <v>0.0222</v>
      </c>
      <c r="M60" s="19" t="n">
        <f aca="false">K60-L60</f>
        <v>0.1178</v>
      </c>
      <c r="N60" s="26" t="n">
        <v>2</v>
      </c>
      <c r="O60" s="26" t="n">
        <v>1</v>
      </c>
      <c r="P60" s="28" t="n">
        <f aca="false">IF($C60=0,"",D60/$C60)</f>
        <v>0.333333333333333</v>
      </c>
      <c r="Q60" s="28" t="n">
        <f aca="false">IF($C60=0,"",E60/$C60)</f>
        <v>0.666666666666667</v>
      </c>
      <c r="R60" s="28" t="n">
        <f aca="false">IF($C60=0,"",F60/$C60)</f>
        <v>0.666666666666667</v>
      </c>
      <c r="S60" s="28" t="n">
        <f aca="false">IF($C60=0,"",G60/$C60)</f>
        <v>0.333333333333333</v>
      </c>
      <c r="T60" s="28" t="n">
        <f aca="false">IF($C60=0,"",H60/$C60)</f>
        <v>0.333333333333333</v>
      </c>
      <c r="U60" s="28" t="n">
        <f aca="false">IF($C60=0,"",I60/$C60)</f>
        <v>0.333333333333333</v>
      </c>
      <c r="V60" s="29" t="n">
        <f aca="false">IF($C60=0,"",K60/$C60)</f>
        <v>0.0466666666666667</v>
      </c>
      <c r="W60" s="29" t="n">
        <f aca="false">IF($C60=0,"",M60/$C60)</f>
        <v>0.0392666666666667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</v>
      </c>
      <c r="D61" s="26" t="n">
        <v>1</v>
      </c>
      <c r="E61" s="26" t="n">
        <v>1</v>
      </c>
      <c r="F61" s="26" t="n">
        <v>1</v>
      </c>
      <c r="G61" s="26" t="n">
        <v>1</v>
      </c>
      <c r="H61" s="26" t="n">
        <v>1</v>
      </c>
      <c r="I61" s="26" t="n">
        <v>1</v>
      </c>
      <c r="J61" s="26" t="n">
        <v>0</v>
      </c>
      <c r="K61" s="27" t="n">
        <v>1.02</v>
      </c>
      <c r="L61" s="27" t="n">
        <v>0.0025</v>
      </c>
      <c r="M61" s="19" t="n">
        <f aca="false">K61-L61</f>
        <v>1.0175</v>
      </c>
      <c r="N61" s="26" t="n">
        <v>1</v>
      </c>
      <c r="O61" s="26" t="n">
        <v>0</v>
      </c>
      <c r="P61" s="28" t="n">
        <f aca="false">IF($C61=0,"",D61/$C61)</f>
        <v>1</v>
      </c>
      <c r="Q61" s="28" t="n">
        <f aca="false">IF($C61=0,"",E61/$C61)</f>
        <v>1</v>
      </c>
      <c r="R61" s="28" t="n">
        <f aca="false">IF($C61=0,"",F61/$C61)</f>
        <v>1</v>
      </c>
      <c r="S61" s="28" t="n">
        <f aca="false">IF($C61=0,"",G61/$C61)</f>
        <v>1</v>
      </c>
      <c r="T61" s="28" t="n">
        <f aca="false">IF($C61=0,"",H61/$C61)</f>
        <v>1</v>
      </c>
      <c r="U61" s="28" t="n">
        <f aca="false">IF($C61=0,"",I61/$C61)</f>
        <v>1</v>
      </c>
      <c r="V61" s="29" t="n">
        <f aca="false">IF($C61=0,"",K61/$C61)</f>
        <v>1.02</v>
      </c>
      <c r="W61" s="29" t="n">
        <f aca="false">IF($C61=0,"",M61/$C61)</f>
        <v>1.0175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5</v>
      </c>
      <c r="D62" s="26" t="n">
        <v>0</v>
      </c>
      <c r="E62" s="26" t="n">
        <v>3</v>
      </c>
      <c r="F62" s="26" t="n">
        <v>3</v>
      </c>
      <c r="G62" s="26" t="n">
        <v>2</v>
      </c>
      <c r="H62" s="26" t="n">
        <v>0</v>
      </c>
      <c r="I62" s="26" t="n">
        <v>0</v>
      </c>
      <c r="J62" s="26" t="n">
        <v>0</v>
      </c>
      <c r="K62" s="27" t="n">
        <v>-1.64</v>
      </c>
      <c r="L62" s="27" t="n">
        <v>0.0216</v>
      </c>
      <c r="M62" s="19" t="n">
        <f aca="false">K62-L62</f>
        <v>-1.6616</v>
      </c>
      <c r="N62" s="26" t="n">
        <v>2</v>
      </c>
      <c r="O62" s="26" t="n">
        <v>1</v>
      </c>
      <c r="P62" s="28" t="n">
        <f aca="false">IF($C62=0,"",D62/$C62)</f>
        <v>0</v>
      </c>
      <c r="Q62" s="28" t="n">
        <f aca="false">IF($C62=0,"",E62/$C62)</f>
        <v>0.6</v>
      </c>
      <c r="R62" s="28" t="n">
        <f aca="false">IF($C62=0,"",F62/$C62)</f>
        <v>0.6</v>
      </c>
      <c r="S62" s="28" t="n">
        <f aca="false">IF($C62=0,"",G62/$C62)</f>
        <v>0.4</v>
      </c>
      <c r="T62" s="28" t="n">
        <f aca="false">IF($C62=0,"",H62/$C62)</f>
        <v>0</v>
      </c>
      <c r="U62" s="28" t="n">
        <f aca="false">IF($C62=0,"",I62/$C62)</f>
        <v>0</v>
      </c>
      <c r="V62" s="29" t="n">
        <f aca="false">IF($C62=0,"",K62/$C62)</f>
        <v>-0.328</v>
      </c>
      <c r="W62" s="29" t="n">
        <f aca="false">IF($C62=0,"",M62/$C62)</f>
        <v>-0.33232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4</v>
      </c>
      <c r="D63" s="26" t="n">
        <v>2</v>
      </c>
      <c r="E63" s="26" t="n">
        <v>4</v>
      </c>
      <c r="F63" s="26" t="n">
        <v>4</v>
      </c>
      <c r="G63" s="26" t="n">
        <v>4</v>
      </c>
      <c r="H63" s="26" t="n">
        <v>3</v>
      </c>
      <c r="I63" s="26" t="n">
        <v>2</v>
      </c>
      <c r="J63" s="26" t="n">
        <v>0</v>
      </c>
      <c r="K63" s="27" t="n">
        <v>2.28</v>
      </c>
      <c r="L63" s="27" t="n">
        <v>0.04</v>
      </c>
      <c r="M63" s="19" t="n">
        <f aca="false">K63-L63</f>
        <v>2.24</v>
      </c>
      <c r="N63" s="26" t="n">
        <v>4</v>
      </c>
      <c r="O63" s="26" t="n">
        <v>0</v>
      </c>
      <c r="P63" s="28" t="n">
        <f aca="false">IF($C63=0,"",D63/$C63)</f>
        <v>0.5</v>
      </c>
      <c r="Q63" s="28" t="n">
        <f aca="false">IF($C63=0,"",E63/$C63)</f>
        <v>1</v>
      </c>
      <c r="R63" s="28" t="n">
        <f aca="false">IF($C63=0,"",F63/$C63)</f>
        <v>1</v>
      </c>
      <c r="S63" s="28" t="n">
        <f aca="false">IF($C63=0,"",G63/$C63)</f>
        <v>1</v>
      </c>
      <c r="T63" s="28" t="n">
        <f aca="false">IF($C63=0,"",H63/$C63)</f>
        <v>0.75</v>
      </c>
      <c r="U63" s="28" t="n">
        <f aca="false">IF($C63=0,"",I63/$C63)</f>
        <v>0.5</v>
      </c>
      <c r="V63" s="29" t="n">
        <f aca="false">IF($C63=0,"",K63/$C63)</f>
        <v>0.57</v>
      </c>
      <c r="W63" s="29" t="n">
        <f aca="false">IF($C63=0,"",M63/$C63)</f>
        <v>0.56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3</v>
      </c>
      <c r="D64" s="26" t="n">
        <v>2</v>
      </c>
      <c r="E64" s="26" t="n">
        <v>3</v>
      </c>
      <c r="F64" s="26" t="n">
        <v>3</v>
      </c>
      <c r="G64" s="26" t="n">
        <v>2</v>
      </c>
      <c r="H64" s="26" t="n">
        <v>2</v>
      </c>
      <c r="I64" s="26" t="n">
        <v>2</v>
      </c>
      <c r="J64" s="26" t="n">
        <v>0</v>
      </c>
      <c r="K64" s="27" t="n">
        <v>2.16</v>
      </c>
      <c r="L64" s="27" t="n">
        <v>0.017</v>
      </c>
      <c r="M64" s="19" t="n">
        <f aca="false">K64-L64</f>
        <v>2.143</v>
      </c>
      <c r="N64" s="26" t="n">
        <v>3</v>
      </c>
      <c r="O64" s="26" t="n">
        <v>0</v>
      </c>
      <c r="P64" s="28" t="n">
        <f aca="false">IF($C64=0,"",D64/$C64)</f>
        <v>0.666666666666667</v>
      </c>
      <c r="Q64" s="28" t="n">
        <f aca="false">IF($C64=0,"",E64/$C64)</f>
        <v>1</v>
      </c>
      <c r="R64" s="28" t="n">
        <f aca="false">IF($C64=0,"",F64/$C64)</f>
        <v>1</v>
      </c>
      <c r="S64" s="28" t="n">
        <f aca="false">IF($C64=0,"",G64/$C64)</f>
        <v>0.666666666666667</v>
      </c>
      <c r="T64" s="28" t="n">
        <f aca="false">IF($C64=0,"",H64/$C64)</f>
        <v>0.666666666666667</v>
      </c>
      <c r="U64" s="28" t="n">
        <f aca="false">IF($C64=0,"",I64/$C64)</f>
        <v>0.666666666666667</v>
      </c>
      <c r="V64" s="29" t="n">
        <f aca="false">IF($C64=0,"",K64/$C64)</f>
        <v>0.72</v>
      </c>
      <c r="W64" s="29" t="n">
        <f aca="false">IF($C64=0,"",M64/$C64)</f>
        <v>0.714333333333333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3</v>
      </c>
      <c r="D65" s="26" t="n">
        <v>1</v>
      </c>
      <c r="E65" s="26" t="n">
        <v>2</v>
      </c>
      <c r="F65" s="26" t="n">
        <v>2</v>
      </c>
      <c r="G65" s="26" t="n">
        <v>2</v>
      </c>
      <c r="H65" s="26" t="n">
        <v>2</v>
      </c>
      <c r="I65" s="26" t="n">
        <v>1</v>
      </c>
      <c r="J65" s="26" t="n">
        <v>0</v>
      </c>
      <c r="K65" s="27" t="n">
        <v>0.14</v>
      </c>
      <c r="L65" s="27" t="n">
        <v>0.021</v>
      </c>
      <c r="M65" s="19" t="n">
        <f aca="false">K65-L65</f>
        <v>0.119</v>
      </c>
      <c r="N65" s="26" t="n">
        <v>2</v>
      </c>
      <c r="O65" s="26" t="n">
        <v>1</v>
      </c>
      <c r="P65" s="28" t="n">
        <f aca="false">IF($C65=0,"",D65/$C65)</f>
        <v>0.333333333333333</v>
      </c>
      <c r="Q65" s="28" t="n">
        <f aca="false">IF($C65=0,"",E65/$C65)</f>
        <v>0.666666666666667</v>
      </c>
      <c r="R65" s="28" t="n">
        <f aca="false">IF($C65=0,"",F65/$C65)</f>
        <v>0.666666666666667</v>
      </c>
      <c r="S65" s="28" t="n">
        <f aca="false">IF($C65=0,"",G65/$C65)</f>
        <v>0.666666666666667</v>
      </c>
      <c r="T65" s="28" t="n">
        <f aca="false">IF($C65=0,"",H65/$C65)</f>
        <v>0.666666666666667</v>
      </c>
      <c r="U65" s="28" t="n">
        <f aca="false">IF($C65=0,"",I65/$C65)</f>
        <v>0.333333333333333</v>
      </c>
      <c r="V65" s="29" t="n">
        <f aca="false">IF($C65=0,"",K65/$C65)</f>
        <v>0.0466666666666667</v>
      </c>
      <c r="W65" s="29" t="n">
        <f aca="false">IF($C65=0,"",M65/$C65)</f>
        <v>0.0396666666666667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0</v>
      </c>
      <c r="D66" s="26" t="n">
        <v>0</v>
      </c>
      <c r="E66" s="26" t="n">
        <v>0</v>
      </c>
      <c r="F66" s="26" t="n">
        <v>0</v>
      </c>
      <c r="G66" s="26" t="n">
        <v>0</v>
      </c>
      <c r="H66" s="26" t="n">
        <v>0</v>
      </c>
      <c r="I66" s="26" t="n">
        <v>0</v>
      </c>
      <c r="J66" s="26" t="n">
        <v>0</v>
      </c>
      <c r="K66" s="27" t="n">
        <v>0</v>
      </c>
      <c r="L66" s="27" t="n">
        <v>0</v>
      </c>
      <c r="M66" s="19" t="n">
        <f aca="false">K66-L66</f>
        <v>0</v>
      </c>
      <c r="N66" s="26" t="n">
        <v>0</v>
      </c>
      <c r="O66" s="26" t="n">
        <v>0</v>
      </c>
      <c r="P66" s="28" t="str">
        <f aca="false">IF($C66=0,"",D66/$C66)</f>
        <v/>
      </c>
      <c r="Q66" s="28" t="str">
        <f aca="false">IF($C66=0,"",E66/$C66)</f>
        <v/>
      </c>
      <c r="R66" s="28" t="str">
        <f aca="false">IF($C66=0,"",F66/$C66)</f>
        <v/>
      </c>
      <c r="S66" s="28" t="str">
        <f aca="false">IF($C66=0,"",G66/$C66)</f>
        <v/>
      </c>
      <c r="T66" s="28" t="str">
        <f aca="false">IF($C66=0,"",H66/$C66)</f>
        <v/>
      </c>
      <c r="U66" s="28" t="str">
        <f aca="false">IF($C66=0,"",I66/$C66)</f>
        <v/>
      </c>
      <c r="V66" s="29" t="str">
        <f aca="false">IF($C66=0,"",K66/$C66)</f>
        <v/>
      </c>
      <c r="W66" s="29" t="str">
        <f aca="false">IF($C66=0,"",M66/$C66)</f>
        <v/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</v>
      </c>
      <c r="D67" s="26" t="n">
        <v>2</v>
      </c>
      <c r="E67" s="26" t="n">
        <v>4</v>
      </c>
      <c r="F67" s="26" t="n">
        <v>4</v>
      </c>
      <c r="G67" s="26" t="n">
        <v>3</v>
      </c>
      <c r="H67" s="26" t="n">
        <v>2</v>
      </c>
      <c r="I67" s="26" t="n">
        <v>2</v>
      </c>
      <c r="J67" s="26" t="n">
        <v>0</v>
      </c>
      <c r="K67" s="27" t="n">
        <v>1.28</v>
      </c>
      <c r="L67" s="27" t="n">
        <v>0.0131</v>
      </c>
      <c r="M67" s="19" t="n">
        <f aca="false">K67-L67</f>
        <v>1.2669</v>
      </c>
      <c r="N67" s="26" t="n">
        <v>3</v>
      </c>
      <c r="O67" s="26" t="n">
        <v>1</v>
      </c>
      <c r="P67" s="28" t="n">
        <f aca="false">IF($C67=0,"",D67/$C67)</f>
        <v>0.4</v>
      </c>
      <c r="Q67" s="28" t="n">
        <f aca="false">IF($C67=0,"",E67/$C67)</f>
        <v>0.8</v>
      </c>
      <c r="R67" s="28" t="n">
        <f aca="false">IF($C67=0,"",F67/$C67)</f>
        <v>0.8</v>
      </c>
      <c r="S67" s="28" t="n">
        <f aca="false">IF($C67=0,"",G67/$C67)</f>
        <v>0.6</v>
      </c>
      <c r="T67" s="28" t="n">
        <f aca="false">IF($C67=0,"",H67/$C67)</f>
        <v>0.4</v>
      </c>
      <c r="U67" s="28" t="n">
        <f aca="false">IF($C67=0,"",I67/$C67)</f>
        <v>0.4</v>
      </c>
      <c r="V67" s="29" t="n">
        <f aca="false">IF($C67=0,"",K67/$C67)</f>
        <v>0.256</v>
      </c>
      <c r="W67" s="29" t="n">
        <f aca="false">IF($C67=0,"",M67/$C67)</f>
        <v>0.25338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4</v>
      </c>
      <c r="D68" s="26" t="n">
        <v>1</v>
      </c>
      <c r="E68" s="26" t="n">
        <v>2</v>
      </c>
      <c r="F68" s="26" t="n">
        <v>2</v>
      </c>
      <c r="G68" s="26" t="n">
        <v>1</v>
      </c>
      <c r="H68" s="26" t="n">
        <v>1</v>
      </c>
      <c r="I68" s="26" t="n">
        <v>1</v>
      </c>
      <c r="J68" s="26" t="n">
        <v>0</v>
      </c>
      <c r="K68" s="27" t="n">
        <v>-0.86</v>
      </c>
      <c r="L68" s="27" t="n">
        <v>0.0134</v>
      </c>
      <c r="M68" s="19" t="n">
        <f aca="false">K68-L68</f>
        <v>-0.8734</v>
      </c>
      <c r="N68" s="26" t="n">
        <v>1</v>
      </c>
      <c r="O68" s="26" t="n">
        <v>2</v>
      </c>
      <c r="P68" s="28" t="n">
        <f aca="false">IF($C68=0,"",D68/$C68)</f>
        <v>0.25</v>
      </c>
      <c r="Q68" s="28" t="n">
        <f aca="false">IF($C68=0,"",E68/$C68)</f>
        <v>0.5</v>
      </c>
      <c r="R68" s="28" t="n">
        <f aca="false">IF($C68=0,"",F68/$C68)</f>
        <v>0.5</v>
      </c>
      <c r="S68" s="28" t="n">
        <f aca="false">IF($C68=0,"",G68/$C68)</f>
        <v>0.25</v>
      </c>
      <c r="T68" s="28" t="n">
        <f aca="false">IF($C68=0,"",H68/$C68)</f>
        <v>0.25</v>
      </c>
      <c r="U68" s="28" t="n">
        <f aca="false">IF($C68=0,"",I68/$C68)</f>
        <v>0.25</v>
      </c>
      <c r="V68" s="29" t="n">
        <f aca="false">IF($C68=0,"",K68/$C68)</f>
        <v>-0.215</v>
      </c>
      <c r="W68" s="29" t="n">
        <f aca="false">IF($C68=0,"",M68/$C68)</f>
        <v>-0.21835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</v>
      </c>
      <c r="D69" s="26" t="n">
        <v>0</v>
      </c>
      <c r="E69" s="26" t="n">
        <v>2</v>
      </c>
      <c r="F69" s="26" t="n">
        <v>2</v>
      </c>
      <c r="G69" s="26" t="n">
        <v>0</v>
      </c>
      <c r="H69" s="26" t="n">
        <v>0</v>
      </c>
      <c r="I69" s="26" t="n">
        <v>0</v>
      </c>
      <c r="J69" s="26" t="n">
        <v>0</v>
      </c>
      <c r="K69" s="27" t="n">
        <v>0.24</v>
      </c>
      <c r="L69" s="27" t="n">
        <v>0.008</v>
      </c>
      <c r="M69" s="19" t="n">
        <f aca="false">K69-L69</f>
        <v>0.232</v>
      </c>
      <c r="N69" s="26" t="n">
        <v>2</v>
      </c>
      <c r="O69" s="26" t="n">
        <v>0</v>
      </c>
      <c r="P69" s="28" t="n">
        <f aca="false">IF($C69=0,"",D69/$C69)</f>
        <v>0</v>
      </c>
      <c r="Q69" s="28" t="n">
        <f aca="false">IF($C69=0,"",E69/$C69)</f>
        <v>1</v>
      </c>
      <c r="R69" s="28" t="n">
        <f aca="false">IF($C69=0,"",F69/$C69)</f>
        <v>1</v>
      </c>
      <c r="S69" s="28" t="n">
        <f aca="false">IF($C69=0,"",G69/$C69)</f>
        <v>0</v>
      </c>
      <c r="T69" s="28" t="n">
        <f aca="false">IF($C69=0,"",H69/$C69)</f>
        <v>0</v>
      </c>
      <c r="U69" s="28" t="n">
        <f aca="false">IF($C69=0,"",I69/$C69)</f>
        <v>0</v>
      </c>
      <c r="V69" s="29" t="n">
        <f aca="false">IF($C69=0,"",K69/$C69)</f>
        <v>0.12</v>
      </c>
      <c r="W69" s="29" t="n">
        <f aca="false">IF($C69=0,"",M69/$C69)</f>
        <v>0.116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35</v>
      </c>
      <c r="D70" s="30" t="n">
        <f aca="false">SUM(D58:D69)</f>
        <v>15</v>
      </c>
      <c r="E70" s="30" t="n">
        <f aca="false">SUM(E58:E69)</f>
        <v>28</v>
      </c>
      <c r="F70" s="30" t="n">
        <f aca="false">SUM(F58:F69)</f>
        <v>28</v>
      </c>
      <c r="G70" s="30" t="n">
        <f aca="false">SUM(G58:G69)</f>
        <v>21</v>
      </c>
      <c r="H70" s="30" t="n">
        <f aca="false">SUM(H58:H69)</f>
        <v>17</v>
      </c>
      <c r="I70" s="30" t="n">
        <f aca="false">SUM(I58:I69)</f>
        <v>15</v>
      </c>
      <c r="J70" s="30" t="n">
        <f aca="false">SUM(J58:J69)</f>
        <v>0</v>
      </c>
      <c r="K70" s="31" t="n">
        <f aca="false">SUM(K58:K69)</f>
        <v>9.86</v>
      </c>
      <c r="L70" s="31" t="n">
        <f aca="false">SUM(L58:L69)</f>
        <v>0.2043</v>
      </c>
      <c r="M70" s="31" t="n">
        <f aca="false">K70-L70</f>
        <v>9.6557</v>
      </c>
      <c r="N70" s="32" t="n">
        <v>8</v>
      </c>
      <c r="O70" s="32" t="n">
        <v>2</v>
      </c>
      <c r="P70" s="33" t="n">
        <f aca="false">IF($C70=0,"",D70/$C70)</f>
        <v>0.428571428571429</v>
      </c>
      <c r="Q70" s="33" t="n">
        <f aca="false">IF($C70=0,"",E70/$C70)</f>
        <v>0.8</v>
      </c>
      <c r="R70" s="33" t="n">
        <f aca="false">IF($C70=0,"",F70/$C70)</f>
        <v>0.8</v>
      </c>
      <c r="S70" s="33" t="n">
        <f aca="false">IF($C70=0,"",G70/$C70)</f>
        <v>0.6</v>
      </c>
      <c r="T70" s="33" t="n">
        <f aca="false">IF($C70=0,"",H70/$C70)</f>
        <v>0.485714285714286</v>
      </c>
      <c r="U70" s="33" t="n">
        <f aca="false">IF($C70=0,"",I70/$C70)</f>
        <v>0.428571428571429</v>
      </c>
      <c r="V70" s="34" t="n">
        <f aca="false">IF($C70=0,"",K70/$C70)</f>
        <v>0.281714285714286</v>
      </c>
      <c r="W70" s="34" t="n">
        <f aca="false">IF($C70=0,"",M70/$C70)</f>
        <v>0.275877142857143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</v>
      </c>
      <c r="D71" s="26" t="n">
        <v>1</v>
      </c>
      <c r="E71" s="26" t="n">
        <v>1</v>
      </c>
      <c r="F71" s="26" t="n">
        <v>1</v>
      </c>
      <c r="G71" s="26" t="n">
        <v>1</v>
      </c>
      <c r="H71" s="26" t="n">
        <v>1</v>
      </c>
      <c r="I71" s="26" t="n">
        <v>1</v>
      </c>
      <c r="J71" s="26" t="n">
        <v>0</v>
      </c>
      <c r="K71" s="27" t="n">
        <v>1.02</v>
      </c>
      <c r="L71" s="27" t="n">
        <v>0.0053</v>
      </c>
      <c r="M71" s="19" t="n">
        <f aca="false">K71-L71</f>
        <v>1.0147</v>
      </c>
      <c r="N71" s="26" t="n">
        <v>1</v>
      </c>
      <c r="O71" s="26" t="n">
        <v>0</v>
      </c>
      <c r="P71" s="28" t="n">
        <f aca="false">IF($C71=0,"",D71/$C71)</f>
        <v>1</v>
      </c>
      <c r="Q71" s="28" t="n">
        <f aca="false">IF($C71=0,"",E71/$C71)</f>
        <v>1</v>
      </c>
      <c r="R71" s="28" t="n">
        <f aca="false">IF($C71=0,"",F71/$C71)</f>
        <v>1</v>
      </c>
      <c r="S71" s="28" t="n">
        <f aca="false">IF($C71=0,"",G71/$C71)</f>
        <v>1</v>
      </c>
      <c r="T71" s="28" t="n">
        <f aca="false">IF($C71=0,"",H71/$C71)</f>
        <v>1</v>
      </c>
      <c r="U71" s="28" t="n">
        <f aca="false">IF($C71=0,"",I71/$C71)</f>
        <v>1</v>
      </c>
      <c r="V71" s="29" t="n">
        <f aca="false">IF($C71=0,"",K71/$C71)</f>
        <v>1.02</v>
      </c>
      <c r="W71" s="29" t="n">
        <f aca="false">IF($C71=0,"",M71/$C71)</f>
        <v>1.0147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7" t="n">
        <v>0</v>
      </c>
      <c r="L72" s="27" t="n">
        <v>0</v>
      </c>
      <c r="M72" s="19" t="n">
        <f aca="false">K72-L72</f>
        <v>0</v>
      </c>
      <c r="N72" s="26" t="n">
        <v>0</v>
      </c>
      <c r="O72" s="26" t="n">
        <v>0</v>
      </c>
      <c r="P72" s="28" t="str">
        <f aca="false">IF($C72=0,"",D72/$C72)</f>
        <v/>
      </c>
      <c r="Q72" s="28" t="str">
        <f aca="false">IF($C72=0,"",E72/$C72)</f>
        <v/>
      </c>
      <c r="R72" s="28" t="str">
        <f aca="false">IF($C72=0,"",F72/$C72)</f>
        <v/>
      </c>
      <c r="S72" s="28" t="str">
        <f aca="false">IF($C72=0,"",G72/$C72)</f>
        <v/>
      </c>
      <c r="T72" s="28" t="str">
        <f aca="false">IF($C72=0,"",H72/$C72)</f>
        <v/>
      </c>
      <c r="U72" s="28" t="str">
        <f aca="false">IF($C72=0,"",I72/$C72)</f>
        <v/>
      </c>
      <c r="V72" s="29" t="str">
        <f aca="false">IF($C72=0,"",K72/$C72)</f>
        <v/>
      </c>
      <c r="W72" s="29" t="str">
        <f aca="false">IF($C72=0,"",M72/$C72)</f>
        <v/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</v>
      </c>
      <c r="D73" s="26" t="n">
        <v>1</v>
      </c>
      <c r="E73" s="26" t="n">
        <v>1</v>
      </c>
      <c r="F73" s="26" t="n">
        <v>1</v>
      </c>
      <c r="G73" s="26" t="n">
        <v>1</v>
      </c>
      <c r="H73" s="26" t="n">
        <v>1</v>
      </c>
      <c r="I73" s="26" t="n">
        <v>1</v>
      </c>
      <c r="J73" s="26" t="n">
        <v>0</v>
      </c>
      <c r="K73" s="27" t="n">
        <v>1.02</v>
      </c>
      <c r="L73" s="27" t="n">
        <v>0.0047</v>
      </c>
      <c r="M73" s="19" t="n">
        <f aca="false">K73-L73</f>
        <v>1.0153</v>
      </c>
      <c r="N73" s="26" t="n">
        <v>1</v>
      </c>
      <c r="O73" s="26" t="n">
        <v>0</v>
      </c>
      <c r="P73" s="28" t="n">
        <f aca="false">IF($C73=0,"",D73/$C73)</f>
        <v>1</v>
      </c>
      <c r="Q73" s="28" t="n">
        <f aca="false">IF($C73=0,"",E73/$C73)</f>
        <v>1</v>
      </c>
      <c r="R73" s="28" t="n">
        <f aca="false">IF($C73=0,"",F73/$C73)</f>
        <v>1</v>
      </c>
      <c r="S73" s="28" t="n">
        <f aca="false">IF($C73=0,"",G73/$C73)</f>
        <v>1</v>
      </c>
      <c r="T73" s="28" t="n">
        <f aca="false">IF($C73=0,"",H73/$C73)</f>
        <v>1</v>
      </c>
      <c r="U73" s="28" t="n">
        <f aca="false">IF($C73=0,"",I73/$C73)</f>
        <v>1</v>
      </c>
      <c r="V73" s="29" t="n">
        <f aca="false">IF($C73=0,"",K73/$C73)</f>
        <v>1.02</v>
      </c>
      <c r="W73" s="29" t="n">
        <f aca="false">IF($C73=0,"",M73/$C73)</f>
        <v>1.0153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4</v>
      </c>
      <c r="D74" s="26" t="n">
        <v>2</v>
      </c>
      <c r="E74" s="26" t="n">
        <v>4</v>
      </c>
      <c r="F74" s="26" t="n">
        <v>4</v>
      </c>
      <c r="G74" s="26" t="n">
        <v>3</v>
      </c>
      <c r="H74" s="26" t="n">
        <v>2</v>
      </c>
      <c r="I74" s="26" t="n">
        <v>2</v>
      </c>
      <c r="J74" s="26" t="n">
        <v>0</v>
      </c>
      <c r="K74" s="27" t="n">
        <v>2.28</v>
      </c>
      <c r="L74" s="27" t="n">
        <v>0.0167</v>
      </c>
      <c r="M74" s="19" t="n">
        <f aca="false">K74-L74</f>
        <v>2.2633</v>
      </c>
      <c r="N74" s="26" t="n">
        <v>4</v>
      </c>
      <c r="O74" s="26" t="n">
        <v>0</v>
      </c>
      <c r="P74" s="28" t="n">
        <f aca="false">IF($C74=0,"",D74/$C74)</f>
        <v>0.5</v>
      </c>
      <c r="Q74" s="28" t="n">
        <f aca="false">IF($C74=0,"",E74/$C74)</f>
        <v>1</v>
      </c>
      <c r="R74" s="28" t="n">
        <f aca="false">IF($C74=0,"",F74/$C74)</f>
        <v>1</v>
      </c>
      <c r="S74" s="28" t="n">
        <f aca="false">IF($C74=0,"",G74/$C74)</f>
        <v>0.75</v>
      </c>
      <c r="T74" s="28" t="n">
        <f aca="false">IF($C74=0,"",H74/$C74)</f>
        <v>0.5</v>
      </c>
      <c r="U74" s="28" t="n">
        <f aca="false">IF($C74=0,"",I74/$C74)</f>
        <v>0.5</v>
      </c>
      <c r="V74" s="29" t="n">
        <f aca="false">IF($C74=0,"",K74/$C74)</f>
        <v>0.57</v>
      </c>
      <c r="W74" s="29" t="n">
        <f aca="false">IF($C74=0,"",M74/$C74)</f>
        <v>0.565825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</v>
      </c>
      <c r="D75" s="26" t="n">
        <v>1</v>
      </c>
      <c r="E75" s="26" t="n">
        <v>1</v>
      </c>
      <c r="F75" s="26" t="n">
        <v>1</v>
      </c>
      <c r="G75" s="26" t="n">
        <v>1</v>
      </c>
      <c r="H75" s="26" t="n">
        <v>1</v>
      </c>
      <c r="I75" s="26" t="n">
        <v>1</v>
      </c>
      <c r="J75" s="26" t="n">
        <v>0</v>
      </c>
      <c r="K75" s="27" t="n">
        <v>1.02</v>
      </c>
      <c r="L75" s="27" t="n">
        <v>0.0047</v>
      </c>
      <c r="M75" s="19" t="n">
        <f aca="false">K75-L75</f>
        <v>1.0153</v>
      </c>
      <c r="N75" s="26" t="n">
        <v>1</v>
      </c>
      <c r="O75" s="26" t="n">
        <v>0</v>
      </c>
      <c r="P75" s="28" t="n">
        <f aca="false">IF($C75=0,"",D75/$C75)</f>
        <v>1</v>
      </c>
      <c r="Q75" s="28" t="n">
        <f aca="false">IF($C75=0,"",E75/$C75)</f>
        <v>1</v>
      </c>
      <c r="R75" s="28" t="n">
        <f aca="false">IF($C75=0,"",F75/$C75)</f>
        <v>1</v>
      </c>
      <c r="S75" s="28" t="n">
        <f aca="false">IF($C75=0,"",G75/$C75)</f>
        <v>1</v>
      </c>
      <c r="T75" s="28" t="n">
        <f aca="false">IF($C75=0,"",H75/$C75)</f>
        <v>1</v>
      </c>
      <c r="U75" s="28" t="n">
        <f aca="false">IF($C75=0,"",I75/$C75)</f>
        <v>1</v>
      </c>
      <c r="V75" s="29" t="n">
        <f aca="false">IF($C75=0,"",K75/$C75)</f>
        <v>1.02</v>
      </c>
      <c r="W75" s="29" t="n">
        <f aca="false">IF($C75=0,"",M75/$C75)</f>
        <v>1.0153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4</v>
      </c>
      <c r="D76" s="26" t="n">
        <v>2</v>
      </c>
      <c r="E76" s="26" t="n">
        <v>3</v>
      </c>
      <c r="F76" s="26" t="n">
        <v>3</v>
      </c>
      <c r="G76" s="26" t="n">
        <v>2</v>
      </c>
      <c r="H76" s="26" t="n">
        <v>2</v>
      </c>
      <c r="I76" s="26" t="n">
        <v>2</v>
      </c>
      <c r="J76" s="26" t="n">
        <v>0</v>
      </c>
      <c r="K76" s="27" t="n">
        <v>1.16</v>
      </c>
      <c r="L76" s="27" t="n">
        <v>0.0196</v>
      </c>
      <c r="M76" s="19" t="n">
        <f aca="false">K76-L76</f>
        <v>1.1404</v>
      </c>
      <c r="N76" s="26" t="n">
        <v>2</v>
      </c>
      <c r="O76" s="26" t="n">
        <v>1</v>
      </c>
      <c r="P76" s="28" t="n">
        <f aca="false">IF($C76=0,"",D76/$C76)</f>
        <v>0.5</v>
      </c>
      <c r="Q76" s="28" t="n">
        <f aca="false">IF($C76=0,"",E76/$C76)</f>
        <v>0.75</v>
      </c>
      <c r="R76" s="28" t="n">
        <f aca="false">IF($C76=0,"",F76/$C76)</f>
        <v>0.75</v>
      </c>
      <c r="S76" s="28" t="n">
        <f aca="false">IF($C76=0,"",G76/$C76)</f>
        <v>0.5</v>
      </c>
      <c r="T76" s="28" t="n">
        <f aca="false">IF($C76=0,"",H76/$C76)</f>
        <v>0.5</v>
      </c>
      <c r="U76" s="28" t="n">
        <f aca="false">IF($C76=0,"",I76/$C76)</f>
        <v>0.5</v>
      </c>
      <c r="V76" s="29" t="n">
        <f aca="false">IF($C76=0,"",K76/$C76)</f>
        <v>0.29</v>
      </c>
      <c r="W76" s="29" t="n">
        <f aca="false">IF($C76=0,"",M76/$C76)</f>
        <v>0.2851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6</v>
      </c>
      <c r="D77" s="26" t="n">
        <v>1</v>
      </c>
      <c r="E77" s="26" t="n">
        <v>2</v>
      </c>
      <c r="F77" s="26" t="n">
        <v>2</v>
      </c>
      <c r="G77" s="26" t="n">
        <v>2</v>
      </c>
      <c r="H77" s="26" t="n">
        <v>1</v>
      </c>
      <c r="I77" s="26" t="n">
        <v>1</v>
      </c>
      <c r="J77" s="26" t="n">
        <v>0</v>
      </c>
      <c r="K77" s="27" t="n">
        <v>-2.86</v>
      </c>
      <c r="L77" s="27" t="n">
        <v>0.0401</v>
      </c>
      <c r="M77" s="19" t="n">
        <f aca="false">K77-L77</f>
        <v>-2.9001</v>
      </c>
      <c r="N77" s="26" t="n">
        <v>2</v>
      </c>
      <c r="O77" s="26" t="n">
        <v>2</v>
      </c>
      <c r="P77" s="28" t="n">
        <f aca="false">IF($C77=0,"",D77/$C77)</f>
        <v>0.166666666666667</v>
      </c>
      <c r="Q77" s="28" t="n">
        <f aca="false">IF($C77=0,"",E77/$C77)</f>
        <v>0.333333333333333</v>
      </c>
      <c r="R77" s="28" t="n">
        <f aca="false">IF($C77=0,"",F77/$C77)</f>
        <v>0.333333333333333</v>
      </c>
      <c r="S77" s="28" t="n">
        <f aca="false">IF($C77=0,"",G77/$C77)</f>
        <v>0.333333333333333</v>
      </c>
      <c r="T77" s="28" t="n">
        <f aca="false">IF($C77=0,"",H77/$C77)</f>
        <v>0.166666666666667</v>
      </c>
      <c r="U77" s="28" t="n">
        <f aca="false">IF($C77=0,"",I77/$C77)</f>
        <v>0.166666666666667</v>
      </c>
      <c r="V77" s="29" t="n">
        <f aca="false">IF($C77=0,"",K77/$C77)</f>
        <v>-0.476666666666667</v>
      </c>
      <c r="W77" s="29" t="n">
        <f aca="false">IF($C77=0,"",M77/$C77)</f>
        <v>-0.48335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0</v>
      </c>
      <c r="J78" s="26" t="n">
        <v>0</v>
      </c>
      <c r="K78" s="27" t="n">
        <v>-1</v>
      </c>
      <c r="L78" s="27" t="n">
        <v>0.0057</v>
      </c>
      <c r="M78" s="19" t="n">
        <f aca="false">K78-L78</f>
        <v>-1.0057</v>
      </c>
      <c r="N78" s="26" t="n">
        <v>0</v>
      </c>
      <c r="O78" s="26" t="n">
        <v>1</v>
      </c>
      <c r="P78" s="28" t="n">
        <f aca="false">IF($C78=0,"",D78/$C78)</f>
        <v>0</v>
      </c>
      <c r="Q78" s="28" t="n">
        <f aca="false">IF($C78=0,"",E78/$C78)</f>
        <v>0</v>
      </c>
      <c r="R78" s="28" t="n">
        <f aca="false">IF($C78=0,"",F78/$C78)</f>
        <v>0</v>
      </c>
      <c r="S78" s="28" t="n">
        <f aca="false">IF($C78=0,"",G78/$C78)</f>
        <v>0</v>
      </c>
      <c r="T78" s="28" t="n">
        <f aca="false">IF($C78=0,"",H78/$C78)</f>
        <v>0</v>
      </c>
      <c r="U78" s="28" t="n">
        <f aca="false">IF($C78=0,"",I78/$C78)</f>
        <v>0</v>
      </c>
      <c r="V78" s="29" t="n">
        <f aca="false">IF($C78=0,"",K78/$C78)</f>
        <v>-1</v>
      </c>
      <c r="W78" s="29" t="n">
        <f aca="false">IF($C78=0,"",M78/$C78)</f>
        <v>-1.0057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4</v>
      </c>
      <c r="D79" s="26" t="n">
        <v>1</v>
      </c>
      <c r="E79" s="26" t="n">
        <v>2</v>
      </c>
      <c r="F79" s="26" t="n">
        <v>2</v>
      </c>
      <c r="G79" s="26" t="n">
        <v>1</v>
      </c>
      <c r="H79" s="26" t="n">
        <v>1</v>
      </c>
      <c r="I79" s="26" t="n">
        <v>1</v>
      </c>
      <c r="J79" s="26" t="n">
        <v>0</v>
      </c>
      <c r="K79" s="27" t="n">
        <v>-0.86</v>
      </c>
      <c r="L79" s="27" t="n">
        <v>0.0183</v>
      </c>
      <c r="M79" s="19" t="n">
        <f aca="false">K79-L79</f>
        <v>-0.8783</v>
      </c>
      <c r="N79" s="26" t="n">
        <v>1</v>
      </c>
      <c r="O79" s="26" t="n">
        <v>2</v>
      </c>
      <c r="P79" s="28" t="n">
        <f aca="false">IF($C79=0,"",D79/$C79)</f>
        <v>0.25</v>
      </c>
      <c r="Q79" s="28" t="n">
        <f aca="false">IF($C79=0,"",E79/$C79)</f>
        <v>0.5</v>
      </c>
      <c r="R79" s="28" t="n">
        <f aca="false">IF($C79=0,"",F79/$C79)</f>
        <v>0.5</v>
      </c>
      <c r="S79" s="28" t="n">
        <f aca="false">IF($C79=0,"",G79/$C79)</f>
        <v>0.25</v>
      </c>
      <c r="T79" s="28" t="n">
        <f aca="false">IF($C79=0,"",H79/$C79)</f>
        <v>0.25</v>
      </c>
      <c r="U79" s="28" t="n">
        <f aca="false">IF($C79=0,"",I79/$C79)</f>
        <v>0.25</v>
      </c>
      <c r="V79" s="29" t="n">
        <f aca="false">IF($C79=0,"",K79/$C79)</f>
        <v>-0.215</v>
      </c>
      <c r="W79" s="29" t="n">
        <f aca="false">IF($C79=0,"",M79/$C79)</f>
        <v>-0.219575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0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0</v>
      </c>
      <c r="L80" s="27" t="n">
        <v>0</v>
      </c>
      <c r="M80" s="19" t="n">
        <f aca="false">K80-L80</f>
        <v>0</v>
      </c>
      <c r="N80" s="26" t="n">
        <v>0</v>
      </c>
      <c r="O80" s="26" t="n">
        <v>0</v>
      </c>
      <c r="P80" s="28" t="str">
        <f aca="false">IF($C80=0,"",D80/$C80)</f>
        <v/>
      </c>
      <c r="Q80" s="28" t="str">
        <f aca="false">IF($C80=0,"",E80/$C80)</f>
        <v/>
      </c>
      <c r="R80" s="28" t="str">
        <f aca="false">IF($C80=0,"",F80/$C80)</f>
        <v/>
      </c>
      <c r="S80" s="28" t="str">
        <f aca="false">IF($C80=0,"",G80/$C80)</f>
        <v/>
      </c>
      <c r="T80" s="28" t="str">
        <f aca="false">IF($C80=0,"",H80/$C80)</f>
        <v/>
      </c>
      <c r="U80" s="28" t="str">
        <f aca="false">IF($C80=0,"",I80/$C80)</f>
        <v/>
      </c>
      <c r="V80" s="29" t="str">
        <f aca="false">IF($C80=0,"",K80/$C80)</f>
        <v/>
      </c>
      <c r="W80" s="29" t="str">
        <f aca="false">IF($C80=0,"",M80/$C80)</f>
        <v/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22</v>
      </c>
      <c r="D81" s="30" t="n">
        <f aca="false">SUM(D71:D80)</f>
        <v>9</v>
      </c>
      <c r="E81" s="30" t="n">
        <f aca="false">SUM(E71:E80)</f>
        <v>14</v>
      </c>
      <c r="F81" s="30" t="n">
        <f aca="false">SUM(F71:F80)</f>
        <v>14</v>
      </c>
      <c r="G81" s="30" t="n">
        <f aca="false">SUM(G71:G80)</f>
        <v>11</v>
      </c>
      <c r="H81" s="30" t="n">
        <f aca="false">SUM(H71:H80)</f>
        <v>9</v>
      </c>
      <c r="I81" s="30" t="n">
        <f aca="false">SUM(I71:I80)</f>
        <v>9</v>
      </c>
      <c r="J81" s="30" t="n">
        <f aca="false">SUM(J71:J80)</f>
        <v>0</v>
      </c>
      <c r="K81" s="31" t="n">
        <f aca="false">SUM(K71:K80)</f>
        <v>1.78</v>
      </c>
      <c r="L81" s="31" t="n">
        <f aca="false">SUM(L71:L80)</f>
        <v>0.1151</v>
      </c>
      <c r="M81" s="31" t="n">
        <f aca="false">K81-L81</f>
        <v>1.6649</v>
      </c>
      <c r="N81" s="32" t="n">
        <v>9</v>
      </c>
      <c r="O81" s="32" t="n">
        <v>3</v>
      </c>
      <c r="P81" s="33" t="n">
        <f aca="false">IF($C81=0,"",D81/$C81)</f>
        <v>0.409090909090909</v>
      </c>
      <c r="Q81" s="33" t="n">
        <f aca="false">IF($C81=0,"",E81/$C81)</f>
        <v>0.636363636363636</v>
      </c>
      <c r="R81" s="33" t="n">
        <f aca="false">IF($C81=0,"",F81/$C81)</f>
        <v>0.636363636363636</v>
      </c>
      <c r="S81" s="33" t="n">
        <f aca="false">IF($C81=0,"",G81/$C81)</f>
        <v>0.5</v>
      </c>
      <c r="T81" s="33" t="n">
        <f aca="false">IF($C81=0,"",H81/$C81)</f>
        <v>0.409090909090909</v>
      </c>
      <c r="U81" s="33" t="n">
        <f aca="false">IF($C81=0,"",I81/$C81)</f>
        <v>0.409090909090909</v>
      </c>
      <c r="V81" s="34" t="n">
        <f aca="false">IF($C81=0,"",K81/$C81)</f>
        <v>0.0809090909090909</v>
      </c>
      <c r="W81" s="34" t="n">
        <f aca="false">IF($C81=0,"",M81/$C81)</f>
        <v>0.0756772727272727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195</v>
      </c>
      <c r="D82" s="5" t="n">
        <f aca="false">D18+D31+D44+D57+D70+D81</f>
        <v>86</v>
      </c>
      <c r="E82" s="5" t="n">
        <f aca="false">E18+E31+E44+E57+E70+E81</f>
        <v>139</v>
      </c>
      <c r="F82" s="5" t="n">
        <f aca="false">F18+F31+F44+F57+F70+F81</f>
        <v>139</v>
      </c>
      <c r="G82" s="5" t="n">
        <f aca="false">G18+G31+G44+G57+G70+G81</f>
        <v>111</v>
      </c>
      <c r="H82" s="5" t="n">
        <f aca="false">H18+H31+H44+H57+H70+H81</f>
        <v>94</v>
      </c>
      <c r="I82" s="5" t="n">
        <f aca="false">I18+I31+I44+I57+I70+I81</f>
        <v>86</v>
      </c>
      <c r="J82" s="5" t="n">
        <f aca="false">J18+J31+J44+J57+J70+J81</f>
        <v>0</v>
      </c>
      <c r="K82" s="21" t="n">
        <f aca="false">K18+K31+K44+K57+K70+K81</f>
        <v>38.08</v>
      </c>
      <c r="L82" s="21" t="n">
        <f aca="false">L18+L31+L44+L57+L70+L81</f>
        <v>3.6646</v>
      </c>
      <c r="M82" s="21" t="n">
        <f aca="false">K82-L82</f>
        <v>34.4154</v>
      </c>
      <c r="N82" s="35" t="n">
        <v>12</v>
      </c>
      <c r="O82" s="35" t="n">
        <v>3</v>
      </c>
      <c r="P82" s="36" t="n">
        <f aca="false">IF($C82=0,"",D82/$C82)</f>
        <v>0.441025641025641</v>
      </c>
      <c r="Q82" s="36" t="n">
        <f aca="false">IF($C82=0,"",E82/$C82)</f>
        <v>0.712820512820513</v>
      </c>
      <c r="R82" s="36" t="n">
        <f aca="false">IF($C82=0,"",F82/$C82)</f>
        <v>0.712820512820513</v>
      </c>
      <c r="S82" s="36" t="n">
        <f aca="false">IF($C82=0,"",G82/$C82)</f>
        <v>0.569230769230769</v>
      </c>
      <c r="T82" s="36" t="n">
        <f aca="false">IF($C82=0,"",H82/$C82)</f>
        <v>0.482051282051282</v>
      </c>
      <c r="U82" s="36" t="n">
        <f aca="false">IF($C82=0,"",I82/$C82)</f>
        <v>0.441025641025641</v>
      </c>
      <c r="V82" s="37" t="n">
        <f aca="false">IF($C82=0,"",K82/$C82)</f>
        <v>0.195282051282051</v>
      </c>
      <c r="W82" s="37" t="n">
        <f aca="false">IF($C82=0,"",M82/$C82)</f>
        <v>0.176489230769231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6" min="4" style="0" width="7"/>
    <col collapsed="false" customWidth="true" hidden="false" outlineLevel="0" max="8" min="7" style="0" width="9"/>
    <col collapsed="false" customWidth="true" hidden="false" outlineLevel="0" max="10" min="9" style="0" width="7"/>
    <col collapsed="false" customWidth="true" hidden="false" outlineLevel="0" max="12" min="11" style="0" width="9"/>
    <col collapsed="false" customWidth="true" hidden="false" outlineLevel="0" max="14" min="13" style="0" width="7"/>
    <col collapsed="false" customWidth="true" hidden="false" outlineLevel="0" max="16" min="15" style="0" width="9"/>
    <col collapsed="false" customWidth="true" hidden="false" outlineLevel="0" max="18" min="17" style="0" width="7"/>
    <col collapsed="false" customWidth="true" hidden="false" outlineLevel="0" max="20" min="19" style="0" width="9"/>
  </cols>
  <sheetData>
    <row r="1" customFormat="false" ht="15" hidden="false" customHeight="false" outlineLevel="0" collapsed="false">
      <c r="A1" s="3" t="s">
        <v>206</v>
      </c>
    </row>
    <row r="2" customFormat="false" ht="30" hidden="false" customHeight="true" outlineLevel="0" collapsed="false">
      <c r="A2" s="38" t="s">
        <v>207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4" customFormat="false" ht="15" hidden="false" customHeight="false" outlineLevel="0" collapsed="false">
      <c r="A4" s="6" t="s">
        <v>208</v>
      </c>
    </row>
    <row r="5" customFormat="false" ht="54" hidden="false" customHeight="true" outlineLevel="0" collapsed="false">
      <c r="A5" s="7" t="s">
        <v>135</v>
      </c>
      <c r="B5" s="7" t="s">
        <v>136</v>
      </c>
      <c r="C5" s="7" t="s">
        <v>137</v>
      </c>
      <c r="D5" s="7" t="s">
        <v>138</v>
      </c>
      <c r="E5" s="7" t="s">
        <v>161</v>
      </c>
      <c r="F5" s="7" t="s">
        <v>141</v>
      </c>
      <c r="G5" s="7" t="s">
        <v>209</v>
      </c>
      <c r="H5" s="7" t="s">
        <v>210</v>
      </c>
      <c r="I5" s="7" t="s">
        <v>162</v>
      </c>
      <c r="J5" s="7" t="s">
        <v>142</v>
      </c>
      <c r="K5" s="7" t="s">
        <v>211</v>
      </c>
      <c r="L5" s="7" t="s">
        <v>212</v>
      </c>
      <c r="M5" s="7" t="s">
        <v>163</v>
      </c>
      <c r="N5" s="7" t="s">
        <v>143</v>
      </c>
      <c r="O5" s="7" t="s">
        <v>213</v>
      </c>
      <c r="P5" s="7" t="s">
        <v>214</v>
      </c>
      <c r="Q5" s="7" t="s">
        <v>164</v>
      </c>
      <c r="R5" s="7" t="s">
        <v>144</v>
      </c>
      <c r="S5" s="7" t="s">
        <v>215</v>
      </c>
      <c r="T5" s="7" t="s">
        <v>216</v>
      </c>
    </row>
    <row r="6" customFormat="false" ht="15" hidden="false" customHeight="false" outlineLevel="0" collapsed="false">
      <c r="A6" s="8" t="s">
        <v>23</v>
      </c>
      <c r="B6" s="8" t="s">
        <v>148</v>
      </c>
      <c r="C6" s="8" t="s">
        <v>149</v>
      </c>
      <c r="D6" s="26" t="n">
        <v>1290</v>
      </c>
      <c r="E6" s="26" t="n">
        <v>706</v>
      </c>
      <c r="F6" s="28" t="n">
        <f aca="false">IF($D6=0,"",E6/$D6)</f>
        <v>0.547286821705426</v>
      </c>
      <c r="G6" s="26" t="n">
        <v>11</v>
      </c>
      <c r="H6" s="26" t="n">
        <v>11</v>
      </c>
      <c r="I6" s="26" t="n">
        <v>567</v>
      </c>
      <c r="J6" s="28" t="n">
        <f aca="false">IF($D6=0,"",I6/$D6)</f>
        <v>0.43953488372093</v>
      </c>
      <c r="K6" s="26" t="n">
        <v>7</v>
      </c>
      <c r="L6" s="26" t="n">
        <v>18</v>
      </c>
      <c r="M6" s="26" t="n">
        <v>455</v>
      </c>
      <c r="N6" s="28" t="n">
        <f aca="false">IF($D6=0,"",M6/$D6)</f>
        <v>0.352713178294574</v>
      </c>
      <c r="O6" s="26" t="n">
        <v>7</v>
      </c>
      <c r="P6" s="26" t="n">
        <v>18</v>
      </c>
      <c r="Q6" s="26" t="n">
        <v>367</v>
      </c>
      <c r="R6" s="28" t="n">
        <f aca="false">IF($D6=0,"",Q6/$D6)</f>
        <v>0.284496124031008</v>
      </c>
      <c r="S6" s="26" t="n">
        <v>5</v>
      </c>
      <c r="T6" s="26" t="n">
        <v>22</v>
      </c>
    </row>
    <row r="7" customFormat="false" ht="15" hidden="false" customHeight="false" outlineLevel="0" collapsed="false">
      <c r="A7" s="8" t="s">
        <v>23</v>
      </c>
      <c r="B7" s="8" t="s">
        <v>148</v>
      </c>
      <c r="C7" s="8" t="s">
        <v>150</v>
      </c>
      <c r="D7" s="26" t="n">
        <v>1290</v>
      </c>
      <c r="E7" s="26" t="n">
        <v>738</v>
      </c>
      <c r="F7" s="28" t="n">
        <f aca="false">IF($D7=0,"",E7/$D7)</f>
        <v>0.572093023255814</v>
      </c>
      <c r="G7" s="26" t="n">
        <v>10</v>
      </c>
      <c r="H7" s="26" t="n">
        <v>9</v>
      </c>
      <c r="I7" s="26" t="n">
        <v>582</v>
      </c>
      <c r="J7" s="28" t="n">
        <f aca="false">IF($D7=0,"",I7/$D7)</f>
        <v>0.451162790697674</v>
      </c>
      <c r="K7" s="26" t="n">
        <v>7</v>
      </c>
      <c r="L7" s="26" t="n">
        <v>9</v>
      </c>
      <c r="M7" s="26" t="n">
        <v>471</v>
      </c>
      <c r="N7" s="28" t="n">
        <f aca="false">IF($D7=0,"",M7/$D7)</f>
        <v>0.365116279069767</v>
      </c>
      <c r="O7" s="26" t="n">
        <v>6</v>
      </c>
      <c r="P7" s="26" t="n">
        <v>12</v>
      </c>
      <c r="Q7" s="26" t="n">
        <v>403</v>
      </c>
      <c r="R7" s="28" t="n">
        <f aca="false">IF($D7=0,"",Q7/$D7)</f>
        <v>0.312403100775194</v>
      </c>
      <c r="S7" s="26" t="n">
        <v>6</v>
      </c>
      <c r="T7" s="26" t="n">
        <v>16</v>
      </c>
    </row>
    <row r="8" customFormat="false" ht="15" hidden="false" customHeight="false" outlineLevel="0" collapsed="false">
      <c r="A8" s="8" t="s">
        <v>23</v>
      </c>
      <c r="B8" s="8" t="s">
        <v>148</v>
      </c>
      <c r="C8" s="8" t="s">
        <v>151</v>
      </c>
      <c r="D8" s="26" t="n">
        <v>1285</v>
      </c>
      <c r="E8" s="26" t="n">
        <v>758</v>
      </c>
      <c r="F8" s="28" t="n">
        <f aca="false">IF($D8=0,"",E8/$D8)</f>
        <v>0.58988326848249</v>
      </c>
      <c r="G8" s="26" t="n">
        <v>10</v>
      </c>
      <c r="H8" s="26" t="n">
        <v>8</v>
      </c>
      <c r="I8" s="26" t="n">
        <v>605</v>
      </c>
      <c r="J8" s="28" t="n">
        <f aca="false">IF($D8=0,"",I8/$D8)</f>
        <v>0.470817120622568</v>
      </c>
      <c r="K8" s="26" t="n">
        <v>9</v>
      </c>
      <c r="L8" s="26" t="n">
        <v>12</v>
      </c>
      <c r="M8" s="26" t="n">
        <v>496</v>
      </c>
      <c r="N8" s="28" t="n">
        <f aca="false">IF($D8=0,"",M8/$D8)</f>
        <v>0.385992217898833</v>
      </c>
      <c r="O8" s="26" t="n">
        <v>8</v>
      </c>
      <c r="P8" s="26" t="n">
        <v>16</v>
      </c>
      <c r="Q8" s="26" t="n">
        <v>414</v>
      </c>
      <c r="R8" s="28" t="n">
        <f aca="false">IF($D8=0,"",Q8/$D8)</f>
        <v>0.322178988326848</v>
      </c>
      <c r="S8" s="26" t="n">
        <v>6</v>
      </c>
      <c r="T8" s="26" t="n">
        <v>17</v>
      </c>
    </row>
    <row r="9" customFormat="false" ht="15" hidden="false" customHeight="false" outlineLevel="0" collapsed="false">
      <c r="A9" s="8" t="s">
        <v>23</v>
      </c>
      <c r="B9" s="8" t="s">
        <v>148</v>
      </c>
      <c r="C9" s="8" t="s">
        <v>152</v>
      </c>
      <c r="D9" s="26" t="n">
        <v>1295</v>
      </c>
      <c r="E9" s="26" t="n">
        <v>752</v>
      </c>
      <c r="F9" s="28" t="n">
        <f aca="false">IF($D9=0,"",E9/$D9)</f>
        <v>0.580694980694981</v>
      </c>
      <c r="G9" s="26" t="n">
        <v>12</v>
      </c>
      <c r="H9" s="26" t="n">
        <v>6</v>
      </c>
      <c r="I9" s="26" t="n">
        <v>614</v>
      </c>
      <c r="J9" s="28" t="n">
        <f aca="false">IF($D9=0,"",I9/$D9)</f>
        <v>0.474131274131274</v>
      </c>
      <c r="K9" s="26" t="n">
        <v>9</v>
      </c>
      <c r="L9" s="26" t="n">
        <v>8</v>
      </c>
      <c r="M9" s="26" t="n">
        <v>480</v>
      </c>
      <c r="N9" s="28" t="n">
        <f aca="false">IF($D9=0,"",M9/$D9)</f>
        <v>0.370656370656371</v>
      </c>
      <c r="O9" s="26" t="n">
        <v>5</v>
      </c>
      <c r="P9" s="26" t="n">
        <v>13</v>
      </c>
      <c r="Q9" s="26" t="n">
        <v>399</v>
      </c>
      <c r="R9" s="28" t="n">
        <f aca="false">IF($D9=0,"",Q9/$D9)</f>
        <v>0.308108108108108</v>
      </c>
      <c r="S9" s="26" t="n">
        <v>5</v>
      </c>
      <c r="T9" s="26" t="n">
        <v>20</v>
      </c>
    </row>
    <row r="10" customFormat="false" ht="15" hidden="false" customHeight="false" outlineLevel="0" collapsed="false">
      <c r="A10" s="8" t="s">
        <v>23</v>
      </c>
      <c r="B10" s="8" t="s">
        <v>148</v>
      </c>
      <c r="C10" s="8" t="s">
        <v>153</v>
      </c>
      <c r="D10" s="26" t="n">
        <v>1290</v>
      </c>
      <c r="E10" s="26" t="n">
        <v>777</v>
      </c>
      <c r="F10" s="28" t="n">
        <f aca="false">IF($D10=0,"",E10/$D10)</f>
        <v>0.602325581395349</v>
      </c>
      <c r="G10" s="26" t="n">
        <v>12</v>
      </c>
      <c r="H10" s="26" t="n">
        <v>13</v>
      </c>
      <c r="I10" s="26" t="n">
        <v>641</v>
      </c>
      <c r="J10" s="28" t="n">
        <f aca="false">IF($D10=0,"",I10/$D10)</f>
        <v>0.496899224806202</v>
      </c>
      <c r="K10" s="26" t="n">
        <v>7</v>
      </c>
      <c r="L10" s="26" t="n">
        <v>16</v>
      </c>
      <c r="M10" s="26" t="n">
        <v>529</v>
      </c>
      <c r="N10" s="28" t="n">
        <f aca="false">IF($D10=0,"",M10/$D10)</f>
        <v>0.410077519379845</v>
      </c>
      <c r="O10" s="26" t="n">
        <v>6</v>
      </c>
      <c r="P10" s="26" t="n">
        <v>19</v>
      </c>
      <c r="Q10" s="26" t="n">
        <v>439</v>
      </c>
      <c r="R10" s="28" t="n">
        <f aca="false">IF($D10=0,"",Q10/$D10)</f>
        <v>0.34031007751938</v>
      </c>
      <c r="S10" s="26" t="n">
        <v>6</v>
      </c>
      <c r="T10" s="26" t="n">
        <v>19</v>
      </c>
    </row>
    <row r="11" customFormat="false" ht="15" hidden="false" customHeight="false" outlineLevel="0" collapsed="false">
      <c r="A11" s="8" t="s">
        <v>23</v>
      </c>
      <c r="B11" s="8" t="s">
        <v>148</v>
      </c>
      <c r="C11" s="8" t="s">
        <v>154</v>
      </c>
      <c r="D11" s="26" t="n">
        <v>975</v>
      </c>
      <c r="E11" s="26" t="n">
        <v>596</v>
      </c>
      <c r="F11" s="28" t="n">
        <f aca="false">IF($D11=0,"",E11/$D11)</f>
        <v>0.611282051282051</v>
      </c>
      <c r="G11" s="26" t="n">
        <v>11</v>
      </c>
      <c r="H11" s="26" t="n">
        <v>6</v>
      </c>
      <c r="I11" s="26" t="n">
        <v>479</v>
      </c>
      <c r="J11" s="28" t="n">
        <f aca="false">IF($D11=0,"",I11/$D11)</f>
        <v>0.491282051282051</v>
      </c>
      <c r="K11" s="26" t="n">
        <v>9</v>
      </c>
      <c r="L11" s="26" t="n">
        <v>10</v>
      </c>
      <c r="M11" s="26" t="n">
        <v>385</v>
      </c>
      <c r="N11" s="28" t="n">
        <f aca="false">IF($D11=0,"",M11/$D11)</f>
        <v>0.394871794871795</v>
      </c>
      <c r="O11" s="26" t="n">
        <v>7</v>
      </c>
      <c r="P11" s="26" t="n">
        <v>12</v>
      </c>
      <c r="Q11" s="26" t="n">
        <v>319</v>
      </c>
      <c r="R11" s="28" t="n">
        <f aca="false">IF($D11=0,"",Q11/$D11)</f>
        <v>0.327179487179487</v>
      </c>
      <c r="S11" s="26" t="n">
        <v>7</v>
      </c>
      <c r="T11" s="26" t="n">
        <v>17</v>
      </c>
    </row>
    <row r="12" customFormat="false" ht="15" hidden="false" customHeight="false" outlineLevel="0" collapsed="false">
      <c r="A12" s="5" t="s">
        <v>23</v>
      </c>
      <c r="B12" s="5" t="s">
        <v>148</v>
      </c>
      <c r="C12" s="5" t="s">
        <v>155</v>
      </c>
      <c r="D12" s="35" t="n">
        <v>7425</v>
      </c>
      <c r="E12" s="35" t="n">
        <v>4327</v>
      </c>
      <c r="F12" s="36" t="n">
        <f aca="false">IF($D12=0,"",E12/$D12)</f>
        <v>0.582760942760943</v>
      </c>
      <c r="G12" s="35" t="n">
        <v>12</v>
      </c>
      <c r="H12" s="35" t="n">
        <v>13</v>
      </c>
      <c r="I12" s="35" t="n">
        <v>3488</v>
      </c>
      <c r="J12" s="36" t="n">
        <f aca="false">IF($D12=0,"",I12/$D12)</f>
        <v>0.46976430976431</v>
      </c>
      <c r="K12" s="35" t="n">
        <v>9</v>
      </c>
      <c r="L12" s="35" t="n">
        <v>18</v>
      </c>
      <c r="M12" s="35" t="n">
        <v>2816</v>
      </c>
      <c r="N12" s="36" t="n">
        <f aca="false">IF($D12=0,"",M12/$D12)</f>
        <v>0.379259259259259</v>
      </c>
      <c r="O12" s="35" t="n">
        <v>8</v>
      </c>
      <c r="P12" s="35" t="n">
        <v>19</v>
      </c>
      <c r="Q12" s="35" t="n">
        <v>2341</v>
      </c>
      <c r="R12" s="36" t="n">
        <f aca="false">IF($D12=0,"",Q12/$D12)</f>
        <v>0.315286195286195</v>
      </c>
      <c r="S12" s="35" t="n">
        <v>7</v>
      </c>
      <c r="T12" s="35" t="n">
        <v>22</v>
      </c>
    </row>
    <row r="14" customFormat="false" ht="15" hidden="false" customHeight="false" outlineLevel="0" collapsed="false">
      <c r="A14" s="8" t="s">
        <v>23</v>
      </c>
      <c r="B14" s="8" t="s">
        <v>24</v>
      </c>
      <c r="C14" s="8" t="s">
        <v>149</v>
      </c>
      <c r="D14" s="26" t="n">
        <v>317</v>
      </c>
      <c r="E14" s="26" t="n">
        <v>199</v>
      </c>
      <c r="F14" s="28" t="n">
        <f aca="false">IF($D14=0,"",E14/$D14)</f>
        <v>0.627760252365931</v>
      </c>
      <c r="G14" s="26" t="n">
        <v>10</v>
      </c>
      <c r="H14" s="26" t="n">
        <v>5</v>
      </c>
      <c r="I14" s="26" t="n">
        <v>160</v>
      </c>
      <c r="J14" s="28" t="n">
        <f aca="false">IF($D14=0,"",I14/$D14)</f>
        <v>0.504731861198738</v>
      </c>
      <c r="K14" s="26" t="n">
        <v>6</v>
      </c>
      <c r="L14" s="26" t="n">
        <v>8</v>
      </c>
      <c r="M14" s="26" t="n">
        <v>131</v>
      </c>
      <c r="N14" s="28" t="n">
        <f aca="false">IF($D14=0,"",M14/$D14)</f>
        <v>0.413249211356467</v>
      </c>
      <c r="O14" s="26" t="n">
        <v>4</v>
      </c>
      <c r="P14" s="26" t="n">
        <v>9</v>
      </c>
      <c r="Q14" s="26" t="n">
        <v>112</v>
      </c>
      <c r="R14" s="28" t="n">
        <f aca="false">IF($D14=0,"",Q14/$D14)</f>
        <v>0.353312302839117</v>
      </c>
      <c r="S14" s="26" t="n">
        <v>3</v>
      </c>
      <c r="T14" s="26" t="n">
        <v>10</v>
      </c>
    </row>
    <row r="15" customFormat="false" ht="15" hidden="false" customHeight="false" outlineLevel="0" collapsed="false">
      <c r="A15" s="8" t="s">
        <v>23</v>
      </c>
      <c r="B15" s="8" t="s">
        <v>24</v>
      </c>
      <c r="C15" s="8" t="s">
        <v>150</v>
      </c>
      <c r="D15" s="26" t="n">
        <v>334</v>
      </c>
      <c r="E15" s="26" t="n">
        <v>218</v>
      </c>
      <c r="F15" s="28" t="n">
        <f aca="false">IF($D15=0,"",E15/$D15)</f>
        <v>0.652694610778443</v>
      </c>
      <c r="G15" s="26" t="n">
        <v>8</v>
      </c>
      <c r="H15" s="26" t="n">
        <v>4</v>
      </c>
      <c r="I15" s="26" t="n">
        <v>182</v>
      </c>
      <c r="J15" s="28" t="n">
        <f aca="false">IF($D15=0,"",I15/$D15)</f>
        <v>0.544910179640719</v>
      </c>
      <c r="K15" s="26" t="n">
        <v>7</v>
      </c>
      <c r="L15" s="26" t="n">
        <v>7</v>
      </c>
      <c r="M15" s="26" t="n">
        <v>150</v>
      </c>
      <c r="N15" s="28" t="n">
        <f aca="false">IF($D15=0,"",M15/$D15)</f>
        <v>0.449101796407186</v>
      </c>
      <c r="O15" s="26" t="n">
        <v>7</v>
      </c>
      <c r="P15" s="26" t="n">
        <v>8</v>
      </c>
      <c r="Q15" s="26" t="n">
        <v>123</v>
      </c>
      <c r="R15" s="28" t="n">
        <f aca="false">IF($D15=0,"",Q15/$D15)</f>
        <v>0.368263473053892</v>
      </c>
      <c r="S15" s="26" t="n">
        <v>5</v>
      </c>
      <c r="T15" s="26" t="n">
        <v>12</v>
      </c>
    </row>
    <row r="16" customFormat="false" ht="15" hidden="false" customHeight="false" outlineLevel="0" collapsed="false">
      <c r="A16" s="8" t="s">
        <v>23</v>
      </c>
      <c r="B16" s="8" t="s">
        <v>24</v>
      </c>
      <c r="C16" s="8" t="s">
        <v>151</v>
      </c>
      <c r="D16" s="26" t="n">
        <v>329</v>
      </c>
      <c r="E16" s="26" t="n">
        <v>223</v>
      </c>
      <c r="F16" s="28" t="n">
        <f aca="false">IF($D16=0,"",E16/$D16)</f>
        <v>0.677811550151976</v>
      </c>
      <c r="G16" s="26" t="n">
        <v>14</v>
      </c>
      <c r="H16" s="26" t="n">
        <v>3</v>
      </c>
      <c r="I16" s="26" t="n">
        <v>185</v>
      </c>
      <c r="J16" s="28" t="n">
        <f aca="false">IF($D16=0,"",I16/$D16)</f>
        <v>0.562310030395137</v>
      </c>
      <c r="K16" s="26" t="n">
        <v>9</v>
      </c>
      <c r="L16" s="26" t="n">
        <v>5</v>
      </c>
      <c r="M16" s="26" t="n">
        <v>151</v>
      </c>
      <c r="N16" s="28" t="n">
        <f aca="false">IF($D16=0,"",M16/$D16)</f>
        <v>0.458966565349544</v>
      </c>
      <c r="O16" s="26" t="n">
        <v>8</v>
      </c>
      <c r="P16" s="26" t="n">
        <v>8</v>
      </c>
      <c r="Q16" s="26" t="n">
        <v>131</v>
      </c>
      <c r="R16" s="28" t="n">
        <f aca="false">IF($D16=0,"",Q16/$D16)</f>
        <v>0.398176291793313</v>
      </c>
      <c r="S16" s="26" t="n">
        <v>8</v>
      </c>
      <c r="T16" s="26" t="n">
        <v>8</v>
      </c>
    </row>
    <row r="17" customFormat="false" ht="15" hidden="false" customHeight="false" outlineLevel="0" collapsed="false">
      <c r="A17" s="8" t="s">
        <v>23</v>
      </c>
      <c r="B17" s="8" t="s">
        <v>24</v>
      </c>
      <c r="C17" s="8" t="s">
        <v>152</v>
      </c>
      <c r="D17" s="26" t="n">
        <v>344</v>
      </c>
      <c r="E17" s="26" t="n">
        <v>199</v>
      </c>
      <c r="F17" s="28" t="n">
        <f aca="false">IF($D17=0,"",E17/$D17)</f>
        <v>0.578488372093023</v>
      </c>
      <c r="G17" s="26" t="n">
        <v>10</v>
      </c>
      <c r="H17" s="26" t="n">
        <v>7</v>
      </c>
      <c r="I17" s="26" t="n">
        <v>169</v>
      </c>
      <c r="J17" s="28" t="n">
        <f aca="false">IF($D17=0,"",I17/$D17)</f>
        <v>0.491279069767442</v>
      </c>
      <c r="K17" s="26" t="n">
        <v>8</v>
      </c>
      <c r="L17" s="26" t="n">
        <v>7</v>
      </c>
      <c r="M17" s="26" t="n">
        <v>135</v>
      </c>
      <c r="N17" s="28" t="n">
        <f aca="false">IF($D17=0,"",M17/$D17)</f>
        <v>0.392441860465116</v>
      </c>
      <c r="O17" s="26" t="n">
        <v>5</v>
      </c>
      <c r="P17" s="26" t="n">
        <v>8</v>
      </c>
      <c r="Q17" s="26" t="n">
        <v>117</v>
      </c>
      <c r="R17" s="28" t="n">
        <f aca="false">IF($D17=0,"",Q17/$D17)</f>
        <v>0.340116279069767</v>
      </c>
      <c r="S17" s="26" t="n">
        <v>4</v>
      </c>
      <c r="T17" s="26" t="n">
        <v>8</v>
      </c>
    </row>
    <row r="18" customFormat="false" ht="15" hidden="false" customHeight="false" outlineLevel="0" collapsed="false">
      <c r="A18" s="8" t="s">
        <v>23</v>
      </c>
      <c r="B18" s="8" t="s">
        <v>24</v>
      </c>
      <c r="C18" s="8" t="s">
        <v>153</v>
      </c>
      <c r="D18" s="26" t="n">
        <v>361</v>
      </c>
      <c r="E18" s="26" t="n">
        <v>223</v>
      </c>
      <c r="F18" s="28" t="n">
        <f aca="false">IF($D18=0,"",E18/$D18)</f>
        <v>0.617728531855956</v>
      </c>
      <c r="G18" s="26" t="n">
        <v>13</v>
      </c>
      <c r="H18" s="26" t="n">
        <v>5</v>
      </c>
      <c r="I18" s="26" t="n">
        <v>183</v>
      </c>
      <c r="J18" s="28" t="n">
        <f aca="false">IF($D18=0,"",I18/$D18)</f>
        <v>0.506925207756233</v>
      </c>
      <c r="K18" s="26" t="n">
        <v>6</v>
      </c>
      <c r="L18" s="26" t="n">
        <v>6</v>
      </c>
      <c r="M18" s="26" t="n">
        <v>157</v>
      </c>
      <c r="N18" s="28" t="n">
        <f aca="false">IF($D18=0,"",M18/$D18)</f>
        <v>0.434903047091413</v>
      </c>
      <c r="O18" s="26" t="n">
        <v>6</v>
      </c>
      <c r="P18" s="26" t="n">
        <v>8</v>
      </c>
      <c r="Q18" s="26" t="n">
        <v>134</v>
      </c>
      <c r="R18" s="28" t="n">
        <f aca="false">IF($D18=0,"",Q18/$D18)</f>
        <v>0.371191135734072</v>
      </c>
      <c r="S18" s="26" t="n">
        <v>5</v>
      </c>
      <c r="T18" s="26" t="n">
        <v>12</v>
      </c>
    </row>
    <row r="19" customFormat="false" ht="15" hidden="false" customHeight="false" outlineLevel="0" collapsed="false">
      <c r="A19" s="8" t="s">
        <v>23</v>
      </c>
      <c r="B19" s="8" t="s">
        <v>24</v>
      </c>
      <c r="C19" s="8" t="s">
        <v>154</v>
      </c>
      <c r="D19" s="26" t="n">
        <v>273</v>
      </c>
      <c r="E19" s="26" t="n">
        <v>171</v>
      </c>
      <c r="F19" s="28" t="n">
        <f aca="false">IF($D19=0,"",E19/$D19)</f>
        <v>0.626373626373626</v>
      </c>
      <c r="G19" s="26" t="n">
        <v>9</v>
      </c>
      <c r="H19" s="26" t="n">
        <v>5</v>
      </c>
      <c r="I19" s="26" t="n">
        <v>141</v>
      </c>
      <c r="J19" s="28" t="n">
        <f aca="false">IF($D19=0,"",I19/$D19)</f>
        <v>0.516483516483517</v>
      </c>
      <c r="K19" s="26" t="n">
        <v>6</v>
      </c>
      <c r="L19" s="26" t="n">
        <v>8</v>
      </c>
      <c r="M19" s="26" t="n">
        <v>110</v>
      </c>
      <c r="N19" s="28" t="n">
        <f aca="false">IF($D19=0,"",M19/$D19)</f>
        <v>0.402930402930403</v>
      </c>
      <c r="O19" s="26" t="n">
        <v>4</v>
      </c>
      <c r="P19" s="26" t="n">
        <v>9</v>
      </c>
      <c r="Q19" s="26" t="n">
        <v>100</v>
      </c>
      <c r="R19" s="28" t="n">
        <f aca="false">IF($D19=0,"",Q19/$D19)</f>
        <v>0.366300366300366</v>
      </c>
      <c r="S19" s="26" t="n">
        <v>4</v>
      </c>
      <c r="T19" s="26" t="n">
        <v>14</v>
      </c>
    </row>
    <row r="20" customFormat="false" ht="15" hidden="false" customHeight="false" outlineLevel="0" collapsed="false">
      <c r="A20" s="5" t="s">
        <v>23</v>
      </c>
      <c r="B20" s="5" t="s">
        <v>24</v>
      </c>
      <c r="C20" s="5" t="s">
        <v>155</v>
      </c>
      <c r="D20" s="35" t="n">
        <v>1958</v>
      </c>
      <c r="E20" s="35" t="n">
        <v>1233</v>
      </c>
      <c r="F20" s="36" t="n">
        <f aca="false">IF($D20=0,"",E20/$D20)</f>
        <v>0.629724208375894</v>
      </c>
      <c r="G20" s="35" t="n">
        <v>14</v>
      </c>
      <c r="H20" s="35" t="n">
        <v>7</v>
      </c>
      <c r="I20" s="35" t="n">
        <v>1020</v>
      </c>
      <c r="J20" s="36" t="n">
        <f aca="false">IF($D20=0,"",I20/$D20)</f>
        <v>0.52093973442288</v>
      </c>
      <c r="K20" s="35" t="n">
        <v>9</v>
      </c>
      <c r="L20" s="35" t="n">
        <v>8</v>
      </c>
      <c r="M20" s="35" t="n">
        <v>834</v>
      </c>
      <c r="N20" s="36" t="n">
        <f aca="false">IF($D20=0,"",M20/$D20)</f>
        <v>0.425944841675179</v>
      </c>
      <c r="O20" s="35" t="n">
        <v>8</v>
      </c>
      <c r="P20" s="35" t="n">
        <v>9</v>
      </c>
      <c r="Q20" s="35" t="n">
        <v>717</v>
      </c>
      <c r="R20" s="36" t="n">
        <f aca="false">IF($D20=0,"",Q20/$D20)</f>
        <v>0.366189989785495</v>
      </c>
      <c r="S20" s="35" t="n">
        <v>8</v>
      </c>
      <c r="T20" s="35" t="n">
        <v>14</v>
      </c>
    </row>
    <row r="22" customFormat="false" ht="15" hidden="false" customHeight="false" outlineLevel="0" collapsed="false">
      <c r="A22" s="8" t="s">
        <v>23</v>
      </c>
      <c r="B22" s="8" t="s">
        <v>59</v>
      </c>
      <c r="C22" s="8" t="s">
        <v>149</v>
      </c>
      <c r="D22" s="26" t="n">
        <v>291</v>
      </c>
      <c r="E22" s="26" t="n">
        <v>182</v>
      </c>
      <c r="F22" s="28" t="n">
        <f aca="false">IF($D22=0,"",E22/$D22)</f>
        <v>0.625429553264605</v>
      </c>
      <c r="G22" s="26" t="n">
        <v>9</v>
      </c>
      <c r="H22" s="26" t="n">
        <v>5</v>
      </c>
      <c r="I22" s="26" t="n">
        <v>148</v>
      </c>
      <c r="J22" s="28" t="n">
        <f aca="false">IF($D22=0,"",I22/$D22)</f>
        <v>0.508591065292096</v>
      </c>
      <c r="K22" s="26" t="n">
        <v>6</v>
      </c>
      <c r="L22" s="26" t="n">
        <v>8</v>
      </c>
      <c r="M22" s="26" t="n">
        <v>120</v>
      </c>
      <c r="N22" s="28" t="n">
        <f aca="false">IF($D22=0,"",M22/$D22)</f>
        <v>0.412371134020619</v>
      </c>
      <c r="O22" s="26" t="n">
        <v>4</v>
      </c>
      <c r="P22" s="26" t="n">
        <v>9</v>
      </c>
      <c r="Q22" s="26" t="n">
        <v>101</v>
      </c>
      <c r="R22" s="28" t="n">
        <f aca="false">IF($D22=0,"",Q22/$D22)</f>
        <v>0.347079037800687</v>
      </c>
      <c r="S22" s="26" t="n">
        <v>3</v>
      </c>
      <c r="T22" s="26" t="n">
        <v>10</v>
      </c>
    </row>
    <row r="23" customFormat="false" ht="15" hidden="false" customHeight="false" outlineLevel="0" collapsed="false">
      <c r="A23" s="8" t="s">
        <v>23</v>
      </c>
      <c r="B23" s="8" t="s">
        <v>59</v>
      </c>
      <c r="C23" s="8" t="s">
        <v>150</v>
      </c>
      <c r="D23" s="26" t="n">
        <v>311</v>
      </c>
      <c r="E23" s="26" t="n">
        <v>204</v>
      </c>
      <c r="F23" s="28" t="n">
        <f aca="false">IF($D23=0,"",E23/$D23)</f>
        <v>0.655948553054662</v>
      </c>
      <c r="G23" s="26" t="n">
        <v>9</v>
      </c>
      <c r="H23" s="26" t="n">
        <v>5</v>
      </c>
      <c r="I23" s="26" t="n">
        <v>169</v>
      </c>
      <c r="J23" s="28" t="n">
        <f aca="false">IF($D23=0,"",I23/$D23)</f>
        <v>0.543408360128617</v>
      </c>
      <c r="K23" s="26" t="n">
        <v>7</v>
      </c>
      <c r="L23" s="26" t="n">
        <v>6</v>
      </c>
      <c r="M23" s="26" t="n">
        <v>138</v>
      </c>
      <c r="N23" s="28" t="n">
        <f aca="false">IF($D23=0,"",M23/$D23)</f>
        <v>0.443729903536978</v>
      </c>
      <c r="O23" s="26" t="n">
        <v>6</v>
      </c>
      <c r="P23" s="26" t="n">
        <v>9</v>
      </c>
      <c r="Q23" s="26" t="n">
        <v>116</v>
      </c>
      <c r="R23" s="28" t="n">
        <f aca="false">IF($D23=0,"",Q23/$D23)</f>
        <v>0.372990353697749</v>
      </c>
      <c r="S23" s="26" t="n">
        <v>6</v>
      </c>
      <c r="T23" s="26" t="n">
        <v>10</v>
      </c>
    </row>
    <row r="24" customFormat="false" ht="15" hidden="false" customHeight="false" outlineLevel="0" collapsed="false">
      <c r="A24" s="8" t="s">
        <v>23</v>
      </c>
      <c r="B24" s="8" t="s">
        <v>59</v>
      </c>
      <c r="C24" s="8" t="s">
        <v>151</v>
      </c>
      <c r="D24" s="26" t="n">
        <v>307</v>
      </c>
      <c r="E24" s="26" t="n">
        <v>202</v>
      </c>
      <c r="F24" s="28" t="n">
        <f aca="false">IF($D24=0,"",E24/$D24)</f>
        <v>0.657980456026059</v>
      </c>
      <c r="G24" s="26" t="n">
        <v>15</v>
      </c>
      <c r="H24" s="26" t="n">
        <v>3</v>
      </c>
      <c r="I24" s="26" t="n">
        <v>167</v>
      </c>
      <c r="J24" s="28" t="n">
        <f aca="false">IF($D24=0,"",I24/$D24)</f>
        <v>0.543973941368078</v>
      </c>
      <c r="K24" s="26" t="n">
        <v>8</v>
      </c>
      <c r="L24" s="26" t="n">
        <v>6</v>
      </c>
      <c r="M24" s="26" t="n">
        <v>134</v>
      </c>
      <c r="N24" s="28" t="n">
        <f aca="false">IF($D24=0,"",M24/$D24)</f>
        <v>0.436482084690554</v>
      </c>
      <c r="O24" s="26" t="n">
        <v>7</v>
      </c>
      <c r="P24" s="26" t="n">
        <v>8</v>
      </c>
      <c r="Q24" s="26" t="n">
        <v>115</v>
      </c>
      <c r="R24" s="28" t="n">
        <f aca="false">IF($D24=0,"",Q24/$D24)</f>
        <v>0.374592833876222</v>
      </c>
      <c r="S24" s="26" t="n">
        <v>7</v>
      </c>
      <c r="T24" s="26" t="n">
        <v>9</v>
      </c>
    </row>
    <row r="25" customFormat="false" ht="15" hidden="false" customHeight="false" outlineLevel="0" collapsed="false">
      <c r="A25" s="8" t="s">
        <v>23</v>
      </c>
      <c r="B25" s="8" t="s">
        <v>59</v>
      </c>
      <c r="C25" s="8" t="s">
        <v>152</v>
      </c>
      <c r="D25" s="26" t="n">
        <v>314</v>
      </c>
      <c r="E25" s="26" t="n">
        <v>181</v>
      </c>
      <c r="F25" s="28" t="n">
        <f aca="false">IF($D25=0,"",E25/$D25)</f>
        <v>0.576433121019108</v>
      </c>
      <c r="G25" s="26" t="n">
        <v>10</v>
      </c>
      <c r="H25" s="26" t="n">
        <v>7</v>
      </c>
      <c r="I25" s="26" t="n">
        <v>154</v>
      </c>
      <c r="J25" s="28" t="n">
        <f aca="false">IF($D25=0,"",I25/$D25)</f>
        <v>0.490445859872611</v>
      </c>
      <c r="K25" s="26" t="n">
        <v>6</v>
      </c>
      <c r="L25" s="26" t="n">
        <v>7</v>
      </c>
      <c r="M25" s="26" t="n">
        <v>125</v>
      </c>
      <c r="N25" s="28" t="n">
        <f aca="false">IF($D25=0,"",M25/$D25)</f>
        <v>0.398089171974522</v>
      </c>
      <c r="O25" s="26" t="n">
        <v>5</v>
      </c>
      <c r="P25" s="26" t="n">
        <v>8</v>
      </c>
      <c r="Q25" s="26" t="n">
        <v>107</v>
      </c>
      <c r="R25" s="28" t="n">
        <f aca="false">IF($D25=0,"",Q25/$D25)</f>
        <v>0.340764331210191</v>
      </c>
      <c r="S25" s="26" t="n">
        <v>4</v>
      </c>
      <c r="T25" s="26" t="n">
        <v>9</v>
      </c>
    </row>
    <row r="26" customFormat="false" ht="15" hidden="false" customHeight="false" outlineLevel="0" collapsed="false">
      <c r="A26" s="8" t="s">
        <v>23</v>
      </c>
      <c r="B26" s="8" t="s">
        <v>59</v>
      </c>
      <c r="C26" s="8" t="s">
        <v>153</v>
      </c>
      <c r="D26" s="26" t="n">
        <v>329</v>
      </c>
      <c r="E26" s="26" t="n">
        <v>204</v>
      </c>
      <c r="F26" s="28" t="n">
        <f aca="false">IF($D26=0,"",E26/$D26)</f>
        <v>0.620060790273556</v>
      </c>
      <c r="G26" s="26" t="n">
        <v>13</v>
      </c>
      <c r="H26" s="26" t="n">
        <v>4</v>
      </c>
      <c r="I26" s="26" t="n">
        <v>167</v>
      </c>
      <c r="J26" s="28" t="n">
        <f aca="false">IF($D26=0,"",I26/$D26)</f>
        <v>0.507598784194529</v>
      </c>
      <c r="K26" s="26" t="n">
        <v>6</v>
      </c>
      <c r="L26" s="26" t="n">
        <v>5</v>
      </c>
      <c r="M26" s="26" t="n">
        <v>145</v>
      </c>
      <c r="N26" s="28" t="n">
        <f aca="false">IF($D26=0,"",M26/$D26)</f>
        <v>0.440729483282675</v>
      </c>
      <c r="O26" s="26" t="n">
        <v>6</v>
      </c>
      <c r="P26" s="26" t="n">
        <v>11</v>
      </c>
      <c r="Q26" s="26" t="n">
        <v>128</v>
      </c>
      <c r="R26" s="28" t="n">
        <f aca="false">IF($D26=0,"",Q26/$D26)</f>
        <v>0.389057750759878</v>
      </c>
      <c r="S26" s="26" t="n">
        <v>5</v>
      </c>
      <c r="T26" s="26" t="n">
        <v>11</v>
      </c>
    </row>
    <row r="27" customFormat="false" ht="15" hidden="false" customHeight="false" outlineLevel="0" collapsed="false">
      <c r="A27" s="8" t="s">
        <v>23</v>
      </c>
      <c r="B27" s="8" t="s">
        <v>59</v>
      </c>
      <c r="C27" s="8" t="s">
        <v>154</v>
      </c>
      <c r="D27" s="26" t="n">
        <v>250</v>
      </c>
      <c r="E27" s="26" t="n">
        <v>155</v>
      </c>
      <c r="F27" s="28" t="n">
        <f aca="false">IF($D27=0,"",E27/$D27)</f>
        <v>0.62</v>
      </c>
      <c r="G27" s="26" t="n">
        <v>10</v>
      </c>
      <c r="H27" s="26" t="n">
        <v>5</v>
      </c>
      <c r="I27" s="26" t="n">
        <v>128</v>
      </c>
      <c r="J27" s="28" t="n">
        <f aca="false">IF($D27=0,"",I27/$D27)</f>
        <v>0.512</v>
      </c>
      <c r="K27" s="26" t="n">
        <v>6</v>
      </c>
      <c r="L27" s="26" t="n">
        <v>8</v>
      </c>
      <c r="M27" s="26" t="n">
        <v>102</v>
      </c>
      <c r="N27" s="28" t="n">
        <f aca="false">IF($D27=0,"",M27/$D27)</f>
        <v>0.408</v>
      </c>
      <c r="O27" s="26" t="n">
        <v>6</v>
      </c>
      <c r="P27" s="26" t="n">
        <v>8</v>
      </c>
      <c r="Q27" s="26" t="n">
        <v>90</v>
      </c>
      <c r="R27" s="28" t="n">
        <f aca="false">IF($D27=0,"",Q27/$D27)</f>
        <v>0.36</v>
      </c>
      <c r="S27" s="26" t="n">
        <v>5</v>
      </c>
      <c r="T27" s="26" t="n">
        <v>12</v>
      </c>
    </row>
    <row r="28" customFormat="false" ht="15" hidden="false" customHeight="false" outlineLevel="0" collapsed="false">
      <c r="A28" s="5" t="s">
        <v>23</v>
      </c>
      <c r="B28" s="5" t="s">
        <v>59</v>
      </c>
      <c r="C28" s="5" t="s">
        <v>155</v>
      </c>
      <c r="D28" s="35" t="n">
        <v>1802</v>
      </c>
      <c r="E28" s="35" t="n">
        <v>1128</v>
      </c>
      <c r="F28" s="36" t="n">
        <f aca="false">IF($D28=0,"",E28/$D28)</f>
        <v>0.625971143174251</v>
      </c>
      <c r="G28" s="35" t="n">
        <v>15</v>
      </c>
      <c r="H28" s="35" t="n">
        <v>7</v>
      </c>
      <c r="I28" s="35" t="n">
        <v>933</v>
      </c>
      <c r="J28" s="36" t="n">
        <f aca="false">IF($D28=0,"",I28/$D28)</f>
        <v>0.517758046614872</v>
      </c>
      <c r="K28" s="35" t="n">
        <v>8</v>
      </c>
      <c r="L28" s="35" t="n">
        <v>8</v>
      </c>
      <c r="M28" s="35" t="n">
        <v>764</v>
      </c>
      <c r="N28" s="36" t="n">
        <f aca="false">IF($D28=0,"",M28/$D28)</f>
        <v>0.423973362930078</v>
      </c>
      <c r="O28" s="35" t="n">
        <v>7</v>
      </c>
      <c r="P28" s="35" t="n">
        <v>11</v>
      </c>
      <c r="Q28" s="35" t="n">
        <v>657</v>
      </c>
      <c r="R28" s="36" t="n">
        <f aca="false">IF($D28=0,"",Q28/$D28)</f>
        <v>0.364594894561598</v>
      </c>
      <c r="S28" s="35" t="n">
        <v>7</v>
      </c>
      <c r="T28" s="35" t="n">
        <v>12</v>
      </c>
    </row>
    <row r="30" customFormat="false" ht="15" hidden="false" customHeight="false" outlineLevel="0" collapsed="false">
      <c r="A30" s="8" t="s">
        <v>62</v>
      </c>
      <c r="B30" s="8" t="s">
        <v>148</v>
      </c>
      <c r="C30" s="8" t="s">
        <v>149</v>
      </c>
      <c r="D30" s="26" t="n">
        <v>1228</v>
      </c>
      <c r="E30" s="26" t="n">
        <v>728</v>
      </c>
      <c r="F30" s="28" t="n">
        <f aca="false">IF($D30=0,"",E30/$D30)</f>
        <v>0.592833876221498</v>
      </c>
      <c r="G30" s="26" t="n">
        <v>13</v>
      </c>
      <c r="H30" s="26" t="n">
        <v>7</v>
      </c>
      <c r="I30" s="26" t="n">
        <v>600</v>
      </c>
      <c r="J30" s="28" t="n">
        <f aca="false">IF($D30=0,"",I30/$D30)</f>
        <v>0.488599348534202</v>
      </c>
      <c r="K30" s="26" t="n">
        <v>10</v>
      </c>
      <c r="L30" s="26" t="n">
        <v>9</v>
      </c>
      <c r="M30" s="26" t="n">
        <v>460</v>
      </c>
      <c r="N30" s="28" t="n">
        <f aca="false">IF($D30=0,"",M30/$D30)</f>
        <v>0.374592833876222</v>
      </c>
      <c r="O30" s="26" t="n">
        <v>7</v>
      </c>
      <c r="P30" s="26" t="n">
        <v>13</v>
      </c>
      <c r="Q30" s="26" t="n">
        <v>391</v>
      </c>
      <c r="R30" s="28" t="n">
        <f aca="false">IF($D30=0,"",Q30/$D30)</f>
        <v>0.318403908794788</v>
      </c>
      <c r="S30" s="26" t="n">
        <v>7</v>
      </c>
      <c r="T30" s="26" t="n">
        <v>13</v>
      </c>
    </row>
    <row r="31" customFormat="false" ht="15" hidden="false" customHeight="false" outlineLevel="0" collapsed="false">
      <c r="A31" s="8" t="s">
        <v>62</v>
      </c>
      <c r="B31" s="8" t="s">
        <v>148</v>
      </c>
      <c r="C31" s="8" t="s">
        <v>150</v>
      </c>
      <c r="D31" s="26" t="n">
        <v>1181</v>
      </c>
      <c r="E31" s="26" t="n">
        <v>739</v>
      </c>
      <c r="F31" s="28" t="n">
        <f aca="false">IF($D31=0,"",E31/$D31)</f>
        <v>0.625740897544454</v>
      </c>
      <c r="G31" s="26" t="n">
        <v>14</v>
      </c>
      <c r="H31" s="26" t="n">
        <v>7</v>
      </c>
      <c r="I31" s="26" t="n">
        <v>604</v>
      </c>
      <c r="J31" s="28" t="n">
        <f aca="false">IF($D31=0,"",I31/$D31)</f>
        <v>0.511430990685859</v>
      </c>
      <c r="K31" s="26" t="n">
        <v>9</v>
      </c>
      <c r="L31" s="26" t="n">
        <v>10</v>
      </c>
      <c r="M31" s="26" t="n">
        <v>485</v>
      </c>
      <c r="N31" s="28" t="n">
        <f aca="false">IF($D31=0,"",M31/$D31)</f>
        <v>0.410668924640136</v>
      </c>
      <c r="O31" s="26" t="n">
        <v>7</v>
      </c>
      <c r="P31" s="26" t="n">
        <v>13</v>
      </c>
      <c r="Q31" s="26" t="n">
        <v>395</v>
      </c>
      <c r="R31" s="28" t="n">
        <f aca="false">IF($D31=0,"",Q31/$D31)</f>
        <v>0.334462320067739</v>
      </c>
      <c r="S31" s="26" t="n">
        <v>5</v>
      </c>
      <c r="T31" s="26" t="n">
        <v>18</v>
      </c>
    </row>
    <row r="32" customFormat="false" ht="15" hidden="false" customHeight="false" outlineLevel="0" collapsed="false">
      <c r="A32" s="8" t="s">
        <v>62</v>
      </c>
      <c r="B32" s="8" t="s">
        <v>148</v>
      </c>
      <c r="C32" s="8" t="s">
        <v>151</v>
      </c>
      <c r="D32" s="26" t="n">
        <v>1199</v>
      </c>
      <c r="E32" s="26" t="n">
        <v>696</v>
      </c>
      <c r="F32" s="28" t="n">
        <f aca="false">IF($D32=0,"",E32/$D32)</f>
        <v>0.580483736447039</v>
      </c>
      <c r="G32" s="26" t="n">
        <v>11</v>
      </c>
      <c r="H32" s="26" t="n">
        <v>7</v>
      </c>
      <c r="I32" s="26" t="n">
        <v>570</v>
      </c>
      <c r="J32" s="28" t="n">
        <f aca="false">IF($D32=0,"",I32/$D32)</f>
        <v>0.475396163469558</v>
      </c>
      <c r="K32" s="26" t="n">
        <v>8</v>
      </c>
      <c r="L32" s="26" t="n">
        <v>9</v>
      </c>
      <c r="M32" s="26" t="n">
        <v>464</v>
      </c>
      <c r="N32" s="28" t="n">
        <f aca="false">IF($D32=0,"",M32/$D32)</f>
        <v>0.38698915763136</v>
      </c>
      <c r="O32" s="26" t="n">
        <v>5</v>
      </c>
      <c r="P32" s="26" t="n">
        <v>12</v>
      </c>
      <c r="Q32" s="26" t="n">
        <v>387</v>
      </c>
      <c r="R32" s="28" t="n">
        <f aca="false">IF($D32=0,"",Q32/$D32)</f>
        <v>0.322768974145121</v>
      </c>
      <c r="S32" s="26" t="n">
        <v>5</v>
      </c>
      <c r="T32" s="26" t="n">
        <v>19</v>
      </c>
    </row>
    <row r="33" customFormat="false" ht="15" hidden="false" customHeight="false" outlineLevel="0" collapsed="false">
      <c r="A33" s="8" t="s">
        <v>62</v>
      </c>
      <c r="B33" s="8" t="s">
        <v>148</v>
      </c>
      <c r="C33" s="8" t="s">
        <v>152</v>
      </c>
      <c r="D33" s="26" t="n">
        <v>1212</v>
      </c>
      <c r="E33" s="26" t="n">
        <v>754</v>
      </c>
      <c r="F33" s="28" t="n">
        <f aca="false">IF($D33=0,"",E33/$D33)</f>
        <v>0.622112211221122</v>
      </c>
      <c r="G33" s="26" t="n">
        <v>12</v>
      </c>
      <c r="H33" s="26" t="n">
        <v>11</v>
      </c>
      <c r="I33" s="26" t="n">
        <v>604</v>
      </c>
      <c r="J33" s="28" t="n">
        <f aca="false">IF($D33=0,"",I33/$D33)</f>
        <v>0.498349834983498</v>
      </c>
      <c r="K33" s="26" t="n">
        <v>7</v>
      </c>
      <c r="L33" s="26" t="n">
        <v>11</v>
      </c>
      <c r="M33" s="26" t="n">
        <v>494</v>
      </c>
      <c r="N33" s="28" t="n">
        <f aca="false">IF($D33=0,"",M33/$D33)</f>
        <v>0.407590759075908</v>
      </c>
      <c r="O33" s="26" t="n">
        <v>6</v>
      </c>
      <c r="P33" s="26" t="n">
        <v>11</v>
      </c>
      <c r="Q33" s="26" t="n">
        <v>409</v>
      </c>
      <c r="R33" s="28" t="n">
        <f aca="false">IF($D33=0,"",Q33/$D33)</f>
        <v>0.337458745874587</v>
      </c>
      <c r="S33" s="26" t="n">
        <v>5</v>
      </c>
      <c r="T33" s="26" t="n">
        <v>13</v>
      </c>
    </row>
    <row r="34" customFormat="false" ht="15" hidden="false" customHeight="false" outlineLevel="0" collapsed="false">
      <c r="A34" s="8" t="s">
        <v>62</v>
      </c>
      <c r="B34" s="8" t="s">
        <v>148</v>
      </c>
      <c r="C34" s="8" t="s">
        <v>153</v>
      </c>
      <c r="D34" s="26" t="n">
        <v>1221</v>
      </c>
      <c r="E34" s="26" t="n">
        <v>758</v>
      </c>
      <c r="F34" s="28" t="n">
        <f aca="false">IF($D34=0,"",E34/$D34)</f>
        <v>0.620802620802621</v>
      </c>
      <c r="G34" s="26" t="n">
        <v>10</v>
      </c>
      <c r="H34" s="26" t="n">
        <v>5</v>
      </c>
      <c r="I34" s="26" t="n">
        <v>624</v>
      </c>
      <c r="J34" s="28" t="n">
        <f aca="false">IF($D34=0,"",I34/$D34)</f>
        <v>0.511056511056511</v>
      </c>
      <c r="K34" s="26" t="n">
        <v>10</v>
      </c>
      <c r="L34" s="26" t="n">
        <v>7</v>
      </c>
      <c r="M34" s="26" t="n">
        <v>503</v>
      </c>
      <c r="N34" s="28" t="n">
        <f aca="false">IF($D34=0,"",M34/$D34)</f>
        <v>0.411957411957412</v>
      </c>
      <c r="O34" s="26" t="n">
        <v>6</v>
      </c>
      <c r="P34" s="26" t="n">
        <v>14</v>
      </c>
      <c r="Q34" s="26" t="n">
        <v>423</v>
      </c>
      <c r="R34" s="28" t="n">
        <f aca="false">IF($D34=0,"",Q34/$D34)</f>
        <v>0.346437346437346</v>
      </c>
      <c r="S34" s="26" t="n">
        <v>5</v>
      </c>
      <c r="T34" s="26" t="n">
        <v>14</v>
      </c>
    </row>
    <row r="35" customFormat="false" ht="15" hidden="false" customHeight="false" outlineLevel="0" collapsed="false">
      <c r="A35" s="8" t="s">
        <v>62</v>
      </c>
      <c r="B35" s="8" t="s">
        <v>148</v>
      </c>
      <c r="C35" s="8" t="s">
        <v>154</v>
      </c>
      <c r="D35" s="26" t="n">
        <v>917</v>
      </c>
      <c r="E35" s="26" t="n">
        <v>560</v>
      </c>
      <c r="F35" s="28" t="n">
        <f aca="false">IF($D35=0,"",E35/$D35)</f>
        <v>0.610687022900763</v>
      </c>
      <c r="G35" s="26" t="n">
        <v>14</v>
      </c>
      <c r="H35" s="26" t="n">
        <v>7</v>
      </c>
      <c r="I35" s="26" t="n">
        <v>459</v>
      </c>
      <c r="J35" s="28" t="n">
        <f aca="false">IF($D35=0,"",I35/$D35)</f>
        <v>0.500545256270447</v>
      </c>
      <c r="K35" s="26" t="n">
        <v>9</v>
      </c>
      <c r="L35" s="26" t="n">
        <v>7</v>
      </c>
      <c r="M35" s="26" t="n">
        <v>363</v>
      </c>
      <c r="N35" s="28" t="n">
        <f aca="false">IF($D35=0,"",M35/$D35)</f>
        <v>0.395856052344602</v>
      </c>
      <c r="O35" s="26" t="n">
        <v>6</v>
      </c>
      <c r="P35" s="26" t="n">
        <v>15</v>
      </c>
      <c r="Q35" s="26" t="n">
        <v>309</v>
      </c>
      <c r="R35" s="28" t="n">
        <f aca="false">IF($D35=0,"",Q35/$D35)</f>
        <v>0.336968375136314</v>
      </c>
      <c r="S35" s="26" t="n">
        <v>5</v>
      </c>
      <c r="T35" s="26" t="n">
        <v>16</v>
      </c>
    </row>
    <row r="36" customFormat="false" ht="15" hidden="false" customHeight="false" outlineLevel="0" collapsed="false">
      <c r="A36" s="5" t="s">
        <v>62</v>
      </c>
      <c r="B36" s="5" t="s">
        <v>148</v>
      </c>
      <c r="C36" s="5" t="s">
        <v>155</v>
      </c>
      <c r="D36" s="35" t="n">
        <v>6958</v>
      </c>
      <c r="E36" s="35" t="n">
        <v>4235</v>
      </c>
      <c r="F36" s="36" t="n">
        <f aca="false">IF($D36=0,"",E36/$D36)</f>
        <v>0.608651911468813</v>
      </c>
      <c r="G36" s="35" t="n">
        <v>17</v>
      </c>
      <c r="H36" s="35" t="n">
        <v>11</v>
      </c>
      <c r="I36" s="35" t="n">
        <v>3461</v>
      </c>
      <c r="J36" s="36" t="n">
        <f aca="false">IF($D36=0,"",I36/$D36)</f>
        <v>0.497413049726933</v>
      </c>
      <c r="K36" s="35" t="n">
        <v>10</v>
      </c>
      <c r="L36" s="35" t="n">
        <v>11</v>
      </c>
      <c r="M36" s="35" t="n">
        <v>2769</v>
      </c>
      <c r="N36" s="36" t="n">
        <f aca="false">IF($D36=0,"",M36/$D36)</f>
        <v>0.397959183673469</v>
      </c>
      <c r="O36" s="35" t="n">
        <v>7</v>
      </c>
      <c r="P36" s="35" t="n">
        <v>15</v>
      </c>
      <c r="Q36" s="35" t="n">
        <v>2314</v>
      </c>
      <c r="R36" s="36" t="n">
        <f aca="false">IF($D36=0,"",Q36/$D36)</f>
        <v>0.332566829548721</v>
      </c>
      <c r="S36" s="35" t="n">
        <v>7</v>
      </c>
      <c r="T36" s="35" t="n">
        <v>19</v>
      </c>
    </row>
    <row r="38" customFormat="false" ht="15" hidden="false" customHeight="false" outlineLevel="0" collapsed="false">
      <c r="A38" s="8" t="s">
        <v>62</v>
      </c>
      <c r="B38" s="8" t="s">
        <v>24</v>
      </c>
      <c r="C38" s="8" t="s">
        <v>149</v>
      </c>
      <c r="D38" s="26" t="n">
        <v>230</v>
      </c>
      <c r="E38" s="26" t="n">
        <v>144</v>
      </c>
      <c r="F38" s="28" t="n">
        <f aca="false">IF($D38=0,"",E38/$D38)</f>
        <v>0.626086956521739</v>
      </c>
      <c r="G38" s="26" t="n">
        <v>12</v>
      </c>
      <c r="H38" s="26" t="n">
        <v>5</v>
      </c>
      <c r="I38" s="26" t="n">
        <v>121</v>
      </c>
      <c r="J38" s="28" t="n">
        <f aca="false">IF($D38=0,"",I38/$D38)</f>
        <v>0.526086956521739</v>
      </c>
      <c r="K38" s="26" t="n">
        <v>6</v>
      </c>
      <c r="L38" s="26" t="n">
        <v>5</v>
      </c>
      <c r="M38" s="26" t="n">
        <v>95</v>
      </c>
      <c r="N38" s="28" t="n">
        <f aca="false">IF($D38=0,"",M38/$D38)</f>
        <v>0.41304347826087</v>
      </c>
      <c r="O38" s="26" t="n">
        <v>6</v>
      </c>
      <c r="P38" s="26" t="n">
        <v>7</v>
      </c>
      <c r="Q38" s="26" t="n">
        <v>62</v>
      </c>
      <c r="R38" s="28" t="n">
        <f aca="false">IF($D38=0,"",Q38/$D38)</f>
        <v>0.269565217391304</v>
      </c>
      <c r="S38" s="26" t="n">
        <v>3</v>
      </c>
      <c r="T38" s="26" t="n">
        <v>21</v>
      </c>
    </row>
    <row r="39" customFormat="false" ht="15" hidden="false" customHeight="false" outlineLevel="0" collapsed="false">
      <c r="A39" s="8" t="s">
        <v>62</v>
      </c>
      <c r="B39" s="8" t="s">
        <v>24</v>
      </c>
      <c r="C39" s="8" t="s">
        <v>150</v>
      </c>
      <c r="D39" s="26" t="n">
        <v>252</v>
      </c>
      <c r="E39" s="26" t="n">
        <v>157</v>
      </c>
      <c r="F39" s="28" t="n">
        <f aca="false">IF($D39=0,"",E39/$D39)</f>
        <v>0.623015873015873</v>
      </c>
      <c r="G39" s="26" t="n">
        <v>14</v>
      </c>
      <c r="H39" s="26" t="n">
        <v>4</v>
      </c>
      <c r="I39" s="26" t="n">
        <v>132</v>
      </c>
      <c r="J39" s="28" t="n">
        <f aca="false">IF($D39=0,"",I39/$D39)</f>
        <v>0.523809523809524</v>
      </c>
      <c r="K39" s="26" t="n">
        <v>7</v>
      </c>
      <c r="L39" s="26" t="n">
        <v>6</v>
      </c>
      <c r="M39" s="26" t="n">
        <v>111</v>
      </c>
      <c r="N39" s="28" t="n">
        <f aca="false">IF($D39=0,"",M39/$D39)</f>
        <v>0.44047619047619</v>
      </c>
      <c r="O39" s="26" t="n">
        <v>7</v>
      </c>
      <c r="P39" s="26" t="n">
        <v>7</v>
      </c>
      <c r="Q39" s="26" t="n">
        <v>87</v>
      </c>
      <c r="R39" s="28" t="n">
        <f aca="false">IF($D39=0,"",Q39/$D39)</f>
        <v>0.345238095238095</v>
      </c>
      <c r="S39" s="26" t="n">
        <v>5</v>
      </c>
      <c r="T39" s="26" t="n">
        <v>10</v>
      </c>
    </row>
    <row r="40" customFormat="false" ht="15" hidden="false" customHeight="false" outlineLevel="0" collapsed="false">
      <c r="A40" s="8" t="s">
        <v>62</v>
      </c>
      <c r="B40" s="8" t="s">
        <v>24</v>
      </c>
      <c r="C40" s="8" t="s">
        <v>151</v>
      </c>
      <c r="D40" s="26" t="n">
        <v>250</v>
      </c>
      <c r="E40" s="26" t="n">
        <v>151</v>
      </c>
      <c r="F40" s="28" t="n">
        <f aca="false">IF($D40=0,"",E40/$D40)</f>
        <v>0.604</v>
      </c>
      <c r="G40" s="26" t="n">
        <v>9</v>
      </c>
      <c r="H40" s="26" t="n">
        <v>5</v>
      </c>
      <c r="I40" s="26" t="n">
        <v>131</v>
      </c>
      <c r="J40" s="28" t="n">
        <f aca="false">IF($D40=0,"",I40/$D40)</f>
        <v>0.524</v>
      </c>
      <c r="K40" s="26" t="n">
        <v>6</v>
      </c>
      <c r="L40" s="26" t="n">
        <v>7</v>
      </c>
      <c r="M40" s="26" t="n">
        <v>114</v>
      </c>
      <c r="N40" s="28" t="n">
        <f aca="false">IF($D40=0,"",M40/$D40)</f>
        <v>0.456</v>
      </c>
      <c r="O40" s="26" t="n">
        <v>6</v>
      </c>
      <c r="P40" s="26" t="n">
        <v>8</v>
      </c>
      <c r="Q40" s="26" t="n">
        <v>92</v>
      </c>
      <c r="R40" s="28" t="n">
        <f aca="false">IF($D40=0,"",Q40/$D40)</f>
        <v>0.368</v>
      </c>
      <c r="S40" s="26" t="n">
        <v>3</v>
      </c>
      <c r="T40" s="26" t="n">
        <v>8</v>
      </c>
    </row>
    <row r="41" customFormat="false" ht="15" hidden="false" customHeight="false" outlineLevel="0" collapsed="false">
      <c r="A41" s="8" t="s">
        <v>62</v>
      </c>
      <c r="B41" s="8" t="s">
        <v>24</v>
      </c>
      <c r="C41" s="8" t="s">
        <v>152</v>
      </c>
      <c r="D41" s="26" t="n">
        <v>283</v>
      </c>
      <c r="E41" s="26" t="n">
        <v>181</v>
      </c>
      <c r="F41" s="28" t="n">
        <f aca="false">IF($D41=0,"",E41/$D41)</f>
        <v>0.639575971731449</v>
      </c>
      <c r="G41" s="26" t="n">
        <v>10</v>
      </c>
      <c r="H41" s="26" t="n">
        <v>6</v>
      </c>
      <c r="I41" s="26" t="n">
        <v>143</v>
      </c>
      <c r="J41" s="28" t="n">
        <f aca="false">IF($D41=0,"",I41/$D41)</f>
        <v>0.505300353356891</v>
      </c>
      <c r="K41" s="26" t="n">
        <v>9</v>
      </c>
      <c r="L41" s="26" t="n">
        <v>7</v>
      </c>
      <c r="M41" s="26" t="n">
        <v>116</v>
      </c>
      <c r="N41" s="28" t="n">
        <f aca="false">IF($D41=0,"",M41/$D41)</f>
        <v>0.409893992932862</v>
      </c>
      <c r="O41" s="26" t="n">
        <v>8</v>
      </c>
      <c r="P41" s="26" t="n">
        <v>12</v>
      </c>
      <c r="Q41" s="26" t="n">
        <v>85</v>
      </c>
      <c r="R41" s="28" t="n">
        <f aca="false">IF($D41=0,"",Q41/$D41)</f>
        <v>0.300353356890459</v>
      </c>
      <c r="S41" s="26" t="n">
        <v>5</v>
      </c>
      <c r="T41" s="26" t="n">
        <v>16</v>
      </c>
    </row>
    <row r="42" customFormat="false" ht="15" hidden="false" customHeight="false" outlineLevel="0" collapsed="false">
      <c r="A42" s="8" t="s">
        <v>62</v>
      </c>
      <c r="B42" s="8" t="s">
        <v>24</v>
      </c>
      <c r="C42" s="8" t="s">
        <v>153</v>
      </c>
      <c r="D42" s="26" t="n">
        <v>262</v>
      </c>
      <c r="E42" s="26" t="n">
        <v>167</v>
      </c>
      <c r="F42" s="28" t="n">
        <f aca="false">IF($D42=0,"",E42/$D42)</f>
        <v>0.637404580152672</v>
      </c>
      <c r="G42" s="26" t="n">
        <v>15</v>
      </c>
      <c r="H42" s="26" t="n">
        <v>6</v>
      </c>
      <c r="I42" s="26" t="n">
        <v>142</v>
      </c>
      <c r="J42" s="28" t="n">
        <f aca="false">IF($D42=0,"",I42/$D42)</f>
        <v>0.541984732824428</v>
      </c>
      <c r="K42" s="26" t="n">
        <v>11</v>
      </c>
      <c r="L42" s="26" t="n">
        <v>9</v>
      </c>
      <c r="M42" s="26" t="n">
        <v>119</v>
      </c>
      <c r="N42" s="28" t="n">
        <f aca="false">IF($D42=0,"",M42/$D42)</f>
        <v>0.454198473282443</v>
      </c>
      <c r="O42" s="26" t="n">
        <v>11</v>
      </c>
      <c r="P42" s="26" t="n">
        <v>9</v>
      </c>
      <c r="Q42" s="26" t="n">
        <v>94</v>
      </c>
      <c r="R42" s="28" t="n">
        <f aca="false">IF($D42=0,"",Q42/$D42)</f>
        <v>0.358778625954198</v>
      </c>
      <c r="S42" s="26" t="n">
        <v>7</v>
      </c>
      <c r="T42" s="26" t="n">
        <v>9</v>
      </c>
    </row>
    <row r="43" customFormat="false" ht="15" hidden="false" customHeight="false" outlineLevel="0" collapsed="false">
      <c r="A43" s="8" t="s">
        <v>62</v>
      </c>
      <c r="B43" s="8" t="s">
        <v>24</v>
      </c>
      <c r="C43" s="8" t="s">
        <v>154</v>
      </c>
      <c r="D43" s="26" t="n">
        <v>195</v>
      </c>
      <c r="E43" s="26" t="n">
        <v>126</v>
      </c>
      <c r="F43" s="28" t="n">
        <f aca="false">IF($D43=0,"",E43/$D43)</f>
        <v>0.646153846153846</v>
      </c>
      <c r="G43" s="26" t="n">
        <v>8</v>
      </c>
      <c r="H43" s="26" t="n">
        <v>5</v>
      </c>
      <c r="I43" s="26" t="n">
        <v>100</v>
      </c>
      <c r="J43" s="28" t="n">
        <f aca="false">IF($D43=0,"",I43/$D43)</f>
        <v>0.512820512820513</v>
      </c>
      <c r="K43" s="26" t="n">
        <v>5</v>
      </c>
      <c r="L43" s="26" t="n">
        <v>8</v>
      </c>
      <c r="M43" s="26" t="n">
        <v>75</v>
      </c>
      <c r="N43" s="28" t="n">
        <f aca="false">IF($D43=0,"",M43/$D43)</f>
        <v>0.384615384615385</v>
      </c>
      <c r="O43" s="26" t="n">
        <v>4</v>
      </c>
      <c r="P43" s="26" t="n">
        <v>13</v>
      </c>
      <c r="Q43" s="26" t="n">
        <v>52</v>
      </c>
      <c r="R43" s="28" t="n">
        <f aca="false">IF($D43=0,"",Q43/$D43)</f>
        <v>0.266666666666667</v>
      </c>
      <c r="S43" s="26" t="n">
        <v>4</v>
      </c>
      <c r="T43" s="26" t="n">
        <v>13</v>
      </c>
    </row>
    <row r="44" customFormat="false" ht="15" hidden="false" customHeight="false" outlineLevel="0" collapsed="false">
      <c r="A44" s="5" t="s">
        <v>62</v>
      </c>
      <c r="B44" s="5" t="s">
        <v>24</v>
      </c>
      <c r="C44" s="5" t="s">
        <v>155</v>
      </c>
      <c r="D44" s="35" t="n">
        <v>1472</v>
      </c>
      <c r="E44" s="35" t="n">
        <v>926</v>
      </c>
      <c r="F44" s="36" t="n">
        <f aca="false">IF($D44=0,"",E44/$D44)</f>
        <v>0.629076086956522</v>
      </c>
      <c r="G44" s="35" t="n">
        <v>15</v>
      </c>
      <c r="H44" s="35" t="n">
        <v>6</v>
      </c>
      <c r="I44" s="35" t="n">
        <v>769</v>
      </c>
      <c r="J44" s="36" t="n">
        <f aca="false">IF($D44=0,"",I44/$D44)</f>
        <v>0.52241847826087</v>
      </c>
      <c r="K44" s="35" t="n">
        <v>11</v>
      </c>
      <c r="L44" s="35" t="n">
        <v>9</v>
      </c>
      <c r="M44" s="35" t="n">
        <v>630</v>
      </c>
      <c r="N44" s="36" t="n">
        <f aca="false">IF($D44=0,"",M44/$D44)</f>
        <v>0.427989130434783</v>
      </c>
      <c r="O44" s="35" t="n">
        <v>11</v>
      </c>
      <c r="P44" s="35" t="n">
        <v>13</v>
      </c>
      <c r="Q44" s="35" t="n">
        <v>472</v>
      </c>
      <c r="R44" s="36" t="n">
        <f aca="false">IF($D44=0,"",Q44/$D44)</f>
        <v>0.320652173913043</v>
      </c>
      <c r="S44" s="35" t="n">
        <v>7</v>
      </c>
      <c r="T44" s="35" t="n">
        <v>21</v>
      </c>
    </row>
    <row r="46" customFormat="false" ht="15" hidden="false" customHeight="false" outlineLevel="0" collapsed="false">
      <c r="A46" s="8" t="s">
        <v>62</v>
      </c>
      <c r="B46" s="8" t="s">
        <v>59</v>
      </c>
      <c r="C46" s="8" t="s">
        <v>149</v>
      </c>
      <c r="D46" s="26" t="n">
        <v>264</v>
      </c>
      <c r="E46" s="26" t="n">
        <v>165</v>
      </c>
      <c r="F46" s="28" t="n">
        <f aca="false">IF($D46=0,"",E46/$D46)</f>
        <v>0.625</v>
      </c>
      <c r="G46" s="26" t="n">
        <v>9</v>
      </c>
      <c r="H46" s="26" t="n">
        <v>5</v>
      </c>
      <c r="I46" s="26" t="n">
        <v>140</v>
      </c>
      <c r="J46" s="28" t="n">
        <f aca="false">IF($D46=0,"",I46/$D46)</f>
        <v>0.53030303030303</v>
      </c>
      <c r="K46" s="26" t="n">
        <v>7</v>
      </c>
      <c r="L46" s="26" t="n">
        <v>6</v>
      </c>
      <c r="M46" s="26" t="n">
        <v>64</v>
      </c>
      <c r="N46" s="28" t="n">
        <f aca="false">IF($D46=0,"",M46/$D46)</f>
        <v>0.242424242424242</v>
      </c>
      <c r="O46" s="26" t="n">
        <v>3</v>
      </c>
      <c r="P46" s="26" t="n">
        <v>13</v>
      </c>
      <c r="Q46" s="26" t="n">
        <v>47</v>
      </c>
      <c r="R46" s="28" t="n">
        <f aca="false">IF($D46=0,"",Q46/$D46)</f>
        <v>0.178030303030303</v>
      </c>
      <c r="S46" s="26" t="n">
        <v>3</v>
      </c>
      <c r="T46" s="26" t="n">
        <v>27</v>
      </c>
    </row>
    <row r="47" customFormat="false" ht="15" hidden="false" customHeight="false" outlineLevel="0" collapsed="false">
      <c r="A47" s="8" t="s">
        <v>62</v>
      </c>
      <c r="B47" s="8" t="s">
        <v>59</v>
      </c>
      <c r="C47" s="8" t="s">
        <v>150</v>
      </c>
      <c r="D47" s="26" t="n">
        <v>288</v>
      </c>
      <c r="E47" s="26" t="n">
        <v>185</v>
      </c>
      <c r="F47" s="28" t="n">
        <f aca="false">IF($D47=0,"",E47/$D47)</f>
        <v>0.642361111111111</v>
      </c>
      <c r="G47" s="26" t="n">
        <v>14</v>
      </c>
      <c r="H47" s="26" t="n">
        <v>4</v>
      </c>
      <c r="I47" s="26" t="n">
        <v>156</v>
      </c>
      <c r="J47" s="28" t="n">
        <f aca="false">IF($D47=0,"",I47/$D47)</f>
        <v>0.541666666666667</v>
      </c>
      <c r="K47" s="26" t="n">
        <v>8</v>
      </c>
      <c r="L47" s="26" t="n">
        <v>7</v>
      </c>
      <c r="M47" s="26" t="n">
        <v>81</v>
      </c>
      <c r="N47" s="28" t="n">
        <f aca="false">IF($D47=0,"",M47/$D47)</f>
        <v>0.28125</v>
      </c>
      <c r="O47" s="26" t="n">
        <v>3</v>
      </c>
      <c r="P47" s="26" t="n">
        <v>9</v>
      </c>
      <c r="Q47" s="26" t="n">
        <v>49</v>
      </c>
      <c r="R47" s="28" t="n">
        <f aca="false">IF($D47=0,"",Q47/$D47)</f>
        <v>0.170138888888889</v>
      </c>
      <c r="S47" s="26" t="n">
        <v>3</v>
      </c>
      <c r="T47" s="26" t="n">
        <v>22</v>
      </c>
    </row>
    <row r="48" customFormat="false" ht="15" hidden="false" customHeight="false" outlineLevel="0" collapsed="false">
      <c r="A48" s="8" t="s">
        <v>62</v>
      </c>
      <c r="B48" s="8" t="s">
        <v>59</v>
      </c>
      <c r="C48" s="8" t="s">
        <v>151</v>
      </c>
      <c r="D48" s="26" t="n">
        <v>297</v>
      </c>
      <c r="E48" s="26" t="n">
        <v>179</v>
      </c>
      <c r="F48" s="28" t="n">
        <f aca="false">IF($D48=0,"",E48/$D48)</f>
        <v>0.602693602693603</v>
      </c>
      <c r="G48" s="26" t="n">
        <v>9</v>
      </c>
      <c r="H48" s="26" t="n">
        <v>5</v>
      </c>
      <c r="I48" s="26" t="n">
        <v>154</v>
      </c>
      <c r="J48" s="28" t="n">
        <f aca="false">IF($D48=0,"",I48/$D48)</f>
        <v>0.518518518518519</v>
      </c>
      <c r="K48" s="26" t="n">
        <v>7</v>
      </c>
      <c r="L48" s="26" t="n">
        <v>7</v>
      </c>
      <c r="M48" s="26" t="n">
        <v>81</v>
      </c>
      <c r="N48" s="28" t="n">
        <f aca="false">IF($D48=0,"",M48/$D48)</f>
        <v>0.272727272727273</v>
      </c>
      <c r="O48" s="26" t="n">
        <v>5</v>
      </c>
      <c r="P48" s="26" t="n">
        <v>11</v>
      </c>
      <c r="Q48" s="26" t="n">
        <v>58</v>
      </c>
      <c r="R48" s="28" t="n">
        <f aca="false">IF($D48=0,"",Q48/$D48)</f>
        <v>0.195286195286195</v>
      </c>
      <c r="S48" s="26" t="n">
        <v>5</v>
      </c>
      <c r="T48" s="26" t="n">
        <v>14</v>
      </c>
    </row>
    <row r="49" customFormat="false" ht="15" hidden="false" customHeight="false" outlineLevel="0" collapsed="false">
      <c r="A49" s="8" t="s">
        <v>62</v>
      </c>
      <c r="B49" s="8" t="s">
        <v>59</v>
      </c>
      <c r="C49" s="8" t="s">
        <v>152</v>
      </c>
      <c r="D49" s="26" t="n">
        <v>320</v>
      </c>
      <c r="E49" s="26" t="n">
        <v>202</v>
      </c>
      <c r="F49" s="28" t="n">
        <f aca="false">IF($D49=0,"",E49/$D49)</f>
        <v>0.63125</v>
      </c>
      <c r="G49" s="26" t="n">
        <v>9</v>
      </c>
      <c r="H49" s="26" t="n">
        <v>6</v>
      </c>
      <c r="I49" s="26" t="n">
        <v>163</v>
      </c>
      <c r="J49" s="28" t="n">
        <f aca="false">IF($D49=0,"",I49/$D49)</f>
        <v>0.509375</v>
      </c>
      <c r="K49" s="26" t="n">
        <v>7</v>
      </c>
      <c r="L49" s="26" t="n">
        <v>7</v>
      </c>
      <c r="M49" s="26" t="n">
        <v>89</v>
      </c>
      <c r="N49" s="28" t="n">
        <f aca="false">IF($D49=0,"",M49/$D49)</f>
        <v>0.278125</v>
      </c>
      <c r="O49" s="26" t="n">
        <v>5</v>
      </c>
      <c r="P49" s="26" t="n">
        <v>12</v>
      </c>
      <c r="Q49" s="26" t="n">
        <v>55</v>
      </c>
      <c r="R49" s="28" t="n">
        <f aca="false">IF($D49=0,"",Q49/$D49)</f>
        <v>0.171875</v>
      </c>
      <c r="S49" s="26" t="n">
        <v>3</v>
      </c>
      <c r="T49" s="26" t="n">
        <v>20</v>
      </c>
    </row>
    <row r="50" customFormat="false" ht="15" hidden="false" customHeight="false" outlineLevel="0" collapsed="false">
      <c r="A50" s="8" t="s">
        <v>62</v>
      </c>
      <c r="B50" s="8" t="s">
        <v>59</v>
      </c>
      <c r="C50" s="8" t="s">
        <v>153</v>
      </c>
      <c r="D50" s="26" t="n">
        <v>305</v>
      </c>
      <c r="E50" s="26" t="n">
        <v>194</v>
      </c>
      <c r="F50" s="28" t="n">
        <f aca="false">IF($D50=0,"",E50/$D50)</f>
        <v>0.636065573770492</v>
      </c>
      <c r="G50" s="26" t="n">
        <v>13</v>
      </c>
      <c r="H50" s="26" t="n">
        <v>6</v>
      </c>
      <c r="I50" s="26" t="n">
        <v>166</v>
      </c>
      <c r="J50" s="28" t="n">
        <f aca="false">IF($D50=0,"",I50/$D50)</f>
        <v>0.544262295081967</v>
      </c>
      <c r="K50" s="26" t="n">
        <v>11</v>
      </c>
      <c r="L50" s="26" t="n">
        <v>9</v>
      </c>
      <c r="M50" s="26" t="n">
        <v>76</v>
      </c>
      <c r="N50" s="28" t="n">
        <f aca="false">IF($D50=0,"",M50/$D50)</f>
        <v>0.249180327868852</v>
      </c>
      <c r="O50" s="26" t="n">
        <v>4</v>
      </c>
      <c r="P50" s="26" t="n">
        <v>20</v>
      </c>
      <c r="Q50" s="26" t="n">
        <v>48</v>
      </c>
      <c r="R50" s="28" t="n">
        <f aca="false">IF($D50=0,"",Q50/$D50)</f>
        <v>0.157377049180328</v>
      </c>
      <c r="S50" s="26" t="n">
        <v>3</v>
      </c>
      <c r="T50" s="26" t="n">
        <v>23</v>
      </c>
    </row>
    <row r="51" customFormat="false" ht="15" hidden="false" customHeight="false" outlineLevel="0" collapsed="false">
      <c r="A51" s="8" t="s">
        <v>62</v>
      </c>
      <c r="B51" s="8" t="s">
        <v>59</v>
      </c>
      <c r="C51" s="8" t="s">
        <v>154</v>
      </c>
      <c r="D51" s="26" t="n">
        <v>218</v>
      </c>
      <c r="E51" s="26" t="n">
        <v>137</v>
      </c>
      <c r="F51" s="28" t="n">
        <f aca="false">IF($D51=0,"",E51/$D51)</f>
        <v>0.628440366972477</v>
      </c>
      <c r="G51" s="26" t="n">
        <v>7</v>
      </c>
      <c r="H51" s="26" t="n">
        <v>5</v>
      </c>
      <c r="I51" s="26" t="n">
        <v>107</v>
      </c>
      <c r="J51" s="28" t="n">
        <f aca="false">IF($D51=0,"",I51/$D51)</f>
        <v>0.490825688073395</v>
      </c>
      <c r="K51" s="26" t="n">
        <v>5</v>
      </c>
      <c r="L51" s="26" t="n">
        <v>8</v>
      </c>
      <c r="M51" s="26" t="n">
        <v>53</v>
      </c>
      <c r="N51" s="28" t="n">
        <f aca="false">IF($D51=0,"",M51/$D51)</f>
        <v>0.243119266055046</v>
      </c>
      <c r="O51" s="26" t="n">
        <v>4</v>
      </c>
      <c r="P51" s="26" t="n">
        <v>17</v>
      </c>
      <c r="Q51" s="26" t="n">
        <v>36</v>
      </c>
      <c r="R51" s="28" t="n">
        <f aca="false">IF($D51=0,"",Q51/$D51)</f>
        <v>0.165137614678899</v>
      </c>
      <c r="S51" s="26" t="n">
        <v>3</v>
      </c>
      <c r="T51" s="26" t="n">
        <v>26</v>
      </c>
    </row>
    <row r="52" customFormat="false" ht="15" hidden="false" customHeight="false" outlineLevel="0" collapsed="false">
      <c r="A52" s="5" t="s">
        <v>62</v>
      </c>
      <c r="B52" s="5" t="s">
        <v>59</v>
      </c>
      <c r="C52" s="5" t="s">
        <v>155</v>
      </c>
      <c r="D52" s="35" t="n">
        <v>1692</v>
      </c>
      <c r="E52" s="35" t="n">
        <v>1062</v>
      </c>
      <c r="F52" s="36" t="n">
        <f aca="false">IF($D52=0,"",E52/$D52)</f>
        <v>0.627659574468085</v>
      </c>
      <c r="G52" s="35" t="n">
        <v>14</v>
      </c>
      <c r="H52" s="35" t="n">
        <v>6</v>
      </c>
      <c r="I52" s="35" t="n">
        <v>886</v>
      </c>
      <c r="J52" s="36" t="n">
        <f aca="false">IF($D52=0,"",I52/$D52)</f>
        <v>0.523640661938534</v>
      </c>
      <c r="K52" s="35" t="n">
        <v>11</v>
      </c>
      <c r="L52" s="35" t="n">
        <v>9</v>
      </c>
      <c r="M52" s="35" t="n">
        <v>444</v>
      </c>
      <c r="N52" s="36" t="n">
        <f aca="false">IF($D52=0,"",M52/$D52)</f>
        <v>0.262411347517731</v>
      </c>
      <c r="O52" s="35" t="n">
        <v>5</v>
      </c>
      <c r="P52" s="35" t="n">
        <v>20</v>
      </c>
      <c r="Q52" s="35" t="n">
        <v>293</v>
      </c>
      <c r="R52" s="36" t="n">
        <f aca="false">IF($D52=0,"",Q52/$D52)</f>
        <v>0.173167848699764</v>
      </c>
      <c r="S52" s="35" t="n">
        <v>5</v>
      </c>
      <c r="T52" s="35" t="n">
        <v>27</v>
      </c>
    </row>
    <row r="54" customFormat="false" ht="15" hidden="false" customHeight="false" outlineLevel="0" collapsed="false">
      <c r="A54" s="8" t="s">
        <v>87</v>
      </c>
      <c r="B54" s="8" t="s">
        <v>148</v>
      </c>
      <c r="C54" s="8" t="s">
        <v>149</v>
      </c>
      <c r="D54" s="26" t="n">
        <v>552</v>
      </c>
      <c r="E54" s="26" t="n">
        <v>337</v>
      </c>
      <c r="F54" s="28" t="n">
        <f aca="false">IF($D54=0,"",E54/$D54)</f>
        <v>0.610507246376812</v>
      </c>
      <c r="G54" s="26" t="n">
        <v>12</v>
      </c>
      <c r="H54" s="26" t="n">
        <v>6</v>
      </c>
      <c r="I54" s="26" t="n">
        <v>286</v>
      </c>
      <c r="J54" s="28" t="n">
        <f aca="false">IF($D54=0,"",I54/$D54)</f>
        <v>0.518115942028986</v>
      </c>
      <c r="K54" s="26" t="n">
        <v>8</v>
      </c>
      <c r="L54" s="26" t="n">
        <v>7</v>
      </c>
      <c r="M54" s="26" t="n">
        <v>229</v>
      </c>
      <c r="N54" s="28" t="n">
        <f aca="false">IF($D54=0,"",M54/$D54)</f>
        <v>0.414855072463768</v>
      </c>
      <c r="O54" s="26" t="n">
        <v>6</v>
      </c>
      <c r="P54" s="26" t="n">
        <v>10</v>
      </c>
      <c r="Q54" s="26" t="n">
        <v>188</v>
      </c>
      <c r="R54" s="28" t="n">
        <f aca="false">IF($D54=0,"",Q54/$D54)</f>
        <v>0.340579710144928</v>
      </c>
      <c r="S54" s="26" t="n">
        <v>6</v>
      </c>
      <c r="T54" s="26" t="n">
        <v>12</v>
      </c>
    </row>
    <row r="55" customFormat="false" ht="15" hidden="false" customHeight="false" outlineLevel="0" collapsed="false">
      <c r="A55" s="8" t="s">
        <v>87</v>
      </c>
      <c r="B55" s="8" t="s">
        <v>148</v>
      </c>
      <c r="C55" s="8" t="s">
        <v>150</v>
      </c>
      <c r="D55" s="26" t="n">
        <v>527</v>
      </c>
      <c r="E55" s="26" t="n">
        <v>333</v>
      </c>
      <c r="F55" s="28" t="n">
        <f aca="false">IF($D55=0,"",E55/$D55)</f>
        <v>0.631878557874763</v>
      </c>
      <c r="G55" s="26" t="n">
        <v>13</v>
      </c>
      <c r="H55" s="26" t="n">
        <v>4</v>
      </c>
      <c r="I55" s="26" t="n">
        <v>261</v>
      </c>
      <c r="J55" s="28" t="n">
        <f aca="false">IF($D55=0,"",I55/$D55)</f>
        <v>0.495256166982922</v>
      </c>
      <c r="K55" s="26" t="n">
        <v>6</v>
      </c>
      <c r="L55" s="26" t="n">
        <v>6</v>
      </c>
      <c r="M55" s="26" t="n">
        <v>204</v>
      </c>
      <c r="N55" s="28" t="n">
        <f aca="false">IF($D55=0,"",M55/$D55)</f>
        <v>0.387096774193548</v>
      </c>
      <c r="O55" s="26" t="n">
        <v>5</v>
      </c>
      <c r="P55" s="26" t="n">
        <v>8</v>
      </c>
      <c r="Q55" s="26" t="n">
        <v>171</v>
      </c>
      <c r="R55" s="28" t="n">
        <f aca="false">IF($D55=0,"",Q55/$D55)</f>
        <v>0.324478178368121</v>
      </c>
      <c r="S55" s="26" t="n">
        <v>5</v>
      </c>
      <c r="T55" s="26" t="n">
        <v>11</v>
      </c>
    </row>
    <row r="56" customFormat="false" ht="15" hidden="false" customHeight="false" outlineLevel="0" collapsed="false">
      <c r="A56" s="8" t="s">
        <v>87</v>
      </c>
      <c r="B56" s="8" t="s">
        <v>148</v>
      </c>
      <c r="C56" s="8" t="s">
        <v>151</v>
      </c>
      <c r="D56" s="26" t="n">
        <v>531</v>
      </c>
      <c r="E56" s="26" t="n">
        <v>312</v>
      </c>
      <c r="F56" s="28" t="n">
        <f aca="false">IF($D56=0,"",E56/$D56)</f>
        <v>0.587570621468927</v>
      </c>
      <c r="G56" s="26" t="n">
        <v>10</v>
      </c>
      <c r="H56" s="26" t="n">
        <v>7</v>
      </c>
      <c r="I56" s="26" t="n">
        <v>250</v>
      </c>
      <c r="J56" s="28" t="n">
        <f aca="false">IF($D56=0,"",I56/$D56)</f>
        <v>0.470809792843691</v>
      </c>
      <c r="K56" s="26" t="n">
        <v>8</v>
      </c>
      <c r="L56" s="26" t="n">
        <v>7</v>
      </c>
      <c r="M56" s="26" t="n">
        <v>192</v>
      </c>
      <c r="N56" s="28" t="n">
        <f aca="false">IF($D56=0,"",M56/$D56)</f>
        <v>0.361581920903955</v>
      </c>
      <c r="O56" s="26" t="n">
        <v>6</v>
      </c>
      <c r="P56" s="26" t="n">
        <v>15</v>
      </c>
      <c r="Q56" s="26" t="n">
        <v>166</v>
      </c>
      <c r="R56" s="28" t="n">
        <f aca="false">IF($D56=0,"",Q56/$D56)</f>
        <v>0.312617702448211</v>
      </c>
      <c r="S56" s="26" t="n">
        <v>5</v>
      </c>
      <c r="T56" s="26" t="n">
        <v>16</v>
      </c>
    </row>
    <row r="57" customFormat="false" ht="15" hidden="false" customHeight="false" outlineLevel="0" collapsed="false">
      <c r="A57" s="8" t="s">
        <v>87</v>
      </c>
      <c r="B57" s="8" t="s">
        <v>148</v>
      </c>
      <c r="C57" s="8" t="s">
        <v>152</v>
      </c>
      <c r="D57" s="26" t="n">
        <v>571</v>
      </c>
      <c r="E57" s="26" t="n">
        <v>328</v>
      </c>
      <c r="F57" s="28" t="n">
        <f aca="false">IF($D57=0,"",E57/$D57)</f>
        <v>0.574430823117338</v>
      </c>
      <c r="G57" s="26" t="n">
        <v>11</v>
      </c>
      <c r="H57" s="26" t="n">
        <v>7</v>
      </c>
      <c r="I57" s="26" t="n">
        <v>265</v>
      </c>
      <c r="J57" s="28" t="n">
        <f aca="false">IF($D57=0,"",I57/$D57)</f>
        <v>0.464098073555166</v>
      </c>
      <c r="K57" s="26" t="n">
        <v>6</v>
      </c>
      <c r="L57" s="26" t="n">
        <v>8</v>
      </c>
      <c r="M57" s="26" t="n">
        <v>215</v>
      </c>
      <c r="N57" s="28" t="n">
        <f aca="false">IF($D57=0,"",M57/$D57)</f>
        <v>0.376532399299475</v>
      </c>
      <c r="O57" s="26" t="n">
        <v>5</v>
      </c>
      <c r="P57" s="26" t="n">
        <v>10</v>
      </c>
      <c r="Q57" s="26" t="n">
        <v>189</v>
      </c>
      <c r="R57" s="28" t="n">
        <f aca="false">IF($D57=0,"",Q57/$D57)</f>
        <v>0.330998248686515</v>
      </c>
      <c r="S57" s="26" t="n">
        <v>4</v>
      </c>
      <c r="T57" s="26" t="n">
        <v>13</v>
      </c>
    </row>
    <row r="58" customFormat="false" ht="15" hidden="false" customHeight="false" outlineLevel="0" collapsed="false">
      <c r="A58" s="8" t="s">
        <v>87</v>
      </c>
      <c r="B58" s="8" t="s">
        <v>148</v>
      </c>
      <c r="C58" s="8" t="s">
        <v>153</v>
      </c>
      <c r="D58" s="26" t="n">
        <v>573</v>
      </c>
      <c r="E58" s="26" t="n">
        <v>358</v>
      </c>
      <c r="F58" s="28" t="n">
        <f aca="false">IF($D58=0,"",E58/$D58)</f>
        <v>0.62478184991274</v>
      </c>
      <c r="G58" s="26" t="n">
        <v>14</v>
      </c>
      <c r="H58" s="26" t="n">
        <v>5</v>
      </c>
      <c r="I58" s="26" t="n">
        <v>278</v>
      </c>
      <c r="J58" s="28" t="n">
        <f aca="false">IF($D58=0,"",I58/$D58)</f>
        <v>0.485165794066318</v>
      </c>
      <c r="K58" s="26" t="n">
        <v>7</v>
      </c>
      <c r="L58" s="26" t="n">
        <v>8</v>
      </c>
      <c r="M58" s="26" t="n">
        <v>220</v>
      </c>
      <c r="N58" s="28" t="n">
        <f aca="false">IF($D58=0,"",M58/$D58)</f>
        <v>0.383944153577661</v>
      </c>
      <c r="O58" s="26" t="n">
        <v>6</v>
      </c>
      <c r="P58" s="26" t="n">
        <v>9</v>
      </c>
      <c r="Q58" s="26" t="n">
        <v>193</v>
      </c>
      <c r="R58" s="28" t="n">
        <f aca="false">IF($D58=0,"",Q58/$D58)</f>
        <v>0.336823734729494</v>
      </c>
      <c r="S58" s="26" t="n">
        <v>4</v>
      </c>
      <c r="T58" s="26" t="n">
        <v>18</v>
      </c>
    </row>
    <row r="59" customFormat="false" ht="15" hidden="false" customHeight="false" outlineLevel="0" collapsed="false">
      <c r="A59" s="8" t="s">
        <v>87</v>
      </c>
      <c r="B59" s="8" t="s">
        <v>148</v>
      </c>
      <c r="C59" s="8" t="s">
        <v>154</v>
      </c>
      <c r="D59" s="26" t="n">
        <v>415</v>
      </c>
      <c r="E59" s="26" t="n">
        <v>249</v>
      </c>
      <c r="F59" s="28" t="n">
        <f aca="false">IF($D59=0,"",E59/$D59)</f>
        <v>0.6</v>
      </c>
      <c r="G59" s="26" t="n">
        <v>8</v>
      </c>
      <c r="H59" s="26" t="n">
        <v>6</v>
      </c>
      <c r="I59" s="26" t="n">
        <v>200</v>
      </c>
      <c r="J59" s="28" t="n">
        <f aca="false">IF($D59=0,"",I59/$D59)</f>
        <v>0.481927710843374</v>
      </c>
      <c r="K59" s="26" t="n">
        <v>8</v>
      </c>
      <c r="L59" s="26" t="n">
        <v>7</v>
      </c>
      <c r="M59" s="26" t="n">
        <v>169</v>
      </c>
      <c r="N59" s="28" t="n">
        <f aca="false">IF($D59=0,"",M59/$D59)</f>
        <v>0.407228915662651</v>
      </c>
      <c r="O59" s="26" t="n">
        <v>4</v>
      </c>
      <c r="P59" s="26" t="n">
        <v>11</v>
      </c>
      <c r="Q59" s="26" t="n">
        <v>145</v>
      </c>
      <c r="R59" s="28" t="n">
        <f aca="false">IF($D59=0,"",Q59/$D59)</f>
        <v>0.349397590361446</v>
      </c>
      <c r="S59" s="26" t="n">
        <v>4</v>
      </c>
      <c r="T59" s="26" t="n">
        <v>11</v>
      </c>
    </row>
    <row r="60" customFormat="false" ht="15" hidden="false" customHeight="false" outlineLevel="0" collapsed="false">
      <c r="A60" s="5" t="s">
        <v>87</v>
      </c>
      <c r="B60" s="5" t="s">
        <v>148</v>
      </c>
      <c r="C60" s="5" t="s">
        <v>155</v>
      </c>
      <c r="D60" s="35" t="n">
        <v>3169</v>
      </c>
      <c r="E60" s="35" t="n">
        <v>1917</v>
      </c>
      <c r="F60" s="36" t="n">
        <f aca="false">IF($D60=0,"",E60/$D60)</f>
        <v>0.604922688545282</v>
      </c>
      <c r="G60" s="35" t="n">
        <v>14</v>
      </c>
      <c r="H60" s="35" t="n">
        <v>7</v>
      </c>
      <c r="I60" s="35" t="n">
        <v>1540</v>
      </c>
      <c r="J60" s="36" t="n">
        <f aca="false">IF($D60=0,"",I60/$D60)</f>
        <v>0.485957715367624</v>
      </c>
      <c r="K60" s="35" t="n">
        <v>8</v>
      </c>
      <c r="L60" s="35" t="n">
        <v>8</v>
      </c>
      <c r="M60" s="35" t="n">
        <v>1229</v>
      </c>
      <c r="N60" s="36" t="n">
        <f aca="false">IF($D60=0,"",M60/$D60)</f>
        <v>0.387819501420006</v>
      </c>
      <c r="O60" s="35" t="n">
        <v>6</v>
      </c>
      <c r="P60" s="35" t="n">
        <v>15</v>
      </c>
      <c r="Q60" s="35" t="n">
        <v>1052</v>
      </c>
      <c r="R60" s="36" t="n">
        <f aca="false">IF($D60=0,"",Q60/$D60)</f>
        <v>0.331965919848533</v>
      </c>
      <c r="S60" s="35" t="n">
        <v>6</v>
      </c>
      <c r="T60" s="35" t="n">
        <v>18</v>
      </c>
    </row>
    <row r="62" customFormat="false" ht="15" hidden="false" customHeight="false" outlineLevel="0" collapsed="false">
      <c r="A62" s="8" t="s">
        <v>87</v>
      </c>
      <c r="B62" s="8" t="s">
        <v>24</v>
      </c>
      <c r="C62" s="8" t="s">
        <v>149</v>
      </c>
      <c r="D62" s="26" t="n">
        <v>222</v>
      </c>
      <c r="E62" s="26" t="n">
        <v>148</v>
      </c>
      <c r="F62" s="28" t="n">
        <f aca="false">IF($D62=0,"",E62/$D62)</f>
        <v>0.666666666666667</v>
      </c>
      <c r="G62" s="26" t="n">
        <v>17</v>
      </c>
      <c r="H62" s="26" t="n">
        <v>4</v>
      </c>
      <c r="I62" s="26" t="n">
        <v>122</v>
      </c>
      <c r="J62" s="28" t="n">
        <f aca="false">IF($D62=0,"",I62/$D62)</f>
        <v>0.54954954954955</v>
      </c>
      <c r="K62" s="26" t="n">
        <v>17</v>
      </c>
      <c r="L62" s="26" t="n">
        <v>7</v>
      </c>
      <c r="M62" s="26" t="n">
        <v>98</v>
      </c>
      <c r="N62" s="28" t="n">
        <f aca="false">IF($D62=0,"",M62/$D62)</f>
        <v>0.441441441441441</v>
      </c>
      <c r="O62" s="26" t="n">
        <v>8</v>
      </c>
      <c r="P62" s="26" t="n">
        <v>9</v>
      </c>
      <c r="Q62" s="26" t="n">
        <v>52</v>
      </c>
      <c r="R62" s="28" t="n">
        <f aca="false">IF($D62=0,"",Q62/$D62)</f>
        <v>0.234234234234234</v>
      </c>
      <c r="S62" s="26" t="n">
        <v>3</v>
      </c>
      <c r="T62" s="26" t="n">
        <v>12</v>
      </c>
    </row>
    <row r="63" customFormat="false" ht="15" hidden="false" customHeight="false" outlineLevel="0" collapsed="false">
      <c r="A63" s="8" t="s">
        <v>87</v>
      </c>
      <c r="B63" s="8" t="s">
        <v>24</v>
      </c>
      <c r="C63" s="8" t="s">
        <v>150</v>
      </c>
      <c r="D63" s="26" t="n">
        <v>246</v>
      </c>
      <c r="E63" s="26" t="n">
        <v>162</v>
      </c>
      <c r="F63" s="28" t="n">
        <f aca="false">IF($D63=0,"",E63/$D63)</f>
        <v>0.658536585365854</v>
      </c>
      <c r="G63" s="26" t="n">
        <v>9</v>
      </c>
      <c r="H63" s="26" t="n">
        <v>3</v>
      </c>
      <c r="I63" s="26" t="n">
        <v>137</v>
      </c>
      <c r="J63" s="28" t="n">
        <f aca="false">IF($D63=0,"",I63/$D63)</f>
        <v>0.556910569105691</v>
      </c>
      <c r="K63" s="26" t="n">
        <v>7</v>
      </c>
      <c r="L63" s="26" t="n">
        <v>4</v>
      </c>
      <c r="M63" s="26" t="n">
        <v>114</v>
      </c>
      <c r="N63" s="28" t="n">
        <f aca="false">IF($D63=0,"",M63/$D63)</f>
        <v>0.463414634146342</v>
      </c>
      <c r="O63" s="26" t="n">
        <v>7</v>
      </c>
      <c r="P63" s="26" t="n">
        <v>7</v>
      </c>
      <c r="Q63" s="26" t="n">
        <v>64</v>
      </c>
      <c r="R63" s="28" t="n">
        <f aca="false">IF($D63=0,"",Q63/$D63)</f>
        <v>0.260162601626016</v>
      </c>
      <c r="S63" s="26" t="n">
        <v>4</v>
      </c>
      <c r="T63" s="26" t="n">
        <v>11</v>
      </c>
    </row>
    <row r="64" customFormat="false" ht="15" hidden="false" customHeight="false" outlineLevel="0" collapsed="false">
      <c r="A64" s="8" t="s">
        <v>87</v>
      </c>
      <c r="B64" s="8" t="s">
        <v>24</v>
      </c>
      <c r="C64" s="8" t="s">
        <v>151</v>
      </c>
      <c r="D64" s="26" t="n">
        <v>219</v>
      </c>
      <c r="E64" s="26" t="n">
        <v>155</v>
      </c>
      <c r="F64" s="28" t="n">
        <f aca="false">IF($D64=0,"",E64/$D64)</f>
        <v>0.707762557077626</v>
      </c>
      <c r="G64" s="26" t="n">
        <v>21</v>
      </c>
      <c r="H64" s="26" t="n">
        <v>4</v>
      </c>
      <c r="I64" s="26" t="n">
        <v>128</v>
      </c>
      <c r="J64" s="28" t="n">
        <f aca="false">IF($D64=0,"",I64/$D64)</f>
        <v>0.584474885844749</v>
      </c>
      <c r="K64" s="26" t="n">
        <v>10</v>
      </c>
      <c r="L64" s="26" t="n">
        <v>6</v>
      </c>
      <c r="M64" s="26" t="n">
        <v>104</v>
      </c>
      <c r="N64" s="28" t="n">
        <f aca="false">IF($D64=0,"",M64/$D64)</f>
        <v>0.474885844748858</v>
      </c>
      <c r="O64" s="26" t="n">
        <v>7</v>
      </c>
      <c r="P64" s="26" t="n">
        <v>17</v>
      </c>
      <c r="Q64" s="26" t="n">
        <v>60</v>
      </c>
      <c r="R64" s="28" t="n">
        <f aca="false">IF($D64=0,"",Q64/$D64)</f>
        <v>0.273972602739726</v>
      </c>
      <c r="S64" s="26" t="n">
        <v>6</v>
      </c>
      <c r="T64" s="26" t="n">
        <v>26</v>
      </c>
    </row>
    <row r="65" customFormat="false" ht="15" hidden="false" customHeight="false" outlineLevel="0" collapsed="false">
      <c r="A65" s="8" t="s">
        <v>87</v>
      </c>
      <c r="B65" s="8" t="s">
        <v>24</v>
      </c>
      <c r="C65" s="8" t="s">
        <v>152</v>
      </c>
      <c r="D65" s="26" t="n">
        <v>246</v>
      </c>
      <c r="E65" s="26" t="n">
        <v>157</v>
      </c>
      <c r="F65" s="28" t="n">
        <f aca="false">IF($D65=0,"",E65/$D65)</f>
        <v>0.638211382113821</v>
      </c>
      <c r="G65" s="26" t="n">
        <v>9</v>
      </c>
      <c r="H65" s="26" t="n">
        <v>6</v>
      </c>
      <c r="I65" s="26" t="n">
        <v>131</v>
      </c>
      <c r="J65" s="28" t="n">
        <f aca="false">IF($D65=0,"",I65/$D65)</f>
        <v>0.532520325203252</v>
      </c>
      <c r="K65" s="26" t="n">
        <v>9</v>
      </c>
      <c r="L65" s="26" t="n">
        <v>6</v>
      </c>
      <c r="M65" s="26" t="n">
        <v>104</v>
      </c>
      <c r="N65" s="28" t="n">
        <f aca="false">IF($D65=0,"",M65/$D65)</f>
        <v>0.422764227642276</v>
      </c>
      <c r="O65" s="26" t="n">
        <v>5</v>
      </c>
      <c r="P65" s="26" t="n">
        <v>7</v>
      </c>
      <c r="Q65" s="26" t="n">
        <v>51</v>
      </c>
      <c r="R65" s="28" t="n">
        <f aca="false">IF($D65=0,"",Q65/$D65)</f>
        <v>0.207317073170732</v>
      </c>
      <c r="S65" s="26" t="n">
        <v>3</v>
      </c>
      <c r="T65" s="26" t="n">
        <v>21</v>
      </c>
    </row>
    <row r="66" customFormat="false" ht="15" hidden="false" customHeight="false" outlineLevel="0" collapsed="false">
      <c r="A66" s="8" t="s">
        <v>87</v>
      </c>
      <c r="B66" s="8" t="s">
        <v>24</v>
      </c>
      <c r="C66" s="8" t="s">
        <v>153</v>
      </c>
      <c r="D66" s="26" t="n">
        <v>270</v>
      </c>
      <c r="E66" s="26" t="n">
        <v>173</v>
      </c>
      <c r="F66" s="28" t="n">
        <f aca="false">IF($D66=0,"",E66/$D66)</f>
        <v>0.640740740740741</v>
      </c>
      <c r="G66" s="26" t="n">
        <v>10</v>
      </c>
      <c r="H66" s="26" t="n">
        <v>4</v>
      </c>
      <c r="I66" s="26" t="n">
        <v>146</v>
      </c>
      <c r="J66" s="28" t="n">
        <f aca="false">IF($D66=0,"",I66/$D66)</f>
        <v>0.540740740740741</v>
      </c>
      <c r="K66" s="26" t="n">
        <v>8</v>
      </c>
      <c r="L66" s="26" t="n">
        <v>8</v>
      </c>
      <c r="M66" s="26" t="n">
        <v>125</v>
      </c>
      <c r="N66" s="28" t="n">
        <f aca="false">IF($D66=0,"",M66/$D66)</f>
        <v>0.462962962962963</v>
      </c>
      <c r="O66" s="26" t="n">
        <v>5</v>
      </c>
      <c r="P66" s="26" t="n">
        <v>8</v>
      </c>
      <c r="Q66" s="26" t="n">
        <v>78</v>
      </c>
      <c r="R66" s="28" t="n">
        <f aca="false">IF($D66=0,"",Q66/$D66)</f>
        <v>0.288888888888889</v>
      </c>
      <c r="S66" s="26" t="n">
        <v>5</v>
      </c>
      <c r="T66" s="26" t="n">
        <v>15</v>
      </c>
    </row>
    <row r="67" customFormat="false" ht="15" hidden="false" customHeight="false" outlineLevel="0" collapsed="false">
      <c r="A67" s="8" t="s">
        <v>87</v>
      </c>
      <c r="B67" s="8" t="s">
        <v>24</v>
      </c>
      <c r="C67" s="8" t="s">
        <v>154</v>
      </c>
      <c r="D67" s="26" t="n">
        <v>185</v>
      </c>
      <c r="E67" s="26" t="n">
        <v>125</v>
      </c>
      <c r="F67" s="28" t="n">
        <f aca="false">IF($D67=0,"",E67/$D67)</f>
        <v>0.675675675675676</v>
      </c>
      <c r="G67" s="26" t="n">
        <v>16</v>
      </c>
      <c r="H67" s="26" t="n">
        <v>6</v>
      </c>
      <c r="I67" s="26" t="n">
        <v>105</v>
      </c>
      <c r="J67" s="28" t="n">
        <f aca="false">IF($D67=0,"",I67/$D67)</f>
        <v>0.567567567567568</v>
      </c>
      <c r="K67" s="26" t="n">
        <v>9</v>
      </c>
      <c r="L67" s="26" t="n">
        <v>6</v>
      </c>
      <c r="M67" s="26" t="n">
        <v>85</v>
      </c>
      <c r="N67" s="28" t="n">
        <f aca="false">IF($D67=0,"",M67/$D67)</f>
        <v>0.45945945945946</v>
      </c>
      <c r="O67" s="26" t="n">
        <v>5</v>
      </c>
      <c r="P67" s="26" t="n">
        <v>7</v>
      </c>
      <c r="Q67" s="26" t="n">
        <v>44</v>
      </c>
      <c r="R67" s="28" t="n">
        <f aca="false">IF($D67=0,"",Q67/$D67)</f>
        <v>0.237837837837838</v>
      </c>
      <c r="S67" s="26" t="n">
        <v>3</v>
      </c>
      <c r="T67" s="26" t="n">
        <v>15</v>
      </c>
    </row>
    <row r="68" customFormat="false" ht="15" hidden="false" customHeight="false" outlineLevel="0" collapsed="false">
      <c r="A68" s="5" t="s">
        <v>87</v>
      </c>
      <c r="B68" s="5" t="s">
        <v>24</v>
      </c>
      <c r="C68" s="5" t="s">
        <v>155</v>
      </c>
      <c r="D68" s="35" t="n">
        <v>1388</v>
      </c>
      <c r="E68" s="35" t="n">
        <v>920</v>
      </c>
      <c r="F68" s="36" t="n">
        <f aca="false">IF($D68=0,"",E68/$D68)</f>
        <v>0.662824207492795</v>
      </c>
      <c r="G68" s="35" t="n">
        <v>21</v>
      </c>
      <c r="H68" s="35" t="n">
        <v>6</v>
      </c>
      <c r="I68" s="35" t="n">
        <v>769</v>
      </c>
      <c r="J68" s="36" t="n">
        <f aca="false">IF($D68=0,"",I68/$D68)</f>
        <v>0.554034582132565</v>
      </c>
      <c r="K68" s="35" t="n">
        <v>17</v>
      </c>
      <c r="L68" s="35" t="n">
        <v>8</v>
      </c>
      <c r="M68" s="35" t="n">
        <v>630</v>
      </c>
      <c r="N68" s="36" t="n">
        <f aca="false">IF($D68=0,"",M68/$D68)</f>
        <v>0.453890489913545</v>
      </c>
      <c r="O68" s="35" t="n">
        <v>8</v>
      </c>
      <c r="P68" s="35" t="n">
        <v>17</v>
      </c>
      <c r="Q68" s="35" t="n">
        <v>349</v>
      </c>
      <c r="R68" s="36" t="n">
        <f aca="false">IF($D68=0,"",Q68/$D68)</f>
        <v>0.251440922190202</v>
      </c>
      <c r="S68" s="35" t="n">
        <v>6</v>
      </c>
      <c r="T68" s="35" t="n">
        <v>26</v>
      </c>
    </row>
    <row r="70" customFormat="false" ht="15" hidden="false" customHeight="false" outlineLevel="0" collapsed="false">
      <c r="A70" s="8" t="s">
        <v>87</v>
      </c>
      <c r="B70" s="8" t="s">
        <v>59</v>
      </c>
      <c r="C70" s="8" t="s">
        <v>149</v>
      </c>
      <c r="D70" s="26" t="n">
        <v>180</v>
      </c>
      <c r="E70" s="26" t="n">
        <v>122</v>
      </c>
      <c r="F70" s="28" t="n">
        <f aca="false">IF($D70=0,"",E70/$D70)</f>
        <v>0.677777777777778</v>
      </c>
      <c r="G70" s="26" t="n">
        <v>18</v>
      </c>
      <c r="H70" s="26" t="n">
        <v>4</v>
      </c>
      <c r="I70" s="26" t="n">
        <v>101</v>
      </c>
      <c r="J70" s="28" t="n">
        <f aca="false">IF($D70=0,"",I70/$D70)</f>
        <v>0.561111111111111</v>
      </c>
      <c r="K70" s="26" t="n">
        <v>16</v>
      </c>
      <c r="L70" s="26" t="n">
        <v>7</v>
      </c>
      <c r="M70" s="26" t="n">
        <v>82</v>
      </c>
      <c r="N70" s="28" t="n">
        <f aca="false">IF($D70=0,"",M70/$D70)</f>
        <v>0.455555555555556</v>
      </c>
      <c r="O70" s="26" t="n">
        <v>8</v>
      </c>
      <c r="P70" s="26" t="n">
        <v>8</v>
      </c>
      <c r="Q70" s="26" t="n">
        <v>47</v>
      </c>
      <c r="R70" s="28" t="n">
        <f aca="false">IF($D70=0,"",Q70/$D70)</f>
        <v>0.261111111111111</v>
      </c>
      <c r="S70" s="26" t="n">
        <v>2</v>
      </c>
      <c r="T70" s="26" t="n">
        <v>12</v>
      </c>
    </row>
    <row r="71" customFormat="false" ht="15" hidden="false" customHeight="false" outlineLevel="0" collapsed="false">
      <c r="A71" s="8" t="s">
        <v>87</v>
      </c>
      <c r="B71" s="8" t="s">
        <v>59</v>
      </c>
      <c r="C71" s="8" t="s">
        <v>150</v>
      </c>
      <c r="D71" s="26" t="n">
        <v>220</v>
      </c>
      <c r="E71" s="26" t="n">
        <v>146</v>
      </c>
      <c r="F71" s="28" t="n">
        <f aca="false">IF($D71=0,"",E71/$D71)</f>
        <v>0.663636363636364</v>
      </c>
      <c r="G71" s="26" t="n">
        <v>8</v>
      </c>
      <c r="H71" s="26" t="n">
        <v>5</v>
      </c>
      <c r="I71" s="26" t="n">
        <v>122</v>
      </c>
      <c r="J71" s="28" t="n">
        <f aca="false">IF($D71=0,"",I71/$D71)</f>
        <v>0.554545454545455</v>
      </c>
      <c r="K71" s="26" t="n">
        <v>6</v>
      </c>
      <c r="L71" s="26" t="n">
        <v>6</v>
      </c>
      <c r="M71" s="26" t="n">
        <v>103</v>
      </c>
      <c r="N71" s="28" t="n">
        <f aca="false">IF($D71=0,"",M71/$D71)</f>
        <v>0.468181818181818</v>
      </c>
      <c r="O71" s="26" t="n">
        <v>4</v>
      </c>
      <c r="P71" s="26" t="n">
        <v>6</v>
      </c>
      <c r="Q71" s="26" t="n">
        <v>60</v>
      </c>
      <c r="R71" s="28" t="n">
        <f aca="false">IF($D71=0,"",Q71/$D71)</f>
        <v>0.272727272727273</v>
      </c>
      <c r="S71" s="26" t="n">
        <v>3</v>
      </c>
      <c r="T71" s="26" t="n">
        <v>12</v>
      </c>
    </row>
    <row r="72" customFormat="false" ht="15" hidden="false" customHeight="false" outlineLevel="0" collapsed="false">
      <c r="A72" s="8" t="s">
        <v>87</v>
      </c>
      <c r="B72" s="8" t="s">
        <v>59</v>
      </c>
      <c r="C72" s="8" t="s">
        <v>151</v>
      </c>
      <c r="D72" s="26" t="n">
        <v>185</v>
      </c>
      <c r="E72" s="26" t="n">
        <v>125</v>
      </c>
      <c r="F72" s="28" t="n">
        <f aca="false">IF($D72=0,"",E72/$D72)</f>
        <v>0.675675675675676</v>
      </c>
      <c r="G72" s="26" t="n">
        <v>12</v>
      </c>
      <c r="H72" s="26" t="n">
        <v>5</v>
      </c>
      <c r="I72" s="26" t="n">
        <v>100</v>
      </c>
      <c r="J72" s="28" t="n">
        <f aca="false">IF($D72=0,"",I72/$D72)</f>
        <v>0.540540540540541</v>
      </c>
      <c r="K72" s="26" t="n">
        <v>10</v>
      </c>
      <c r="L72" s="26" t="n">
        <v>9</v>
      </c>
      <c r="M72" s="26" t="n">
        <v>79</v>
      </c>
      <c r="N72" s="28" t="n">
        <f aca="false">IF($D72=0,"",M72/$D72)</f>
        <v>0.427027027027027</v>
      </c>
      <c r="O72" s="26" t="n">
        <v>8</v>
      </c>
      <c r="P72" s="26" t="n">
        <v>18</v>
      </c>
      <c r="Q72" s="26" t="n">
        <v>52</v>
      </c>
      <c r="R72" s="28" t="n">
        <f aca="false">IF($D72=0,"",Q72/$D72)</f>
        <v>0.281081081081081</v>
      </c>
      <c r="S72" s="26" t="n">
        <v>3</v>
      </c>
      <c r="T72" s="26" t="n">
        <v>19</v>
      </c>
    </row>
    <row r="73" customFormat="false" ht="15" hidden="false" customHeight="false" outlineLevel="0" collapsed="false">
      <c r="A73" s="8" t="s">
        <v>87</v>
      </c>
      <c r="B73" s="8" t="s">
        <v>59</v>
      </c>
      <c r="C73" s="8" t="s">
        <v>152</v>
      </c>
      <c r="D73" s="26" t="n">
        <v>200</v>
      </c>
      <c r="E73" s="26" t="n">
        <v>136</v>
      </c>
      <c r="F73" s="28" t="n">
        <f aca="false">IF($D73=0,"",E73/$D73)</f>
        <v>0.68</v>
      </c>
      <c r="G73" s="26" t="n">
        <v>9</v>
      </c>
      <c r="H73" s="26" t="n">
        <v>4</v>
      </c>
      <c r="I73" s="26" t="n">
        <v>118</v>
      </c>
      <c r="J73" s="28" t="n">
        <f aca="false">IF($D73=0,"",I73/$D73)</f>
        <v>0.59</v>
      </c>
      <c r="K73" s="26" t="n">
        <v>7</v>
      </c>
      <c r="L73" s="26" t="n">
        <v>5</v>
      </c>
      <c r="M73" s="26" t="n">
        <v>96</v>
      </c>
      <c r="N73" s="28" t="n">
        <f aca="false">IF($D73=0,"",M73/$D73)</f>
        <v>0.48</v>
      </c>
      <c r="O73" s="26" t="n">
        <v>7</v>
      </c>
      <c r="P73" s="26" t="n">
        <v>5</v>
      </c>
      <c r="Q73" s="26" t="n">
        <v>50</v>
      </c>
      <c r="R73" s="28" t="n">
        <f aca="false">IF($D73=0,"",Q73/$D73)</f>
        <v>0.25</v>
      </c>
      <c r="S73" s="26" t="n">
        <v>5</v>
      </c>
      <c r="T73" s="26" t="n">
        <v>13</v>
      </c>
    </row>
    <row r="74" customFormat="false" ht="15" hidden="false" customHeight="false" outlineLevel="0" collapsed="false">
      <c r="A74" s="8" t="s">
        <v>87</v>
      </c>
      <c r="B74" s="8" t="s">
        <v>59</v>
      </c>
      <c r="C74" s="8" t="s">
        <v>153</v>
      </c>
      <c r="D74" s="26" t="n">
        <v>203</v>
      </c>
      <c r="E74" s="26" t="n">
        <v>122</v>
      </c>
      <c r="F74" s="28" t="n">
        <f aca="false">IF($D74=0,"",E74/$D74)</f>
        <v>0.600985221674877</v>
      </c>
      <c r="G74" s="26" t="n">
        <v>6</v>
      </c>
      <c r="H74" s="26" t="n">
        <v>5</v>
      </c>
      <c r="I74" s="26" t="n">
        <v>107</v>
      </c>
      <c r="J74" s="28" t="n">
        <f aca="false">IF($D74=0,"",I74/$D74)</f>
        <v>0.527093596059113</v>
      </c>
      <c r="K74" s="26" t="n">
        <v>6</v>
      </c>
      <c r="L74" s="26" t="n">
        <v>5</v>
      </c>
      <c r="M74" s="26" t="n">
        <v>88</v>
      </c>
      <c r="N74" s="28" t="n">
        <f aca="false">IF($D74=0,"",M74/$D74)</f>
        <v>0.433497536945813</v>
      </c>
      <c r="O74" s="26" t="n">
        <v>5</v>
      </c>
      <c r="P74" s="26" t="n">
        <v>7</v>
      </c>
      <c r="Q74" s="26" t="n">
        <v>58</v>
      </c>
      <c r="R74" s="28" t="n">
        <f aca="false">IF($D74=0,"",Q74/$D74)</f>
        <v>0.285714285714286</v>
      </c>
      <c r="S74" s="26" t="n">
        <v>4</v>
      </c>
      <c r="T74" s="26" t="n">
        <v>11</v>
      </c>
    </row>
    <row r="75" customFormat="false" ht="15" hidden="false" customHeight="false" outlineLevel="0" collapsed="false">
      <c r="A75" s="8" t="s">
        <v>87</v>
      </c>
      <c r="B75" s="8" t="s">
        <v>59</v>
      </c>
      <c r="C75" s="8" t="s">
        <v>154</v>
      </c>
      <c r="D75" s="26" t="n">
        <v>149</v>
      </c>
      <c r="E75" s="26" t="n">
        <v>101</v>
      </c>
      <c r="F75" s="28" t="n">
        <f aca="false">IF($D75=0,"",E75/$D75)</f>
        <v>0.677852348993289</v>
      </c>
      <c r="G75" s="26" t="n">
        <v>11</v>
      </c>
      <c r="H75" s="26" t="n">
        <v>4</v>
      </c>
      <c r="I75" s="26" t="n">
        <v>82</v>
      </c>
      <c r="J75" s="28" t="n">
        <f aca="false">IF($D75=0,"",I75/$D75)</f>
        <v>0.550335570469799</v>
      </c>
      <c r="K75" s="26" t="n">
        <v>8</v>
      </c>
      <c r="L75" s="26" t="n">
        <v>6</v>
      </c>
      <c r="M75" s="26" t="n">
        <v>67</v>
      </c>
      <c r="N75" s="28" t="n">
        <f aca="false">IF($D75=0,"",M75/$D75)</f>
        <v>0.449664429530201</v>
      </c>
      <c r="O75" s="26" t="n">
        <v>5</v>
      </c>
      <c r="P75" s="26" t="n">
        <v>6</v>
      </c>
      <c r="Q75" s="26" t="n">
        <v>34</v>
      </c>
      <c r="R75" s="28" t="n">
        <f aca="false">IF($D75=0,"",Q75/$D75)</f>
        <v>0.228187919463087</v>
      </c>
      <c r="S75" s="26" t="n">
        <v>3</v>
      </c>
      <c r="T75" s="26" t="n">
        <v>10</v>
      </c>
    </row>
    <row r="76" customFormat="false" ht="15" hidden="false" customHeight="false" outlineLevel="0" collapsed="false">
      <c r="A76" s="5" t="s">
        <v>87</v>
      </c>
      <c r="B76" s="5" t="s">
        <v>59</v>
      </c>
      <c r="C76" s="5" t="s">
        <v>155</v>
      </c>
      <c r="D76" s="35" t="n">
        <v>1137</v>
      </c>
      <c r="E76" s="35" t="n">
        <v>752</v>
      </c>
      <c r="F76" s="36" t="n">
        <f aca="false">IF($D76=0,"",E76/$D76)</f>
        <v>0.661389621811785</v>
      </c>
      <c r="G76" s="35" t="n">
        <v>18</v>
      </c>
      <c r="H76" s="35" t="n">
        <v>5</v>
      </c>
      <c r="I76" s="35" t="n">
        <v>630</v>
      </c>
      <c r="J76" s="36" t="n">
        <f aca="false">IF($D76=0,"",I76/$D76)</f>
        <v>0.554089709762533</v>
      </c>
      <c r="K76" s="35" t="n">
        <v>16</v>
      </c>
      <c r="L76" s="35" t="n">
        <v>9</v>
      </c>
      <c r="M76" s="35" t="n">
        <v>515</v>
      </c>
      <c r="N76" s="36" t="n">
        <f aca="false">IF($D76=0,"",M76/$D76)</f>
        <v>0.452946350043975</v>
      </c>
      <c r="O76" s="35" t="n">
        <v>8</v>
      </c>
      <c r="P76" s="35" t="n">
        <v>18</v>
      </c>
      <c r="Q76" s="35" t="n">
        <v>301</v>
      </c>
      <c r="R76" s="36" t="n">
        <f aca="false">IF($D76=0,"",Q76/$D76)</f>
        <v>0.264731750219877</v>
      </c>
      <c r="S76" s="35" t="n">
        <v>5</v>
      </c>
      <c r="T76" s="35" t="n">
        <v>19</v>
      </c>
    </row>
    <row r="78" customFormat="false" ht="15" hidden="false" customHeight="false" outlineLevel="0" collapsed="false">
      <c r="A78" s="8" t="s">
        <v>109</v>
      </c>
      <c r="B78" s="8" t="s">
        <v>148</v>
      </c>
      <c r="C78" s="8" t="s">
        <v>149</v>
      </c>
      <c r="D78" s="26" t="n">
        <v>167</v>
      </c>
      <c r="E78" s="26" t="n">
        <v>89</v>
      </c>
      <c r="F78" s="28" t="n">
        <f aca="false">IF($D78=0,"",E78/$D78)</f>
        <v>0.532934131736527</v>
      </c>
      <c r="G78" s="26" t="n">
        <v>6</v>
      </c>
      <c r="H78" s="26" t="n">
        <v>5</v>
      </c>
      <c r="I78" s="26" t="n">
        <v>65</v>
      </c>
      <c r="J78" s="28" t="n">
        <f aca="false">IF($D78=0,"",I78/$D78)</f>
        <v>0.389221556886228</v>
      </c>
      <c r="K78" s="26" t="n">
        <v>5</v>
      </c>
      <c r="L78" s="26" t="n">
        <v>10</v>
      </c>
      <c r="M78" s="26" t="n">
        <v>49</v>
      </c>
      <c r="N78" s="28" t="n">
        <f aca="false">IF($D78=0,"",M78/$D78)</f>
        <v>0.293413173652695</v>
      </c>
      <c r="O78" s="26" t="n">
        <v>4</v>
      </c>
      <c r="P78" s="26" t="n">
        <v>14</v>
      </c>
      <c r="Q78" s="26" t="n">
        <v>40</v>
      </c>
      <c r="R78" s="28" t="n">
        <f aca="false">IF($D78=0,"",Q78/$D78)</f>
        <v>0.239520958083832</v>
      </c>
      <c r="S78" s="26" t="n">
        <v>4</v>
      </c>
      <c r="T78" s="26" t="n">
        <v>15</v>
      </c>
    </row>
    <row r="79" customFormat="false" ht="15" hidden="false" customHeight="false" outlineLevel="0" collapsed="false">
      <c r="A79" s="8" t="s">
        <v>109</v>
      </c>
      <c r="B79" s="8" t="s">
        <v>148</v>
      </c>
      <c r="C79" s="8" t="s">
        <v>150</v>
      </c>
      <c r="D79" s="26" t="n">
        <v>147</v>
      </c>
      <c r="E79" s="26" t="n">
        <v>91</v>
      </c>
      <c r="F79" s="28" t="n">
        <f aca="false">IF($D79=0,"",E79/$D79)</f>
        <v>0.619047619047619</v>
      </c>
      <c r="G79" s="26" t="n">
        <v>7</v>
      </c>
      <c r="H79" s="26" t="n">
        <v>6</v>
      </c>
      <c r="I79" s="26" t="n">
        <v>73</v>
      </c>
      <c r="J79" s="28" t="n">
        <f aca="false">IF($D79=0,"",I79/$D79)</f>
        <v>0.496598639455782</v>
      </c>
      <c r="K79" s="26" t="n">
        <v>5</v>
      </c>
      <c r="L79" s="26" t="n">
        <v>6</v>
      </c>
      <c r="M79" s="26" t="n">
        <v>63</v>
      </c>
      <c r="N79" s="28" t="n">
        <f aca="false">IF($D79=0,"",M79/$D79)</f>
        <v>0.428571428571429</v>
      </c>
      <c r="O79" s="26" t="n">
        <v>5</v>
      </c>
      <c r="P79" s="26" t="n">
        <v>7</v>
      </c>
      <c r="Q79" s="26" t="n">
        <v>57</v>
      </c>
      <c r="R79" s="28" t="n">
        <f aca="false">IF($D79=0,"",Q79/$D79)</f>
        <v>0.387755102040816</v>
      </c>
      <c r="S79" s="26" t="n">
        <v>5</v>
      </c>
      <c r="T79" s="26" t="n">
        <v>7</v>
      </c>
    </row>
    <row r="80" customFormat="false" ht="15" hidden="false" customHeight="false" outlineLevel="0" collapsed="false">
      <c r="A80" s="8" t="s">
        <v>109</v>
      </c>
      <c r="B80" s="8" t="s">
        <v>148</v>
      </c>
      <c r="C80" s="8" t="s">
        <v>151</v>
      </c>
      <c r="D80" s="26" t="n">
        <v>147</v>
      </c>
      <c r="E80" s="26" t="n">
        <v>84</v>
      </c>
      <c r="F80" s="28" t="n">
        <f aca="false">IF($D80=0,"",E80/$D80)</f>
        <v>0.571428571428571</v>
      </c>
      <c r="G80" s="26" t="n">
        <v>10</v>
      </c>
      <c r="H80" s="26" t="n">
        <v>6</v>
      </c>
      <c r="I80" s="26" t="n">
        <v>70</v>
      </c>
      <c r="J80" s="28" t="n">
        <f aca="false">IF($D80=0,"",I80/$D80)</f>
        <v>0.476190476190476</v>
      </c>
      <c r="K80" s="26" t="n">
        <v>5</v>
      </c>
      <c r="L80" s="26" t="n">
        <v>8</v>
      </c>
      <c r="M80" s="26" t="n">
        <v>50</v>
      </c>
      <c r="N80" s="28" t="n">
        <f aca="false">IF($D80=0,"",M80/$D80)</f>
        <v>0.340136054421769</v>
      </c>
      <c r="O80" s="26" t="n">
        <v>4</v>
      </c>
      <c r="P80" s="26" t="n">
        <v>10</v>
      </c>
      <c r="Q80" s="26" t="n">
        <v>46</v>
      </c>
      <c r="R80" s="28" t="n">
        <f aca="false">IF($D80=0,"",Q80/$D80)</f>
        <v>0.312925170068027</v>
      </c>
      <c r="S80" s="26" t="n">
        <v>4</v>
      </c>
      <c r="T80" s="26" t="n">
        <v>10</v>
      </c>
    </row>
    <row r="81" customFormat="false" ht="15" hidden="false" customHeight="false" outlineLevel="0" collapsed="false">
      <c r="A81" s="8" t="s">
        <v>109</v>
      </c>
      <c r="B81" s="8" t="s">
        <v>148</v>
      </c>
      <c r="C81" s="8" t="s">
        <v>152</v>
      </c>
      <c r="D81" s="26" t="n">
        <v>156</v>
      </c>
      <c r="E81" s="26" t="n">
        <v>97</v>
      </c>
      <c r="F81" s="28" t="n">
        <f aca="false">IF($D81=0,"",E81/$D81)</f>
        <v>0.621794871794872</v>
      </c>
      <c r="G81" s="26" t="n">
        <v>8</v>
      </c>
      <c r="H81" s="26" t="n">
        <v>4</v>
      </c>
      <c r="I81" s="26" t="n">
        <v>79</v>
      </c>
      <c r="J81" s="28" t="n">
        <f aca="false">IF($D81=0,"",I81/$D81)</f>
        <v>0.506410256410256</v>
      </c>
      <c r="K81" s="26" t="n">
        <v>7</v>
      </c>
      <c r="L81" s="26" t="n">
        <v>5</v>
      </c>
      <c r="M81" s="26" t="n">
        <v>57</v>
      </c>
      <c r="N81" s="28" t="n">
        <f aca="false">IF($D81=0,"",M81/$D81)</f>
        <v>0.365384615384615</v>
      </c>
      <c r="O81" s="26" t="n">
        <v>3</v>
      </c>
      <c r="P81" s="26" t="n">
        <v>10</v>
      </c>
      <c r="Q81" s="26" t="n">
        <v>50</v>
      </c>
      <c r="R81" s="28" t="n">
        <f aca="false">IF($D81=0,"",Q81/$D81)</f>
        <v>0.320512820512821</v>
      </c>
      <c r="S81" s="26" t="n">
        <v>3</v>
      </c>
      <c r="T81" s="26" t="n">
        <v>11</v>
      </c>
    </row>
    <row r="82" customFormat="false" ht="15" hidden="false" customHeight="false" outlineLevel="0" collapsed="false">
      <c r="A82" s="8" t="s">
        <v>109</v>
      </c>
      <c r="B82" s="8" t="s">
        <v>148</v>
      </c>
      <c r="C82" s="8" t="s">
        <v>153</v>
      </c>
      <c r="D82" s="26" t="n">
        <v>169</v>
      </c>
      <c r="E82" s="26" t="n">
        <v>97</v>
      </c>
      <c r="F82" s="28" t="n">
        <f aca="false">IF($D82=0,"",E82/$D82)</f>
        <v>0.57396449704142</v>
      </c>
      <c r="G82" s="26" t="n">
        <v>6</v>
      </c>
      <c r="H82" s="26" t="n">
        <v>5</v>
      </c>
      <c r="I82" s="26" t="n">
        <v>78</v>
      </c>
      <c r="J82" s="28" t="n">
        <f aca="false">IF($D82=0,"",I82/$D82)</f>
        <v>0.461538461538462</v>
      </c>
      <c r="K82" s="26" t="n">
        <v>6</v>
      </c>
      <c r="L82" s="26" t="n">
        <v>5</v>
      </c>
      <c r="M82" s="26" t="n">
        <v>63</v>
      </c>
      <c r="N82" s="28" t="n">
        <f aca="false">IF($D82=0,"",M82/$D82)</f>
        <v>0.372781065088757</v>
      </c>
      <c r="O82" s="26" t="n">
        <v>4</v>
      </c>
      <c r="P82" s="26" t="n">
        <v>8</v>
      </c>
      <c r="Q82" s="26" t="n">
        <v>52</v>
      </c>
      <c r="R82" s="28" t="n">
        <f aca="false">IF($D82=0,"",Q82/$D82)</f>
        <v>0.307692307692308</v>
      </c>
      <c r="S82" s="26" t="n">
        <v>4</v>
      </c>
      <c r="T82" s="26" t="n">
        <v>10</v>
      </c>
    </row>
    <row r="83" customFormat="false" ht="15" hidden="false" customHeight="false" outlineLevel="0" collapsed="false">
      <c r="A83" s="8" t="s">
        <v>109</v>
      </c>
      <c r="B83" s="8" t="s">
        <v>148</v>
      </c>
      <c r="C83" s="8" t="s">
        <v>154</v>
      </c>
      <c r="D83" s="26" t="n">
        <v>98</v>
      </c>
      <c r="E83" s="26" t="n">
        <v>70</v>
      </c>
      <c r="F83" s="28" t="n">
        <f aca="false">IF($D83=0,"",E83/$D83)</f>
        <v>0.714285714285714</v>
      </c>
      <c r="G83" s="26" t="n">
        <v>23</v>
      </c>
      <c r="H83" s="26" t="n">
        <v>4</v>
      </c>
      <c r="I83" s="26" t="n">
        <v>62</v>
      </c>
      <c r="J83" s="28" t="n">
        <f aca="false">IF($D83=0,"",I83/$D83)</f>
        <v>0.63265306122449</v>
      </c>
      <c r="K83" s="26" t="n">
        <v>17</v>
      </c>
      <c r="L83" s="26" t="n">
        <v>4</v>
      </c>
      <c r="M83" s="26" t="n">
        <v>50</v>
      </c>
      <c r="N83" s="28" t="n">
        <f aca="false">IF($D83=0,"",M83/$D83)</f>
        <v>0.510204081632653</v>
      </c>
      <c r="O83" s="26" t="n">
        <v>9</v>
      </c>
      <c r="P83" s="26" t="n">
        <v>6</v>
      </c>
      <c r="Q83" s="26" t="n">
        <v>43</v>
      </c>
      <c r="R83" s="28" t="n">
        <f aca="false">IF($D83=0,"",Q83/$D83)</f>
        <v>0.438775510204082</v>
      </c>
      <c r="S83" s="26" t="n">
        <v>9</v>
      </c>
      <c r="T83" s="26" t="n">
        <v>8</v>
      </c>
    </row>
    <row r="84" customFormat="false" ht="15" hidden="false" customHeight="false" outlineLevel="0" collapsed="false">
      <c r="A84" s="5" t="s">
        <v>109</v>
      </c>
      <c r="B84" s="5" t="s">
        <v>148</v>
      </c>
      <c r="C84" s="5" t="s">
        <v>155</v>
      </c>
      <c r="D84" s="35" t="n">
        <v>884</v>
      </c>
      <c r="E84" s="35" t="n">
        <v>528</v>
      </c>
      <c r="F84" s="36" t="n">
        <f aca="false">IF($D84=0,"",E84/$D84)</f>
        <v>0.597285067873303</v>
      </c>
      <c r="G84" s="35" t="n">
        <v>23</v>
      </c>
      <c r="H84" s="35" t="n">
        <v>6</v>
      </c>
      <c r="I84" s="35" t="n">
        <v>427</v>
      </c>
      <c r="J84" s="36" t="n">
        <f aca="false">IF($D84=0,"",I84/$D84)</f>
        <v>0.483031674208145</v>
      </c>
      <c r="K84" s="35" t="n">
        <v>17</v>
      </c>
      <c r="L84" s="35" t="n">
        <v>10</v>
      </c>
      <c r="M84" s="35" t="n">
        <v>332</v>
      </c>
      <c r="N84" s="36" t="n">
        <f aca="false">IF($D84=0,"",M84/$D84)</f>
        <v>0.375565610859729</v>
      </c>
      <c r="O84" s="35" t="n">
        <v>9</v>
      </c>
      <c r="P84" s="35" t="n">
        <v>14</v>
      </c>
      <c r="Q84" s="35" t="n">
        <v>288</v>
      </c>
      <c r="R84" s="36" t="n">
        <f aca="false">IF($D84=0,"",Q84/$D84)</f>
        <v>0.32579185520362</v>
      </c>
      <c r="S84" s="35" t="n">
        <v>9</v>
      </c>
      <c r="T84" s="35" t="n">
        <v>15</v>
      </c>
    </row>
    <row r="86" customFormat="false" ht="15" hidden="false" customHeight="false" outlineLevel="0" collapsed="false">
      <c r="A86" s="8" t="s">
        <v>109</v>
      </c>
      <c r="B86" s="8" t="s">
        <v>24</v>
      </c>
      <c r="C86" s="8" t="s">
        <v>149</v>
      </c>
      <c r="D86" s="26" t="n">
        <v>36</v>
      </c>
      <c r="E86" s="26" t="n">
        <v>23</v>
      </c>
      <c r="F86" s="28" t="n">
        <f aca="false">IF($D86=0,"",E86/$D86)</f>
        <v>0.638888888888889</v>
      </c>
      <c r="G86" s="26" t="n">
        <v>5</v>
      </c>
      <c r="H86" s="26" t="n">
        <v>3</v>
      </c>
      <c r="I86" s="26" t="n">
        <v>20</v>
      </c>
      <c r="J86" s="28" t="n">
        <f aca="false">IF($D86=0,"",I86/$D86)</f>
        <v>0.555555555555556</v>
      </c>
      <c r="K86" s="26" t="n">
        <v>3</v>
      </c>
      <c r="L86" s="26" t="n">
        <v>3</v>
      </c>
      <c r="M86" s="26" t="n">
        <v>19</v>
      </c>
      <c r="N86" s="28" t="n">
        <f aca="false">IF($D86=0,"",M86/$D86)</f>
        <v>0.527777777777778</v>
      </c>
      <c r="O86" s="26" t="n">
        <v>3</v>
      </c>
      <c r="P86" s="26" t="n">
        <v>4</v>
      </c>
      <c r="Q86" s="26" t="n">
        <v>14</v>
      </c>
      <c r="R86" s="28" t="n">
        <f aca="false">IF($D86=0,"",Q86/$D86)</f>
        <v>0.388888888888889</v>
      </c>
      <c r="S86" s="26" t="n">
        <v>3</v>
      </c>
      <c r="T86" s="26" t="n">
        <v>7</v>
      </c>
    </row>
    <row r="87" customFormat="false" ht="15" hidden="false" customHeight="false" outlineLevel="0" collapsed="false">
      <c r="A87" s="8" t="s">
        <v>109</v>
      </c>
      <c r="B87" s="8" t="s">
        <v>24</v>
      </c>
      <c r="C87" s="8" t="s">
        <v>150</v>
      </c>
      <c r="D87" s="26" t="n">
        <v>28</v>
      </c>
      <c r="E87" s="26" t="n">
        <v>23</v>
      </c>
      <c r="F87" s="28" t="n">
        <f aca="false">IF($D87=0,"",E87/$D87)</f>
        <v>0.821428571428571</v>
      </c>
      <c r="G87" s="26" t="n">
        <v>12</v>
      </c>
      <c r="H87" s="26" t="n">
        <v>2</v>
      </c>
      <c r="I87" s="26" t="n">
        <v>21</v>
      </c>
      <c r="J87" s="28" t="n">
        <f aca="false">IF($D87=0,"",I87/$D87)</f>
        <v>0.75</v>
      </c>
      <c r="K87" s="26" t="n">
        <v>7</v>
      </c>
      <c r="L87" s="26" t="n">
        <v>2</v>
      </c>
      <c r="M87" s="26" t="n">
        <v>20</v>
      </c>
      <c r="N87" s="28" t="n">
        <f aca="false">IF($D87=0,"",M87/$D87)</f>
        <v>0.714285714285714</v>
      </c>
      <c r="O87" s="26" t="n">
        <v>7</v>
      </c>
      <c r="P87" s="26" t="n">
        <v>2</v>
      </c>
      <c r="Q87" s="26" t="n">
        <v>17</v>
      </c>
      <c r="R87" s="28" t="n">
        <f aca="false">IF($D87=0,"",Q87/$D87)</f>
        <v>0.607142857142857</v>
      </c>
      <c r="S87" s="26" t="n">
        <v>7</v>
      </c>
      <c r="T87" s="26" t="n">
        <v>2</v>
      </c>
    </row>
    <row r="88" customFormat="false" ht="15" hidden="false" customHeight="false" outlineLevel="0" collapsed="false">
      <c r="A88" s="8" t="s">
        <v>109</v>
      </c>
      <c r="B88" s="8" t="s">
        <v>24</v>
      </c>
      <c r="C88" s="8" t="s">
        <v>151</v>
      </c>
      <c r="D88" s="26" t="n">
        <v>31</v>
      </c>
      <c r="E88" s="26" t="n">
        <v>20</v>
      </c>
      <c r="F88" s="28" t="n">
        <f aca="false">IF($D88=0,"",E88/$D88)</f>
        <v>0.645161290322581</v>
      </c>
      <c r="G88" s="26" t="n">
        <v>5</v>
      </c>
      <c r="H88" s="26" t="n">
        <v>2</v>
      </c>
      <c r="I88" s="26" t="n">
        <v>16</v>
      </c>
      <c r="J88" s="28" t="n">
        <f aca="false">IF($D88=0,"",I88/$D88)</f>
        <v>0.516129032258065</v>
      </c>
      <c r="K88" s="26" t="n">
        <v>4</v>
      </c>
      <c r="L88" s="26" t="n">
        <v>4</v>
      </c>
      <c r="M88" s="26" t="n">
        <v>14</v>
      </c>
      <c r="N88" s="28" t="n">
        <f aca="false">IF($D88=0,"",M88/$D88)</f>
        <v>0.451612903225806</v>
      </c>
      <c r="O88" s="26" t="n">
        <v>3</v>
      </c>
      <c r="P88" s="26" t="n">
        <v>4</v>
      </c>
      <c r="Q88" s="26" t="n">
        <v>13</v>
      </c>
      <c r="R88" s="28" t="n">
        <f aca="false">IF($D88=0,"",Q88/$D88)</f>
        <v>0.419354838709677</v>
      </c>
      <c r="S88" s="26" t="n">
        <v>2</v>
      </c>
      <c r="T88" s="26" t="n">
        <v>4</v>
      </c>
    </row>
    <row r="89" customFormat="false" ht="15" hidden="false" customHeight="false" outlineLevel="0" collapsed="false">
      <c r="A89" s="8" t="s">
        <v>109</v>
      </c>
      <c r="B89" s="8" t="s">
        <v>24</v>
      </c>
      <c r="C89" s="8" t="s">
        <v>152</v>
      </c>
      <c r="D89" s="26" t="n">
        <v>28</v>
      </c>
      <c r="E89" s="26" t="n">
        <v>18</v>
      </c>
      <c r="F89" s="28" t="n">
        <f aca="false">IF($D89=0,"",E89/$D89)</f>
        <v>0.642857142857143</v>
      </c>
      <c r="G89" s="26" t="n">
        <v>4</v>
      </c>
      <c r="H89" s="26" t="n">
        <v>3</v>
      </c>
      <c r="I89" s="26" t="n">
        <v>15</v>
      </c>
      <c r="J89" s="28" t="n">
        <f aca="false">IF($D89=0,"",I89/$D89)</f>
        <v>0.535714285714286</v>
      </c>
      <c r="K89" s="26" t="n">
        <v>4</v>
      </c>
      <c r="L89" s="26" t="n">
        <v>4</v>
      </c>
      <c r="M89" s="26" t="n">
        <v>14</v>
      </c>
      <c r="N89" s="28" t="n">
        <f aca="false">IF($D89=0,"",M89/$D89)</f>
        <v>0.5</v>
      </c>
      <c r="O89" s="26" t="n">
        <v>4</v>
      </c>
      <c r="P89" s="26" t="n">
        <v>4</v>
      </c>
      <c r="Q89" s="26" t="n">
        <v>12</v>
      </c>
      <c r="R89" s="28" t="n">
        <f aca="false">IF($D89=0,"",Q89/$D89)</f>
        <v>0.428571428571429</v>
      </c>
      <c r="S89" s="26" t="n">
        <v>4</v>
      </c>
      <c r="T89" s="26" t="n">
        <v>7</v>
      </c>
    </row>
    <row r="90" customFormat="false" ht="15" hidden="false" customHeight="false" outlineLevel="0" collapsed="false">
      <c r="A90" s="8" t="s">
        <v>109</v>
      </c>
      <c r="B90" s="8" t="s">
        <v>24</v>
      </c>
      <c r="C90" s="8" t="s">
        <v>153</v>
      </c>
      <c r="D90" s="26" t="n">
        <v>41</v>
      </c>
      <c r="E90" s="26" t="n">
        <v>25</v>
      </c>
      <c r="F90" s="28" t="n">
        <f aca="false">IF($D90=0,"",E90/$D90)</f>
        <v>0.609756097560976</v>
      </c>
      <c r="G90" s="26" t="n">
        <v>6</v>
      </c>
      <c r="H90" s="26" t="n">
        <v>4</v>
      </c>
      <c r="I90" s="26" t="n">
        <v>21</v>
      </c>
      <c r="J90" s="28" t="n">
        <f aca="false">IF($D90=0,"",I90/$D90)</f>
        <v>0.51219512195122</v>
      </c>
      <c r="K90" s="26" t="n">
        <v>5</v>
      </c>
      <c r="L90" s="26" t="n">
        <v>4</v>
      </c>
      <c r="M90" s="26" t="n">
        <v>20</v>
      </c>
      <c r="N90" s="28" t="n">
        <f aca="false">IF($D90=0,"",M90/$D90)</f>
        <v>0.487804878048781</v>
      </c>
      <c r="O90" s="26" t="n">
        <v>5</v>
      </c>
      <c r="P90" s="26" t="n">
        <v>4</v>
      </c>
      <c r="Q90" s="26" t="n">
        <v>18</v>
      </c>
      <c r="R90" s="28" t="n">
        <f aca="false">IF($D90=0,"",Q90/$D90)</f>
        <v>0.439024390243902</v>
      </c>
      <c r="S90" s="26" t="n">
        <v>5</v>
      </c>
      <c r="T90" s="26" t="n">
        <v>4</v>
      </c>
    </row>
    <row r="91" customFormat="false" ht="15" hidden="false" customHeight="false" outlineLevel="0" collapsed="false">
      <c r="A91" s="8" t="s">
        <v>109</v>
      </c>
      <c r="B91" s="8" t="s">
        <v>24</v>
      </c>
      <c r="C91" s="8" t="s">
        <v>154</v>
      </c>
      <c r="D91" s="26" t="n">
        <v>22</v>
      </c>
      <c r="E91" s="26" t="n">
        <v>13</v>
      </c>
      <c r="F91" s="28" t="n">
        <f aca="false">IF($D91=0,"",E91/$D91)</f>
        <v>0.590909090909091</v>
      </c>
      <c r="G91" s="26" t="n">
        <v>6</v>
      </c>
      <c r="H91" s="26" t="n">
        <v>4</v>
      </c>
      <c r="I91" s="26" t="n">
        <v>12</v>
      </c>
      <c r="J91" s="28" t="n">
        <f aca="false">IF($D91=0,"",I91/$D91)</f>
        <v>0.545454545454545</v>
      </c>
      <c r="K91" s="26" t="n">
        <v>4</v>
      </c>
      <c r="L91" s="26" t="n">
        <v>4</v>
      </c>
      <c r="M91" s="26" t="n">
        <v>12</v>
      </c>
      <c r="N91" s="28" t="n">
        <f aca="false">IF($D91=0,"",M91/$D91)</f>
        <v>0.545454545454545</v>
      </c>
      <c r="O91" s="26" t="n">
        <v>4</v>
      </c>
      <c r="P91" s="26" t="n">
        <v>4</v>
      </c>
      <c r="Q91" s="26" t="n">
        <v>10</v>
      </c>
      <c r="R91" s="28" t="n">
        <f aca="false">IF($D91=0,"",Q91/$D91)</f>
        <v>0.454545454545455</v>
      </c>
      <c r="S91" s="26" t="n">
        <v>3</v>
      </c>
      <c r="T91" s="26" t="n">
        <v>4</v>
      </c>
    </row>
    <row r="92" customFormat="false" ht="15" hidden="false" customHeight="false" outlineLevel="0" collapsed="false">
      <c r="A92" s="5" t="s">
        <v>109</v>
      </c>
      <c r="B92" s="5" t="s">
        <v>24</v>
      </c>
      <c r="C92" s="5" t="s">
        <v>155</v>
      </c>
      <c r="D92" s="35" t="n">
        <v>186</v>
      </c>
      <c r="E92" s="35" t="n">
        <v>122</v>
      </c>
      <c r="F92" s="36" t="n">
        <f aca="false">IF($D92=0,"",E92/$D92)</f>
        <v>0.655913978494624</v>
      </c>
      <c r="G92" s="35" t="n">
        <v>13</v>
      </c>
      <c r="H92" s="35" t="n">
        <v>4</v>
      </c>
      <c r="I92" s="35" t="n">
        <v>105</v>
      </c>
      <c r="J92" s="36" t="n">
        <f aca="false">IF($D92=0,"",I92/$D92)</f>
        <v>0.564516129032258</v>
      </c>
      <c r="K92" s="35" t="n">
        <v>8</v>
      </c>
      <c r="L92" s="35" t="n">
        <v>4</v>
      </c>
      <c r="M92" s="35" t="n">
        <v>99</v>
      </c>
      <c r="N92" s="36" t="n">
        <f aca="false">IF($D92=0,"",M92/$D92)</f>
        <v>0.532258064516129</v>
      </c>
      <c r="O92" s="35" t="n">
        <v>8</v>
      </c>
      <c r="P92" s="35" t="n">
        <v>4</v>
      </c>
      <c r="Q92" s="35" t="n">
        <v>84</v>
      </c>
      <c r="R92" s="36" t="n">
        <f aca="false">IF($D92=0,"",Q92/$D92)</f>
        <v>0.451612903225806</v>
      </c>
      <c r="S92" s="35" t="n">
        <v>8</v>
      </c>
      <c r="T92" s="35" t="n">
        <v>8</v>
      </c>
    </row>
    <row r="94" customFormat="false" ht="15" hidden="false" customHeight="false" outlineLevel="0" collapsed="false">
      <c r="A94" s="8" t="s">
        <v>109</v>
      </c>
      <c r="B94" s="8" t="s">
        <v>59</v>
      </c>
      <c r="C94" s="8" t="s">
        <v>149</v>
      </c>
      <c r="D94" s="26" t="n">
        <v>34</v>
      </c>
      <c r="E94" s="26" t="n">
        <v>26</v>
      </c>
      <c r="F94" s="28" t="n">
        <f aca="false">IF($D94=0,"",E94/$D94)</f>
        <v>0.764705882352941</v>
      </c>
      <c r="G94" s="26" t="n">
        <v>7</v>
      </c>
      <c r="H94" s="26" t="n">
        <v>2</v>
      </c>
      <c r="I94" s="26" t="n">
        <v>23</v>
      </c>
      <c r="J94" s="28" t="n">
        <f aca="false">IF($D94=0,"",I94/$D94)</f>
        <v>0.676470588235294</v>
      </c>
      <c r="K94" s="26" t="n">
        <v>4</v>
      </c>
      <c r="L94" s="26" t="n">
        <v>2</v>
      </c>
      <c r="M94" s="26" t="n">
        <v>19</v>
      </c>
      <c r="N94" s="28" t="n">
        <f aca="false">IF($D94=0,"",M94/$D94)</f>
        <v>0.558823529411765</v>
      </c>
      <c r="O94" s="26" t="n">
        <v>4</v>
      </c>
      <c r="P94" s="26" t="n">
        <v>3</v>
      </c>
      <c r="Q94" s="26" t="n">
        <v>17</v>
      </c>
      <c r="R94" s="28" t="n">
        <f aca="false">IF($D94=0,"",Q94/$D94)</f>
        <v>0.5</v>
      </c>
      <c r="S94" s="26" t="n">
        <v>3</v>
      </c>
      <c r="T94" s="26" t="n">
        <v>4</v>
      </c>
    </row>
    <row r="95" customFormat="false" ht="15" hidden="false" customHeight="false" outlineLevel="0" collapsed="false">
      <c r="A95" s="8" t="s">
        <v>109</v>
      </c>
      <c r="B95" s="8" t="s">
        <v>59</v>
      </c>
      <c r="C95" s="8" t="s">
        <v>150</v>
      </c>
      <c r="D95" s="26" t="n">
        <v>34</v>
      </c>
      <c r="E95" s="26" t="n">
        <v>27</v>
      </c>
      <c r="F95" s="28" t="n">
        <f aca="false">IF($D95=0,"",E95/$D95)</f>
        <v>0.794117647058824</v>
      </c>
      <c r="G95" s="26" t="n">
        <v>7</v>
      </c>
      <c r="H95" s="26" t="n">
        <v>2</v>
      </c>
      <c r="I95" s="26" t="n">
        <v>20</v>
      </c>
      <c r="J95" s="28" t="n">
        <f aca="false">IF($D95=0,"",I95/$D95)</f>
        <v>0.588235294117647</v>
      </c>
      <c r="K95" s="26" t="n">
        <v>4</v>
      </c>
      <c r="L95" s="26" t="n">
        <v>4</v>
      </c>
      <c r="M95" s="26" t="n">
        <v>18</v>
      </c>
      <c r="N95" s="28" t="n">
        <f aca="false">IF($D95=0,"",M95/$D95)</f>
        <v>0.529411764705882</v>
      </c>
      <c r="O95" s="26" t="n">
        <v>4</v>
      </c>
      <c r="P95" s="26" t="n">
        <v>7</v>
      </c>
      <c r="Q95" s="26" t="n">
        <v>17</v>
      </c>
      <c r="R95" s="28" t="n">
        <f aca="false">IF($D95=0,"",Q95/$D95)</f>
        <v>0.5</v>
      </c>
      <c r="S95" s="26" t="n">
        <v>4</v>
      </c>
      <c r="T95" s="26" t="n">
        <v>7</v>
      </c>
    </row>
    <row r="96" customFormat="false" ht="15" hidden="false" customHeight="false" outlineLevel="0" collapsed="false">
      <c r="A96" s="8" t="s">
        <v>109</v>
      </c>
      <c r="B96" s="8" t="s">
        <v>59</v>
      </c>
      <c r="C96" s="8" t="s">
        <v>151</v>
      </c>
      <c r="D96" s="26" t="n">
        <v>30</v>
      </c>
      <c r="E96" s="26" t="n">
        <v>18</v>
      </c>
      <c r="F96" s="28" t="n">
        <f aca="false">IF($D96=0,"",E96/$D96)</f>
        <v>0.6</v>
      </c>
      <c r="G96" s="26" t="n">
        <v>7</v>
      </c>
      <c r="H96" s="26" t="n">
        <v>3</v>
      </c>
      <c r="I96" s="26" t="n">
        <v>14</v>
      </c>
      <c r="J96" s="28" t="n">
        <f aca="false">IF($D96=0,"",I96/$D96)</f>
        <v>0.466666666666667</v>
      </c>
      <c r="K96" s="26" t="n">
        <v>3</v>
      </c>
      <c r="L96" s="26" t="n">
        <v>3</v>
      </c>
      <c r="M96" s="26" t="n">
        <v>13</v>
      </c>
      <c r="N96" s="28" t="n">
        <f aca="false">IF($D96=0,"",M96/$D96)</f>
        <v>0.433333333333333</v>
      </c>
      <c r="O96" s="26" t="n">
        <v>3</v>
      </c>
      <c r="P96" s="26" t="n">
        <v>3</v>
      </c>
      <c r="Q96" s="26" t="n">
        <v>13</v>
      </c>
      <c r="R96" s="28" t="n">
        <f aca="false">IF($D96=0,"",Q96/$D96)</f>
        <v>0.433333333333333</v>
      </c>
      <c r="S96" s="26" t="n">
        <v>3</v>
      </c>
      <c r="T96" s="26" t="n">
        <v>3</v>
      </c>
    </row>
    <row r="97" customFormat="false" ht="15" hidden="false" customHeight="false" outlineLevel="0" collapsed="false">
      <c r="A97" s="8" t="s">
        <v>109</v>
      </c>
      <c r="B97" s="8" t="s">
        <v>59</v>
      </c>
      <c r="C97" s="8" t="s">
        <v>152</v>
      </c>
      <c r="D97" s="26" t="n">
        <v>40</v>
      </c>
      <c r="E97" s="26" t="n">
        <v>26</v>
      </c>
      <c r="F97" s="28" t="n">
        <f aca="false">IF($D97=0,"",E97/$D97)</f>
        <v>0.65</v>
      </c>
      <c r="G97" s="26" t="n">
        <v>5</v>
      </c>
      <c r="H97" s="26" t="n">
        <v>3</v>
      </c>
      <c r="I97" s="26" t="n">
        <v>22</v>
      </c>
      <c r="J97" s="28" t="n">
        <f aca="false">IF($D97=0,"",I97/$D97)</f>
        <v>0.55</v>
      </c>
      <c r="K97" s="26" t="n">
        <v>5</v>
      </c>
      <c r="L97" s="26" t="n">
        <v>3</v>
      </c>
      <c r="M97" s="26" t="n">
        <v>18</v>
      </c>
      <c r="N97" s="28" t="n">
        <f aca="false">IF($D97=0,"",M97/$D97)</f>
        <v>0.45</v>
      </c>
      <c r="O97" s="26" t="n">
        <v>5</v>
      </c>
      <c r="P97" s="26" t="n">
        <v>4</v>
      </c>
      <c r="Q97" s="26" t="n">
        <v>15</v>
      </c>
      <c r="R97" s="28" t="n">
        <f aca="false">IF($D97=0,"",Q97/$D97)</f>
        <v>0.375</v>
      </c>
      <c r="S97" s="26" t="n">
        <v>5</v>
      </c>
      <c r="T97" s="26" t="n">
        <v>4</v>
      </c>
    </row>
    <row r="98" customFormat="false" ht="15" hidden="false" customHeight="false" outlineLevel="0" collapsed="false">
      <c r="A98" s="8" t="s">
        <v>109</v>
      </c>
      <c r="B98" s="8" t="s">
        <v>59</v>
      </c>
      <c r="C98" s="8" t="s">
        <v>153</v>
      </c>
      <c r="D98" s="26" t="n">
        <v>35</v>
      </c>
      <c r="E98" s="26" t="n">
        <v>28</v>
      </c>
      <c r="F98" s="28" t="n">
        <f aca="false">IF($D98=0,"",E98/$D98)</f>
        <v>0.8</v>
      </c>
      <c r="G98" s="26" t="n">
        <v>8</v>
      </c>
      <c r="H98" s="26" t="n">
        <v>2</v>
      </c>
      <c r="I98" s="26" t="n">
        <v>21</v>
      </c>
      <c r="J98" s="28" t="n">
        <f aca="false">IF($D98=0,"",I98/$D98)</f>
        <v>0.6</v>
      </c>
      <c r="K98" s="26" t="n">
        <v>5</v>
      </c>
      <c r="L98" s="26" t="n">
        <v>3</v>
      </c>
      <c r="M98" s="26" t="n">
        <v>17</v>
      </c>
      <c r="N98" s="28" t="n">
        <f aca="false">IF($D98=0,"",M98/$D98)</f>
        <v>0.485714285714286</v>
      </c>
      <c r="O98" s="26" t="n">
        <v>5</v>
      </c>
      <c r="P98" s="26" t="n">
        <v>5</v>
      </c>
      <c r="Q98" s="26" t="n">
        <v>15</v>
      </c>
      <c r="R98" s="28" t="n">
        <f aca="false">IF($D98=0,"",Q98/$D98)</f>
        <v>0.428571428571429</v>
      </c>
      <c r="S98" s="26" t="n">
        <v>5</v>
      </c>
      <c r="T98" s="26" t="n">
        <v>6</v>
      </c>
    </row>
    <row r="99" customFormat="false" ht="15" hidden="false" customHeight="false" outlineLevel="0" collapsed="false">
      <c r="A99" s="8" t="s">
        <v>109</v>
      </c>
      <c r="B99" s="8" t="s">
        <v>59</v>
      </c>
      <c r="C99" s="8" t="s">
        <v>154</v>
      </c>
      <c r="D99" s="26" t="n">
        <v>22</v>
      </c>
      <c r="E99" s="26" t="n">
        <v>14</v>
      </c>
      <c r="F99" s="28" t="n">
        <f aca="false">IF($D99=0,"",E99/$D99)</f>
        <v>0.636363636363636</v>
      </c>
      <c r="G99" s="26" t="n">
        <v>9</v>
      </c>
      <c r="H99" s="26" t="n">
        <v>3</v>
      </c>
      <c r="I99" s="26" t="n">
        <v>11</v>
      </c>
      <c r="J99" s="28" t="n">
        <f aca="false">IF($D99=0,"",I99/$D99)</f>
        <v>0.5</v>
      </c>
      <c r="K99" s="26" t="n">
        <v>5</v>
      </c>
      <c r="L99" s="26" t="n">
        <v>6</v>
      </c>
      <c r="M99" s="26" t="n">
        <v>9</v>
      </c>
      <c r="N99" s="28" t="n">
        <f aca="false">IF($D99=0,"",M99/$D99)</f>
        <v>0.409090909090909</v>
      </c>
      <c r="O99" s="26" t="n">
        <v>4</v>
      </c>
      <c r="P99" s="26" t="n">
        <v>7</v>
      </c>
      <c r="Q99" s="26" t="n">
        <v>9</v>
      </c>
      <c r="R99" s="28" t="n">
        <f aca="false">IF($D99=0,"",Q99/$D99)</f>
        <v>0.409090909090909</v>
      </c>
      <c r="S99" s="26" t="n">
        <v>4</v>
      </c>
      <c r="T99" s="26" t="n">
        <v>7</v>
      </c>
    </row>
    <row r="100" customFormat="false" ht="15" hidden="false" customHeight="false" outlineLevel="0" collapsed="false">
      <c r="A100" s="5" t="s">
        <v>109</v>
      </c>
      <c r="B100" s="5" t="s">
        <v>59</v>
      </c>
      <c r="C100" s="5" t="s">
        <v>155</v>
      </c>
      <c r="D100" s="35" t="n">
        <v>195</v>
      </c>
      <c r="E100" s="35" t="n">
        <v>139</v>
      </c>
      <c r="F100" s="36" t="n">
        <f aca="false">IF($D100=0,"",E100/$D100)</f>
        <v>0.712820512820513</v>
      </c>
      <c r="G100" s="35" t="n">
        <v>12</v>
      </c>
      <c r="H100" s="35" t="n">
        <v>3</v>
      </c>
      <c r="I100" s="35" t="n">
        <v>111</v>
      </c>
      <c r="J100" s="36" t="n">
        <f aca="false">IF($D100=0,"",I100/$D100)</f>
        <v>0.569230769230769</v>
      </c>
      <c r="K100" s="35" t="n">
        <v>10</v>
      </c>
      <c r="L100" s="35" t="n">
        <v>6</v>
      </c>
      <c r="M100" s="35" t="n">
        <v>94</v>
      </c>
      <c r="N100" s="36" t="n">
        <f aca="false">IF($D100=0,"",M100/$D100)</f>
        <v>0.482051282051282</v>
      </c>
      <c r="O100" s="35" t="n">
        <v>10</v>
      </c>
      <c r="P100" s="35" t="n">
        <v>7</v>
      </c>
      <c r="Q100" s="35" t="n">
        <v>86</v>
      </c>
      <c r="R100" s="36" t="n">
        <f aca="false">IF($D100=0,"",Q100/$D100)</f>
        <v>0.441025641025641</v>
      </c>
      <c r="S100" s="35" t="n">
        <v>10</v>
      </c>
      <c r="T100" s="35" t="n">
        <v>7</v>
      </c>
    </row>
    <row r="103" customFormat="false" ht="15" hidden="false" customHeight="false" outlineLevel="0" collapsed="false">
      <c r="A103" s="6" t="s">
        <v>217</v>
      </c>
    </row>
    <row r="104" customFormat="false" ht="54" hidden="false" customHeight="true" outlineLevel="0" collapsed="false">
      <c r="A104" s="7" t="s">
        <v>135</v>
      </c>
      <c r="B104" s="7" t="s">
        <v>218</v>
      </c>
      <c r="C104" s="7" t="s">
        <v>219</v>
      </c>
      <c r="D104" s="7" t="s">
        <v>138</v>
      </c>
      <c r="E104" s="7" t="s">
        <v>220</v>
      </c>
      <c r="F104" s="7" t="s">
        <v>139</v>
      </c>
      <c r="G104" s="7" t="s">
        <v>55</v>
      </c>
      <c r="H104" s="7" t="s">
        <v>54</v>
      </c>
      <c r="I104" s="7" t="s">
        <v>221</v>
      </c>
      <c r="J104" s="7" t="s">
        <v>222</v>
      </c>
      <c r="K104" s="7" t="s">
        <v>223</v>
      </c>
      <c r="L104" s="7" t="s">
        <v>146</v>
      </c>
      <c r="M104" s="7" t="s">
        <v>147</v>
      </c>
      <c r="N104" s="7" t="s">
        <v>224</v>
      </c>
    </row>
    <row r="105" customFormat="false" ht="15" hidden="false" customHeight="false" outlineLevel="0" collapsed="false">
      <c r="A105" s="8" t="s">
        <v>23</v>
      </c>
      <c r="B105" s="8" t="s">
        <v>148</v>
      </c>
      <c r="C105" s="8" t="s">
        <v>225</v>
      </c>
      <c r="D105" s="26" t="n">
        <v>7425</v>
      </c>
      <c r="E105" s="26" t="n">
        <v>4300</v>
      </c>
      <c r="F105" s="28" t="n">
        <f aca="false">IF(D105=0,"",E105/D105)</f>
        <v>0.579124579124579</v>
      </c>
      <c r="G105" s="39" t="n">
        <v>-3747.105</v>
      </c>
      <c r="H105" s="29" t="n">
        <f aca="false">IF(D105=0,"",G105/D105)</f>
        <v>-0.504660606060606</v>
      </c>
      <c r="I105" s="40" t="n">
        <v>-0.7292</v>
      </c>
      <c r="J105" s="40" t="n">
        <v>-0.2609</v>
      </c>
      <c r="K105" s="26" t="n">
        <v>0</v>
      </c>
      <c r="L105" s="26" t="n">
        <v>15</v>
      </c>
      <c r="M105" s="26" t="n">
        <v>13</v>
      </c>
      <c r="N105" s="26" t="n">
        <v>13</v>
      </c>
    </row>
    <row r="106" customFormat="false" ht="15" hidden="false" customHeight="false" outlineLevel="0" collapsed="false">
      <c r="A106" s="8" t="s">
        <v>23</v>
      </c>
      <c r="B106" s="8" t="s">
        <v>148</v>
      </c>
      <c r="C106" s="8" t="s">
        <v>226</v>
      </c>
      <c r="D106" s="26" t="n">
        <v>7425</v>
      </c>
      <c r="E106" s="26" t="n">
        <v>3457</v>
      </c>
      <c r="F106" s="28" t="n">
        <f aca="false">IF(D106=0,"",E106/D106)</f>
        <v>0.465589225589226</v>
      </c>
      <c r="G106" s="39" t="n">
        <v>-3651.799</v>
      </c>
      <c r="H106" s="29" t="n">
        <f aca="false">IF(D106=0,"",G106/D106)</f>
        <v>-0.491824781144781</v>
      </c>
      <c r="I106" s="40" t="n">
        <v>-0.7296</v>
      </c>
      <c r="J106" s="40" t="n">
        <v>-0.2337</v>
      </c>
      <c r="K106" s="26" t="n">
        <v>0</v>
      </c>
      <c r="L106" s="26" t="n">
        <v>13</v>
      </c>
      <c r="M106" s="26" t="n">
        <v>18</v>
      </c>
      <c r="N106" s="26" t="n">
        <v>18</v>
      </c>
    </row>
    <row r="107" customFormat="false" ht="15" hidden="false" customHeight="false" outlineLevel="0" collapsed="false">
      <c r="A107" s="8" t="s">
        <v>23</v>
      </c>
      <c r="B107" s="8" t="s">
        <v>148</v>
      </c>
      <c r="C107" s="8" t="s">
        <v>227</v>
      </c>
      <c r="D107" s="26" t="n">
        <v>7425</v>
      </c>
      <c r="E107" s="26" t="n">
        <v>2803</v>
      </c>
      <c r="F107" s="28" t="n">
        <f aca="false">IF(D107=0,"",E107/D107)</f>
        <v>0.377508417508418</v>
      </c>
      <c r="G107" s="39" t="n">
        <v>-3489.625</v>
      </c>
      <c r="H107" s="29" t="n">
        <f aca="false">IF(D107=0,"",G107/D107)</f>
        <v>-0.469983164983165</v>
      </c>
      <c r="I107" s="40" t="n">
        <v>-0.7065</v>
      </c>
      <c r="J107" s="40" t="n">
        <v>-0.2132</v>
      </c>
      <c r="K107" s="26" t="n">
        <v>0</v>
      </c>
      <c r="L107" s="26" t="n">
        <v>10</v>
      </c>
      <c r="M107" s="26" t="n">
        <v>18</v>
      </c>
      <c r="N107" s="26" t="n">
        <v>18</v>
      </c>
    </row>
    <row r="108" customFormat="false" ht="15" hidden="false" customHeight="false" outlineLevel="0" collapsed="false">
      <c r="A108" s="8" t="s">
        <v>23</v>
      </c>
      <c r="B108" s="8" t="s">
        <v>148</v>
      </c>
      <c r="C108" s="8" t="s">
        <v>228</v>
      </c>
      <c r="D108" s="26" t="n">
        <v>7425</v>
      </c>
      <c r="E108" s="26" t="n">
        <v>2341</v>
      </c>
      <c r="F108" s="28" t="n">
        <f aca="false">IF(D108=0,"",E108/D108)</f>
        <v>0.315286195286195</v>
      </c>
      <c r="G108" s="39" t="n">
        <v>-3407.175</v>
      </c>
      <c r="H108" s="29" t="n">
        <f aca="false">IF(D108=0,"",G108/D108)</f>
        <v>-0.458878787878788</v>
      </c>
      <c r="I108" s="40" t="n">
        <v>-0.6839</v>
      </c>
      <c r="J108" s="40" t="n">
        <v>-0.2146</v>
      </c>
      <c r="K108" s="26" t="n">
        <v>0</v>
      </c>
      <c r="L108" s="26" t="n">
        <v>7</v>
      </c>
      <c r="M108" s="26" t="n">
        <v>22</v>
      </c>
      <c r="N108" s="26" t="n">
        <v>22</v>
      </c>
    </row>
    <row r="110" customFormat="false" ht="15" hidden="false" customHeight="false" outlineLevel="0" collapsed="false">
      <c r="A110" s="8" t="s">
        <v>23</v>
      </c>
      <c r="B110" s="8" t="s">
        <v>24</v>
      </c>
      <c r="C110" s="8" t="s">
        <v>225</v>
      </c>
      <c r="D110" s="26" t="n">
        <v>2675</v>
      </c>
      <c r="E110" s="26" t="n">
        <v>1659</v>
      </c>
      <c r="F110" s="28" t="n">
        <f aca="false">IF(D110=0,"",E110/D110)</f>
        <v>0.620186915887851</v>
      </c>
      <c r="G110" s="39" t="n">
        <v>-136.193</v>
      </c>
      <c r="H110" s="29" t="n">
        <f aca="false">IF(D110=0,"",G110/D110)</f>
        <v>-0.0509132710280374</v>
      </c>
      <c r="I110" s="40" t="n">
        <v>-0.052</v>
      </c>
      <c r="J110" s="40" t="n">
        <v>-0.0498</v>
      </c>
      <c r="K110" s="26" t="n">
        <v>0</v>
      </c>
      <c r="L110" s="26" t="n">
        <v>16</v>
      </c>
      <c r="M110" s="26" t="n">
        <v>7</v>
      </c>
      <c r="N110" s="26" t="n">
        <v>7</v>
      </c>
    </row>
    <row r="111" customFormat="false" ht="15" hidden="false" customHeight="false" outlineLevel="0" collapsed="false">
      <c r="A111" s="8" t="s">
        <v>23</v>
      </c>
      <c r="B111" s="8" t="s">
        <v>24</v>
      </c>
      <c r="C111" s="8" t="s">
        <v>226</v>
      </c>
      <c r="D111" s="26" t="n">
        <v>2305</v>
      </c>
      <c r="E111" s="26" t="n">
        <v>1185</v>
      </c>
      <c r="F111" s="28" t="n">
        <f aca="false">IF(D111=0,"",E111/D111)</f>
        <v>0.51409978308026</v>
      </c>
      <c r="G111" s="39" t="n">
        <v>-32.916</v>
      </c>
      <c r="H111" s="29" t="n">
        <f aca="false">IF(D111=0,"",G111/D111)</f>
        <v>-0.0142802603036876</v>
      </c>
      <c r="I111" s="40" t="n">
        <v>-0.0058</v>
      </c>
      <c r="J111" s="40" t="n">
        <v>-0.0231</v>
      </c>
      <c r="K111" s="26" t="n">
        <v>2</v>
      </c>
      <c r="L111" s="26" t="n">
        <v>10</v>
      </c>
      <c r="M111" s="26" t="n">
        <v>8</v>
      </c>
      <c r="N111" s="26" t="n">
        <v>8</v>
      </c>
    </row>
    <row r="112" customFormat="false" ht="15" hidden="false" customHeight="false" outlineLevel="0" collapsed="false">
      <c r="A112" s="8" t="s">
        <v>23</v>
      </c>
      <c r="B112" s="8" t="s">
        <v>24</v>
      </c>
      <c r="C112" s="8" t="s">
        <v>227</v>
      </c>
      <c r="D112" s="26" t="n">
        <v>2086</v>
      </c>
      <c r="E112" s="26" t="n">
        <v>881</v>
      </c>
      <c r="F112" s="28" t="n">
        <f aca="false">IF(D112=0,"",E112/D112)</f>
        <v>0.422339405560882</v>
      </c>
      <c r="G112" s="39" t="n">
        <v>29.311</v>
      </c>
      <c r="H112" s="29" t="n">
        <f aca="false">IF(D112=0,"",G112/D112)</f>
        <v>0.0140512943432407</v>
      </c>
      <c r="I112" s="40" t="n">
        <v>0.0423</v>
      </c>
      <c r="J112" s="40" t="n">
        <v>-0.0148</v>
      </c>
      <c r="K112" s="26" t="n">
        <v>3</v>
      </c>
      <c r="L112" s="26" t="n">
        <v>8</v>
      </c>
      <c r="M112" s="26" t="n">
        <v>10</v>
      </c>
      <c r="N112" s="26" t="n">
        <v>10</v>
      </c>
    </row>
    <row r="113" customFormat="false" ht="15" hidden="false" customHeight="false" outlineLevel="0" collapsed="false">
      <c r="A113" s="8" t="s">
        <v>23</v>
      </c>
      <c r="B113" s="8" t="s">
        <v>24</v>
      </c>
      <c r="C113" s="8" t="s">
        <v>228</v>
      </c>
      <c r="D113" s="26" t="n">
        <v>1958</v>
      </c>
      <c r="E113" s="26" t="n">
        <v>717</v>
      </c>
      <c r="F113" s="28" t="n">
        <f aca="false">IF(D113=0,"",E113/D113)</f>
        <v>0.366189989785495</v>
      </c>
      <c r="G113" s="39" t="n">
        <v>112.153</v>
      </c>
      <c r="H113" s="29" t="n">
        <f aca="false">IF(D113=0,"",G113/D113)</f>
        <v>0.057279366700715</v>
      </c>
      <c r="I113" s="40" t="n">
        <v>0.0545</v>
      </c>
      <c r="J113" s="40" t="n">
        <v>0.0601</v>
      </c>
      <c r="K113" s="26" t="n">
        <v>4</v>
      </c>
      <c r="L113" s="26" t="n">
        <v>8</v>
      </c>
      <c r="M113" s="26" t="n">
        <v>14</v>
      </c>
      <c r="N113" s="26" t="n">
        <v>14</v>
      </c>
    </row>
    <row r="115" customFormat="false" ht="15" hidden="false" customHeight="false" outlineLevel="0" collapsed="false">
      <c r="A115" s="8" t="s">
        <v>23</v>
      </c>
      <c r="B115" s="8" t="s">
        <v>59</v>
      </c>
      <c r="C115" s="8" t="s">
        <v>225</v>
      </c>
      <c r="D115" s="26" t="n">
        <v>2214</v>
      </c>
      <c r="E115" s="26" t="n">
        <v>1366</v>
      </c>
      <c r="F115" s="28" t="n">
        <f aca="false">IF(D115=0,"",E115/D115)</f>
        <v>0.616982836495032</v>
      </c>
      <c r="G115" s="39" t="n">
        <v>-125.109</v>
      </c>
      <c r="H115" s="29" t="n">
        <f aca="false">IF(D115=0,"",G115/D115)</f>
        <v>-0.0565081300813008</v>
      </c>
      <c r="I115" s="40" t="n">
        <v>-0.0521</v>
      </c>
      <c r="J115" s="40" t="n">
        <v>-0.0612</v>
      </c>
      <c r="K115" s="26" t="n">
        <v>0</v>
      </c>
      <c r="L115" s="26" t="n">
        <v>15</v>
      </c>
      <c r="M115" s="26" t="n">
        <v>7</v>
      </c>
      <c r="N115" s="26" t="n">
        <v>7</v>
      </c>
    </row>
    <row r="116" customFormat="false" ht="15" hidden="false" customHeight="false" outlineLevel="0" collapsed="false">
      <c r="A116" s="8" t="s">
        <v>23</v>
      </c>
      <c r="B116" s="8" t="s">
        <v>59</v>
      </c>
      <c r="C116" s="8" t="s">
        <v>226</v>
      </c>
      <c r="D116" s="26" t="n">
        <v>2016</v>
      </c>
      <c r="E116" s="26" t="n">
        <v>1028</v>
      </c>
      <c r="F116" s="28" t="n">
        <f aca="false">IF(D116=0,"",E116/D116)</f>
        <v>0.509920634920635</v>
      </c>
      <c r="G116" s="39" t="n">
        <v>-46.777</v>
      </c>
      <c r="H116" s="29" t="n">
        <f aca="false">IF(D116=0,"",G116/D116)</f>
        <v>-0.023202876984127</v>
      </c>
      <c r="I116" s="40" t="n">
        <v>-0.0196</v>
      </c>
      <c r="J116" s="40" t="n">
        <v>-0.027</v>
      </c>
      <c r="K116" s="26" t="n">
        <v>0</v>
      </c>
      <c r="L116" s="26" t="n">
        <v>9</v>
      </c>
      <c r="M116" s="26" t="n">
        <v>8</v>
      </c>
      <c r="N116" s="26" t="n">
        <v>8</v>
      </c>
    </row>
    <row r="117" customFormat="false" ht="15" hidden="false" customHeight="false" outlineLevel="0" collapsed="false">
      <c r="A117" s="8" t="s">
        <v>23</v>
      </c>
      <c r="B117" s="8" t="s">
        <v>59</v>
      </c>
      <c r="C117" s="8" t="s">
        <v>227</v>
      </c>
      <c r="D117" s="26" t="n">
        <v>1875</v>
      </c>
      <c r="E117" s="26" t="n">
        <v>796</v>
      </c>
      <c r="F117" s="28" t="n">
        <f aca="false">IF(D117=0,"",E117/D117)</f>
        <v>0.424533333333333</v>
      </c>
      <c r="G117" s="39" t="n">
        <v>35.34</v>
      </c>
      <c r="H117" s="29" t="n">
        <f aca="false">IF(D117=0,"",G117/D117)</f>
        <v>0.018848</v>
      </c>
      <c r="I117" s="40" t="n">
        <v>0.0262</v>
      </c>
      <c r="J117" s="40" t="n">
        <v>0.0113</v>
      </c>
      <c r="K117" s="26" t="n">
        <v>3</v>
      </c>
      <c r="L117" s="26" t="n">
        <v>7</v>
      </c>
      <c r="M117" s="26" t="n">
        <v>11</v>
      </c>
      <c r="N117" s="26" t="n">
        <v>11</v>
      </c>
    </row>
    <row r="118" customFormat="false" ht="15" hidden="false" customHeight="false" outlineLevel="0" collapsed="false">
      <c r="A118" s="8" t="s">
        <v>23</v>
      </c>
      <c r="B118" s="8" t="s">
        <v>59</v>
      </c>
      <c r="C118" s="8" t="s">
        <v>228</v>
      </c>
      <c r="D118" s="26" t="n">
        <v>1802</v>
      </c>
      <c r="E118" s="26" t="n">
        <v>657</v>
      </c>
      <c r="F118" s="28" t="n">
        <f aca="false">IF(D118=0,"",E118/D118)</f>
        <v>0.364594894561598</v>
      </c>
      <c r="G118" s="39" t="n">
        <v>93.003</v>
      </c>
      <c r="H118" s="29" t="n">
        <f aca="false">IF(D118=0,"",G118/D118)</f>
        <v>0.051610987791343</v>
      </c>
      <c r="I118" s="40" t="n">
        <v>0.0286</v>
      </c>
      <c r="J118" s="40" t="n">
        <v>0.075</v>
      </c>
      <c r="K118" s="26" t="n">
        <v>4</v>
      </c>
      <c r="L118" s="26" t="n">
        <v>7</v>
      </c>
      <c r="M118" s="26" t="n">
        <v>12</v>
      </c>
      <c r="N118" s="26" t="n">
        <v>12</v>
      </c>
    </row>
    <row r="120" customFormat="false" ht="15" hidden="false" customHeight="false" outlineLevel="0" collapsed="false">
      <c r="A120" s="8" t="s">
        <v>62</v>
      </c>
      <c r="B120" s="8" t="s">
        <v>148</v>
      </c>
      <c r="C120" s="8" t="s">
        <v>225</v>
      </c>
      <c r="D120" s="26" t="n">
        <v>7331</v>
      </c>
      <c r="E120" s="26" t="n">
        <v>4507</v>
      </c>
      <c r="F120" s="28" t="n">
        <f aca="false">IF(D120=0,"",E120/D120)</f>
        <v>0.614786522984586</v>
      </c>
      <c r="G120" s="39" t="n">
        <v>-993.16</v>
      </c>
      <c r="H120" s="29" t="n">
        <f aca="false">IF(D120=0,"",G120/D120)</f>
        <v>-0.135474014459146</v>
      </c>
      <c r="I120" s="40" t="n">
        <v>-0.2155</v>
      </c>
      <c r="J120" s="40" t="n">
        <v>-0.0484</v>
      </c>
      <c r="K120" s="26" t="n">
        <v>0</v>
      </c>
      <c r="L120" s="26" t="n">
        <v>19</v>
      </c>
      <c r="M120" s="26" t="n">
        <v>10</v>
      </c>
      <c r="N120" s="26" t="n">
        <v>10</v>
      </c>
    </row>
    <row r="121" customFormat="false" ht="15" hidden="false" customHeight="false" outlineLevel="0" collapsed="false">
      <c r="A121" s="8" t="s">
        <v>62</v>
      </c>
      <c r="B121" s="8" t="s">
        <v>148</v>
      </c>
      <c r="C121" s="8" t="s">
        <v>226</v>
      </c>
      <c r="D121" s="26" t="n">
        <v>7280</v>
      </c>
      <c r="E121" s="26" t="n">
        <v>3634</v>
      </c>
      <c r="F121" s="28" t="n">
        <f aca="false">IF(D121=0,"",E121/D121)</f>
        <v>0.499175824175824</v>
      </c>
      <c r="G121" s="39" t="n">
        <v>-853.114</v>
      </c>
      <c r="H121" s="29" t="n">
        <f aca="false">IF(D121=0,"",G121/D121)</f>
        <v>-0.117185989010989</v>
      </c>
      <c r="I121" s="40" t="n">
        <v>-0.1938</v>
      </c>
      <c r="J121" s="40" t="n">
        <v>-0.0336</v>
      </c>
      <c r="K121" s="26" t="n">
        <v>1</v>
      </c>
      <c r="L121" s="26" t="n">
        <v>11</v>
      </c>
      <c r="M121" s="26" t="n">
        <v>11</v>
      </c>
      <c r="N121" s="26" t="n">
        <v>11</v>
      </c>
    </row>
    <row r="122" customFormat="false" ht="15" hidden="false" customHeight="false" outlineLevel="0" collapsed="false">
      <c r="A122" s="8" t="s">
        <v>62</v>
      </c>
      <c r="B122" s="8" t="s">
        <v>148</v>
      </c>
      <c r="C122" s="8" t="s">
        <v>227</v>
      </c>
      <c r="D122" s="26" t="n">
        <v>7120</v>
      </c>
      <c r="E122" s="26" t="n">
        <v>2871</v>
      </c>
      <c r="F122" s="28" t="n">
        <f aca="false">IF(D122=0,"",E122/D122)</f>
        <v>0.403230337078652</v>
      </c>
      <c r="G122" s="39" t="n">
        <v>-730.339</v>
      </c>
      <c r="H122" s="29" t="n">
        <f aca="false">IF(D122=0,"",G122/D122)</f>
        <v>-0.102575702247191</v>
      </c>
      <c r="I122" s="40" t="n">
        <v>-0.1812</v>
      </c>
      <c r="J122" s="40" t="n">
        <v>-0.0174</v>
      </c>
      <c r="K122" s="26" t="n">
        <v>1</v>
      </c>
      <c r="L122" s="26" t="n">
        <v>7</v>
      </c>
      <c r="M122" s="26" t="n">
        <v>15</v>
      </c>
      <c r="N122" s="26" t="n">
        <v>15</v>
      </c>
    </row>
    <row r="123" customFormat="false" ht="15" hidden="false" customHeight="false" outlineLevel="0" collapsed="false">
      <c r="A123" s="8" t="s">
        <v>62</v>
      </c>
      <c r="B123" s="8" t="s">
        <v>148</v>
      </c>
      <c r="C123" s="8" t="s">
        <v>228</v>
      </c>
      <c r="D123" s="26" t="n">
        <v>6958</v>
      </c>
      <c r="E123" s="26" t="n">
        <v>2314</v>
      </c>
      <c r="F123" s="28" t="n">
        <f aca="false">IF(D123=0,"",E123/D123)</f>
        <v>0.332566829548721</v>
      </c>
      <c r="G123" s="39" t="n">
        <v>-764.138</v>
      </c>
      <c r="H123" s="29" t="n">
        <f aca="false">IF(D123=0,"",G123/D123)</f>
        <v>-0.109821500431158</v>
      </c>
      <c r="I123" s="40" t="n">
        <v>-0.1906</v>
      </c>
      <c r="J123" s="40" t="n">
        <v>-0.0228</v>
      </c>
      <c r="K123" s="26" t="n">
        <v>1</v>
      </c>
      <c r="L123" s="26" t="n">
        <v>7</v>
      </c>
      <c r="M123" s="26" t="n">
        <v>19</v>
      </c>
      <c r="N123" s="26" t="n">
        <v>19</v>
      </c>
    </row>
    <row r="125" customFormat="false" ht="15" hidden="false" customHeight="false" outlineLevel="0" collapsed="false">
      <c r="A125" s="8" t="s">
        <v>62</v>
      </c>
      <c r="B125" s="8" t="s">
        <v>24</v>
      </c>
      <c r="C125" s="8" t="s">
        <v>225</v>
      </c>
      <c r="D125" s="26" t="n">
        <v>2020</v>
      </c>
      <c r="E125" s="26" t="n">
        <v>1279</v>
      </c>
      <c r="F125" s="28" t="n">
        <f aca="false">IF(D125=0,"",E125/D125)</f>
        <v>0.633168316831683</v>
      </c>
      <c r="G125" s="39" t="n">
        <v>-43.88</v>
      </c>
      <c r="H125" s="29" t="n">
        <f aca="false">IF(D125=0,"",G125/D125)</f>
        <v>-0.0217227722772277</v>
      </c>
      <c r="I125" s="40" t="n">
        <v>-0.0412</v>
      </c>
      <c r="J125" s="40" t="n">
        <v>-0.0023</v>
      </c>
      <c r="K125" s="26" t="n">
        <v>2</v>
      </c>
      <c r="L125" s="26" t="n">
        <v>13</v>
      </c>
      <c r="M125" s="26" t="n">
        <v>7</v>
      </c>
      <c r="N125" s="26" t="n">
        <v>7</v>
      </c>
    </row>
    <row r="126" customFormat="false" ht="15" hidden="false" customHeight="false" outlineLevel="0" collapsed="false">
      <c r="A126" s="8" t="s">
        <v>62</v>
      </c>
      <c r="B126" s="8" t="s">
        <v>24</v>
      </c>
      <c r="C126" s="8" t="s">
        <v>226</v>
      </c>
      <c r="D126" s="26" t="n">
        <v>1820</v>
      </c>
      <c r="E126" s="26" t="n">
        <v>957</v>
      </c>
      <c r="F126" s="28" t="n">
        <f aca="false">IF(D126=0,"",E126/D126)</f>
        <v>0.525824175824176</v>
      </c>
      <c r="G126" s="39" t="n">
        <v>30.223</v>
      </c>
      <c r="H126" s="29" t="n">
        <f aca="false">IF(D126=0,"",G126/D126)</f>
        <v>0.016606043956044</v>
      </c>
      <c r="I126" s="40" t="n">
        <v>0.0151</v>
      </c>
      <c r="J126" s="40" t="n">
        <v>0.0181</v>
      </c>
      <c r="K126" s="26" t="n">
        <v>4</v>
      </c>
      <c r="L126" s="26" t="n">
        <v>13</v>
      </c>
      <c r="M126" s="26" t="n">
        <v>9</v>
      </c>
      <c r="N126" s="26" t="n">
        <v>9</v>
      </c>
    </row>
    <row r="127" customFormat="false" ht="15" hidden="false" customHeight="false" outlineLevel="0" collapsed="false">
      <c r="A127" s="8" t="s">
        <v>62</v>
      </c>
      <c r="B127" s="8" t="s">
        <v>24</v>
      </c>
      <c r="C127" s="8" t="s">
        <v>227</v>
      </c>
      <c r="D127" s="26" t="n">
        <v>1672</v>
      </c>
      <c r="E127" s="26" t="n">
        <v>705</v>
      </c>
      <c r="F127" s="28" t="n">
        <f aca="false">IF(D127=0,"",E127/D127)</f>
        <v>0.421650717703349</v>
      </c>
      <c r="G127" s="39" t="n">
        <v>32.039</v>
      </c>
      <c r="H127" s="29" t="n">
        <f aca="false">IF(D127=0,"",G127/D127)</f>
        <v>0.0191620813397129</v>
      </c>
      <c r="I127" s="40" t="n">
        <v>0.0454</v>
      </c>
      <c r="J127" s="40" t="n">
        <v>-0.0071</v>
      </c>
      <c r="K127" s="26" t="n">
        <v>3</v>
      </c>
      <c r="L127" s="26" t="n">
        <v>9</v>
      </c>
      <c r="M127" s="26" t="n">
        <v>13</v>
      </c>
      <c r="N127" s="26" t="n">
        <v>13</v>
      </c>
    </row>
    <row r="128" customFormat="false" ht="15" hidden="false" customHeight="false" outlineLevel="0" collapsed="false">
      <c r="A128" s="8" t="s">
        <v>62</v>
      </c>
      <c r="B128" s="8" t="s">
        <v>24</v>
      </c>
      <c r="C128" s="8" t="s">
        <v>229</v>
      </c>
      <c r="D128" s="26" t="n">
        <v>1472</v>
      </c>
      <c r="E128" s="26" t="n">
        <v>472</v>
      </c>
      <c r="F128" s="28" t="n">
        <f aca="false">IF(D128=0,"",E128/D128)</f>
        <v>0.320652173913043</v>
      </c>
      <c r="G128" s="39" t="n">
        <v>128.379</v>
      </c>
      <c r="H128" s="29" t="n">
        <f aca="false">IF(D128=0,"",G128/D128)</f>
        <v>0.0872139945652174</v>
      </c>
      <c r="I128" s="40" t="n">
        <v>0.0969</v>
      </c>
      <c r="J128" s="40" t="n">
        <v>0.0776</v>
      </c>
      <c r="K128" s="26" t="n">
        <v>4</v>
      </c>
      <c r="L128" s="26" t="n">
        <v>7</v>
      </c>
      <c r="M128" s="26" t="n">
        <v>21</v>
      </c>
      <c r="N128" s="26" t="n">
        <v>21</v>
      </c>
    </row>
    <row r="130" customFormat="false" ht="15" hidden="false" customHeight="false" outlineLevel="0" collapsed="false">
      <c r="A130" s="8" t="s">
        <v>62</v>
      </c>
      <c r="B130" s="8" t="s">
        <v>59</v>
      </c>
      <c r="C130" s="8" t="s">
        <v>225</v>
      </c>
      <c r="D130" s="26" t="n">
        <v>2020</v>
      </c>
      <c r="E130" s="26" t="n">
        <v>1279</v>
      </c>
      <c r="F130" s="28" t="n">
        <f aca="false">IF(D130=0,"",E130/D130)</f>
        <v>0.633168316831683</v>
      </c>
      <c r="G130" s="39" t="n">
        <v>-43.88</v>
      </c>
      <c r="H130" s="29" t="n">
        <f aca="false">IF(D130=0,"",G130/D130)</f>
        <v>-0.0217227722772277</v>
      </c>
      <c r="I130" s="40" t="n">
        <v>-0.0412</v>
      </c>
      <c r="J130" s="40" t="n">
        <v>-0.0023</v>
      </c>
      <c r="K130" s="26" t="n">
        <v>2</v>
      </c>
      <c r="L130" s="26" t="n">
        <v>13</v>
      </c>
      <c r="M130" s="26" t="n">
        <v>7</v>
      </c>
      <c r="N130" s="26" t="n">
        <v>7</v>
      </c>
    </row>
    <row r="131" customFormat="false" ht="15" hidden="false" customHeight="false" outlineLevel="0" collapsed="false">
      <c r="A131" s="8" t="s">
        <v>62</v>
      </c>
      <c r="B131" s="8" t="s">
        <v>59</v>
      </c>
      <c r="C131" s="8" t="s">
        <v>226</v>
      </c>
      <c r="D131" s="26" t="n">
        <v>1820</v>
      </c>
      <c r="E131" s="26" t="n">
        <v>957</v>
      </c>
      <c r="F131" s="28" t="n">
        <f aca="false">IF(D131=0,"",E131/D131)</f>
        <v>0.525824175824176</v>
      </c>
      <c r="G131" s="39" t="n">
        <v>30.223</v>
      </c>
      <c r="H131" s="29" t="n">
        <f aca="false">IF(D131=0,"",G131/D131)</f>
        <v>0.016606043956044</v>
      </c>
      <c r="I131" s="40" t="n">
        <v>0.0151</v>
      </c>
      <c r="J131" s="40" t="n">
        <v>0.0181</v>
      </c>
      <c r="K131" s="26" t="n">
        <v>4</v>
      </c>
      <c r="L131" s="26" t="n">
        <v>13</v>
      </c>
      <c r="M131" s="26" t="n">
        <v>9</v>
      </c>
      <c r="N131" s="26" t="n">
        <v>9</v>
      </c>
    </row>
    <row r="132" customFormat="false" ht="15" hidden="false" customHeight="false" outlineLevel="0" collapsed="false">
      <c r="A132" s="8" t="s">
        <v>62</v>
      </c>
      <c r="B132" s="8" t="s">
        <v>59</v>
      </c>
      <c r="C132" s="8" t="s">
        <v>227</v>
      </c>
      <c r="D132" s="26" t="n">
        <v>1672</v>
      </c>
      <c r="E132" s="26" t="n">
        <v>705</v>
      </c>
      <c r="F132" s="28" t="n">
        <f aca="false">IF(D132=0,"",E132/D132)</f>
        <v>0.421650717703349</v>
      </c>
      <c r="G132" s="39" t="n">
        <v>32.039</v>
      </c>
      <c r="H132" s="29" t="n">
        <f aca="false">IF(D132=0,"",G132/D132)</f>
        <v>0.0191620813397129</v>
      </c>
      <c r="I132" s="40" t="n">
        <v>0.0454</v>
      </c>
      <c r="J132" s="40" t="n">
        <v>-0.0071</v>
      </c>
      <c r="K132" s="26" t="n">
        <v>3</v>
      </c>
      <c r="L132" s="26" t="n">
        <v>9</v>
      </c>
      <c r="M132" s="26" t="n">
        <v>13</v>
      </c>
      <c r="N132" s="26" t="n">
        <v>13</v>
      </c>
    </row>
    <row r="133" customFormat="false" ht="15" hidden="false" customHeight="false" outlineLevel="0" collapsed="false">
      <c r="A133" s="8" t="s">
        <v>62</v>
      </c>
      <c r="B133" s="8" t="s">
        <v>59</v>
      </c>
      <c r="C133" s="8" t="s">
        <v>228</v>
      </c>
      <c r="D133" s="26" t="n">
        <v>1559</v>
      </c>
      <c r="E133" s="26" t="n">
        <v>572</v>
      </c>
      <c r="F133" s="28" t="n">
        <f aca="false">IF(D133=0,"",E133/D133)</f>
        <v>0.366901860166774</v>
      </c>
      <c r="G133" s="39" t="n">
        <v>102.222</v>
      </c>
      <c r="H133" s="29" t="n">
        <f aca="false">IF(D133=0,"",G133/D133)</f>
        <v>0.0655689544579859</v>
      </c>
      <c r="I133" s="40" t="n">
        <v>0.0908</v>
      </c>
      <c r="J133" s="40" t="n">
        <v>0.0403</v>
      </c>
      <c r="K133" s="26" t="n">
        <v>3</v>
      </c>
      <c r="L133" s="26" t="n">
        <v>8</v>
      </c>
      <c r="M133" s="26" t="n">
        <v>16</v>
      </c>
      <c r="N133" s="26" t="n">
        <v>16</v>
      </c>
    </row>
    <row r="135" customFormat="false" ht="15" hidden="false" customHeight="false" outlineLevel="0" collapsed="false">
      <c r="A135" s="8" t="s">
        <v>87</v>
      </c>
      <c r="B135" s="8" t="s">
        <v>148</v>
      </c>
      <c r="C135" s="8" t="s">
        <v>225</v>
      </c>
      <c r="D135" s="26" t="n">
        <v>4265</v>
      </c>
      <c r="E135" s="26" t="n">
        <v>2566</v>
      </c>
      <c r="F135" s="28" t="n">
        <f aca="false">IF(D135=0,"",E135/D135)</f>
        <v>0.601641266119578</v>
      </c>
      <c r="G135" s="39" t="n">
        <v>-384.488</v>
      </c>
      <c r="H135" s="29" t="n">
        <f aca="false">IF(D135=0,"",G135/D135)</f>
        <v>-0.0901495896834701</v>
      </c>
      <c r="I135" s="40" t="n">
        <v>-0.1164</v>
      </c>
      <c r="J135" s="40" t="n">
        <v>-0.0621</v>
      </c>
      <c r="K135" s="26" t="n">
        <v>0</v>
      </c>
      <c r="L135" s="26" t="n">
        <v>16</v>
      </c>
      <c r="M135" s="26" t="n">
        <v>7</v>
      </c>
      <c r="N135" s="26" t="n">
        <v>7</v>
      </c>
    </row>
    <row r="136" customFormat="false" ht="15" hidden="false" customHeight="false" outlineLevel="0" collapsed="false">
      <c r="A136" s="8" t="s">
        <v>87</v>
      </c>
      <c r="B136" s="8" t="s">
        <v>148</v>
      </c>
      <c r="C136" s="8" t="s">
        <v>226</v>
      </c>
      <c r="D136" s="26" t="n">
        <v>3892</v>
      </c>
      <c r="E136" s="26" t="n">
        <v>1888</v>
      </c>
      <c r="F136" s="28" t="n">
        <f aca="false">IF(D136=0,"",E136/D136)</f>
        <v>0.485097636176773</v>
      </c>
      <c r="G136" s="39" t="n">
        <v>-317.077</v>
      </c>
      <c r="H136" s="29" t="n">
        <f aca="false">IF(D136=0,"",G136/D136)</f>
        <v>-0.0814689105858171</v>
      </c>
      <c r="I136" s="40" t="n">
        <v>-0.1083</v>
      </c>
      <c r="J136" s="40" t="n">
        <v>-0.0533</v>
      </c>
      <c r="K136" s="26" t="n">
        <v>0</v>
      </c>
      <c r="L136" s="26" t="n">
        <v>14</v>
      </c>
      <c r="M136" s="26" t="n">
        <v>9</v>
      </c>
      <c r="N136" s="26" t="n">
        <v>9</v>
      </c>
    </row>
    <row r="137" customFormat="false" ht="15" hidden="false" customHeight="false" outlineLevel="0" collapsed="false">
      <c r="A137" s="8" t="s">
        <v>87</v>
      </c>
      <c r="B137" s="8" t="s">
        <v>148</v>
      </c>
      <c r="C137" s="8" t="s">
        <v>227</v>
      </c>
      <c r="D137" s="26" t="n">
        <v>3477</v>
      </c>
      <c r="E137" s="26" t="n">
        <v>1341</v>
      </c>
      <c r="F137" s="28" t="n">
        <f aca="false">IF(D137=0,"",E137/D137)</f>
        <v>0.385677308024159</v>
      </c>
      <c r="G137" s="39" t="n">
        <v>-301.842</v>
      </c>
      <c r="H137" s="29" t="n">
        <f aca="false">IF(D137=0,"",G137/D137)</f>
        <v>-0.0868110440034512</v>
      </c>
      <c r="I137" s="40" t="n">
        <v>-0.1213</v>
      </c>
      <c r="J137" s="40" t="n">
        <v>-0.051</v>
      </c>
      <c r="K137" s="26" t="n">
        <v>1</v>
      </c>
      <c r="L137" s="26" t="n">
        <v>7</v>
      </c>
      <c r="M137" s="26" t="n">
        <v>15</v>
      </c>
      <c r="N137" s="26" t="n">
        <v>15</v>
      </c>
    </row>
    <row r="138" customFormat="false" ht="15" hidden="false" customHeight="false" outlineLevel="0" collapsed="false">
      <c r="A138" s="8" t="s">
        <v>87</v>
      </c>
      <c r="B138" s="8" t="s">
        <v>148</v>
      </c>
      <c r="C138" s="8" t="s">
        <v>228</v>
      </c>
      <c r="D138" s="26" t="n">
        <v>3169</v>
      </c>
      <c r="E138" s="26" t="n">
        <v>1052</v>
      </c>
      <c r="F138" s="28" t="n">
        <f aca="false">IF(D138=0,"",E138/D138)</f>
        <v>0.331965919848533</v>
      </c>
      <c r="G138" s="39" t="n">
        <v>-174.081</v>
      </c>
      <c r="H138" s="29" t="n">
        <f aca="false">IF(D138=0,"",G138/D138)</f>
        <v>-0.0549324708109814</v>
      </c>
      <c r="I138" s="40" t="n">
        <v>-0.1018</v>
      </c>
      <c r="J138" s="40" t="n">
        <v>-0.0065</v>
      </c>
      <c r="K138" s="26" t="n">
        <v>1</v>
      </c>
      <c r="L138" s="26" t="n">
        <v>6</v>
      </c>
      <c r="M138" s="26" t="n">
        <v>18</v>
      </c>
      <c r="N138" s="26" t="n">
        <v>18</v>
      </c>
    </row>
    <row r="140" customFormat="false" ht="15" hidden="false" customHeight="false" outlineLevel="0" collapsed="false">
      <c r="A140" s="8" t="s">
        <v>87</v>
      </c>
      <c r="B140" s="8" t="s">
        <v>24</v>
      </c>
      <c r="C140" s="8" t="s">
        <v>225</v>
      </c>
      <c r="D140" s="26" t="n">
        <v>2552</v>
      </c>
      <c r="E140" s="26" t="n">
        <v>1617</v>
      </c>
      <c r="F140" s="28" t="n">
        <f aca="false">IF(D140=0,"",E140/D140)</f>
        <v>0.633620689655172</v>
      </c>
      <c r="G140" s="39" t="n">
        <v>-27.622</v>
      </c>
      <c r="H140" s="29" t="n">
        <f aca="false">IF(D140=0,"",G140/D140)</f>
        <v>-0.0108236677115987</v>
      </c>
      <c r="I140" s="40" t="n">
        <v>-0.0333</v>
      </c>
      <c r="J140" s="40" t="n">
        <v>0.0113</v>
      </c>
      <c r="K140" s="26" t="n">
        <v>2</v>
      </c>
      <c r="L140" s="26" t="n">
        <v>12</v>
      </c>
      <c r="M140" s="26" t="n">
        <v>6</v>
      </c>
      <c r="N140" s="26" t="n">
        <v>6</v>
      </c>
    </row>
    <row r="141" customFormat="false" ht="15" hidden="false" customHeight="false" outlineLevel="0" collapsed="false">
      <c r="A141" s="8" t="s">
        <v>87</v>
      </c>
      <c r="B141" s="8" t="s">
        <v>24</v>
      </c>
      <c r="C141" s="8" t="s">
        <v>226</v>
      </c>
      <c r="D141" s="26" t="n">
        <v>1940</v>
      </c>
      <c r="E141" s="26" t="n">
        <v>1036</v>
      </c>
      <c r="F141" s="28" t="n">
        <f aca="false">IF(D141=0,"",E141/D141)</f>
        <v>0.534020618556701</v>
      </c>
      <c r="G141" s="39" t="n">
        <v>84.061</v>
      </c>
      <c r="H141" s="29" t="n">
        <f aca="false">IF(D141=0,"",G141/D141)</f>
        <v>0.043330412371134</v>
      </c>
      <c r="I141" s="40" t="n">
        <v>0.0136</v>
      </c>
      <c r="J141" s="40" t="n">
        <v>0.0725</v>
      </c>
      <c r="K141" s="26" t="n">
        <v>5</v>
      </c>
      <c r="L141" s="26" t="n">
        <v>10</v>
      </c>
      <c r="M141" s="26" t="n">
        <v>11</v>
      </c>
      <c r="N141" s="26" t="n">
        <v>11</v>
      </c>
    </row>
    <row r="142" customFormat="false" ht="15" hidden="false" customHeight="false" outlineLevel="0" collapsed="false">
      <c r="A142" s="8" t="s">
        <v>87</v>
      </c>
      <c r="B142" s="8" t="s">
        <v>24</v>
      </c>
      <c r="C142" s="8" t="s">
        <v>227</v>
      </c>
      <c r="D142" s="26" t="n">
        <v>1478</v>
      </c>
      <c r="E142" s="26" t="n">
        <v>660</v>
      </c>
      <c r="F142" s="28" t="n">
        <f aca="false">IF(D142=0,"",E142/D142)</f>
        <v>0.446549391069012</v>
      </c>
      <c r="G142" s="39" t="n">
        <v>134.73</v>
      </c>
      <c r="H142" s="29" t="n">
        <f aca="false">IF(D142=0,"",G142/D142)</f>
        <v>0.0911569688768606</v>
      </c>
      <c r="I142" s="40" t="n">
        <v>0.0816</v>
      </c>
      <c r="J142" s="40" t="n">
        <v>0.1006</v>
      </c>
      <c r="K142" s="26" t="n">
        <v>6</v>
      </c>
      <c r="L142" s="26" t="n">
        <v>8</v>
      </c>
      <c r="M142" s="26" t="n">
        <v>17</v>
      </c>
      <c r="N142" s="26" t="n">
        <v>17</v>
      </c>
    </row>
    <row r="143" customFormat="false" ht="15" hidden="false" customHeight="false" outlineLevel="0" collapsed="false">
      <c r="A143" s="8" t="s">
        <v>87</v>
      </c>
      <c r="B143" s="8" t="s">
        <v>24</v>
      </c>
      <c r="C143" s="8" t="s">
        <v>228</v>
      </c>
      <c r="D143" s="26" t="n">
        <v>1168</v>
      </c>
      <c r="E143" s="26" t="n">
        <v>434</v>
      </c>
      <c r="F143" s="28" t="n">
        <f aca="false">IF(D143=0,"",E143/D143)</f>
        <v>0.371575342465753</v>
      </c>
      <c r="G143" s="39" t="n">
        <v>103.764</v>
      </c>
      <c r="H143" s="29" t="n">
        <f aca="false">IF(D143=0,"",G143/D143)</f>
        <v>0.0888390410958904</v>
      </c>
      <c r="I143" s="40" t="n">
        <v>0.0929</v>
      </c>
      <c r="J143" s="40" t="n">
        <v>0.0846</v>
      </c>
      <c r="K143" s="26" t="n">
        <v>6</v>
      </c>
      <c r="L143" s="26" t="n">
        <v>6</v>
      </c>
      <c r="M143" s="26" t="n">
        <v>18</v>
      </c>
      <c r="N143" s="26" t="n">
        <v>18</v>
      </c>
    </row>
    <row r="145" customFormat="false" ht="15" hidden="false" customHeight="false" outlineLevel="0" collapsed="false">
      <c r="A145" s="8" t="s">
        <v>87</v>
      </c>
      <c r="B145" s="8" t="s">
        <v>59</v>
      </c>
      <c r="C145" s="8" t="s">
        <v>225</v>
      </c>
      <c r="D145" s="26" t="n">
        <v>2038</v>
      </c>
      <c r="E145" s="26" t="n">
        <v>1283</v>
      </c>
      <c r="F145" s="28" t="n">
        <f aca="false">IF(D145=0,"",E145/D145)</f>
        <v>0.629538763493621</v>
      </c>
      <c r="G145" s="39" t="n">
        <v>-35.931</v>
      </c>
      <c r="H145" s="29" t="n">
        <f aca="false">IF(D145=0,"",G145/D145)</f>
        <v>-0.0176305201177625</v>
      </c>
      <c r="I145" s="40" t="n">
        <v>-0.0393</v>
      </c>
      <c r="J145" s="40" t="n">
        <v>0.0047</v>
      </c>
      <c r="K145" s="26" t="n">
        <v>2</v>
      </c>
      <c r="L145" s="26" t="n">
        <v>11</v>
      </c>
      <c r="M145" s="26" t="n">
        <v>6</v>
      </c>
      <c r="N145" s="26" t="n">
        <v>6</v>
      </c>
    </row>
    <row r="146" customFormat="false" ht="15" hidden="false" customHeight="false" outlineLevel="0" collapsed="false">
      <c r="A146" s="8" t="s">
        <v>87</v>
      </c>
      <c r="B146" s="8" t="s">
        <v>59</v>
      </c>
      <c r="C146" s="8" t="s">
        <v>226</v>
      </c>
      <c r="D146" s="26" t="n">
        <v>1558</v>
      </c>
      <c r="E146" s="26" t="n">
        <v>835</v>
      </c>
      <c r="F146" s="28" t="n">
        <f aca="false">IF(D146=0,"",E146/D146)</f>
        <v>0.53594351732991</v>
      </c>
      <c r="G146" s="39" t="n">
        <v>73.093</v>
      </c>
      <c r="H146" s="29" t="n">
        <f aca="false">IF(D146=0,"",G146/D146)</f>
        <v>0.0469146341463415</v>
      </c>
      <c r="I146" s="40" t="n">
        <v>0.0099</v>
      </c>
      <c r="J146" s="40" t="n">
        <v>0.0853</v>
      </c>
      <c r="K146" s="26" t="n">
        <v>5</v>
      </c>
      <c r="L146" s="26" t="n">
        <v>11</v>
      </c>
      <c r="M146" s="26" t="n">
        <v>10</v>
      </c>
      <c r="N146" s="26" t="n">
        <v>10</v>
      </c>
    </row>
    <row r="147" customFormat="false" ht="15" hidden="false" customHeight="false" outlineLevel="0" collapsed="false">
      <c r="A147" s="8" t="s">
        <v>87</v>
      </c>
      <c r="B147" s="8" t="s">
        <v>59</v>
      </c>
      <c r="C147" s="8" t="s">
        <v>227</v>
      </c>
      <c r="D147" s="26" t="n">
        <v>1173</v>
      </c>
      <c r="E147" s="26" t="n">
        <v>528</v>
      </c>
      <c r="F147" s="28" t="n">
        <f aca="false">IF(D147=0,"",E147/D147)</f>
        <v>0.450127877237852</v>
      </c>
      <c r="G147" s="39" t="n">
        <v>117.98</v>
      </c>
      <c r="H147" s="29" t="n">
        <f aca="false">IF(D147=0,"",G147/D147)</f>
        <v>0.100579710144928</v>
      </c>
      <c r="I147" s="40" t="n">
        <v>0.0811</v>
      </c>
      <c r="J147" s="40" t="n">
        <v>0.1207</v>
      </c>
      <c r="K147" s="26" t="n">
        <v>5</v>
      </c>
      <c r="L147" s="26" t="n">
        <v>9</v>
      </c>
      <c r="M147" s="26" t="n">
        <v>18</v>
      </c>
      <c r="N147" s="26" t="n">
        <v>18</v>
      </c>
    </row>
    <row r="148" customFormat="false" ht="15" hidden="false" customHeight="false" outlineLevel="0" collapsed="false">
      <c r="A148" s="8" t="s">
        <v>87</v>
      </c>
      <c r="B148" s="8" t="s">
        <v>59</v>
      </c>
      <c r="C148" s="8" t="s">
        <v>228</v>
      </c>
      <c r="D148" s="26" t="n">
        <v>942</v>
      </c>
      <c r="E148" s="26" t="n">
        <v>372</v>
      </c>
      <c r="F148" s="28" t="n">
        <f aca="false">IF(D148=0,"",E148/D148)</f>
        <v>0.394904458598726</v>
      </c>
      <c r="G148" s="39" t="n">
        <v>149.102</v>
      </c>
      <c r="H148" s="29" t="n">
        <f aca="false">IF(D148=0,"",G148/D148)</f>
        <v>0.158282377919321</v>
      </c>
      <c r="I148" s="40" t="n">
        <v>0.1277</v>
      </c>
      <c r="J148" s="40" t="n">
        <v>0.1926</v>
      </c>
      <c r="K148" s="26" t="n">
        <v>5</v>
      </c>
      <c r="L148" s="26" t="n">
        <v>9</v>
      </c>
      <c r="M148" s="26" t="n">
        <v>19</v>
      </c>
      <c r="N148" s="26" t="n">
        <v>19</v>
      </c>
    </row>
    <row r="150" customFormat="false" ht="15" hidden="false" customHeight="false" outlineLevel="0" collapsed="false">
      <c r="A150" s="8" t="s">
        <v>109</v>
      </c>
      <c r="B150" s="8" t="s">
        <v>148</v>
      </c>
      <c r="C150" s="8" t="s">
        <v>225</v>
      </c>
      <c r="D150" s="26" t="n">
        <v>1203</v>
      </c>
      <c r="E150" s="26" t="n">
        <v>704</v>
      </c>
      <c r="F150" s="28" t="n">
        <f aca="false">IF(D150=0,"",E150/D150)</f>
        <v>0.58520365752286</v>
      </c>
      <c r="G150" s="39" t="n">
        <v>-102.315</v>
      </c>
      <c r="H150" s="29" t="n">
        <f aca="false">IF(D150=0,"",G150/D150)</f>
        <v>-0.0850498753117207</v>
      </c>
      <c r="I150" s="40" t="n">
        <v>-0.1081</v>
      </c>
      <c r="J150" s="40" t="n">
        <v>-0.0612</v>
      </c>
      <c r="K150" s="26" t="n">
        <v>0</v>
      </c>
      <c r="L150" s="26" t="n">
        <v>10</v>
      </c>
      <c r="M150" s="26" t="n">
        <v>6</v>
      </c>
      <c r="N150" s="26" t="n">
        <v>6</v>
      </c>
    </row>
    <row r="151" customFormat="false" ht="15" hidden="false" customHeight="false" outlineLevel="0" collapsed="false">
      <c r="A151" s="8" t="s">
        <v>109</v>
      </c>
      <c r="B151" s="8" t="s">
        <v>148</v>
      </c>
      <c r="C151" s="8" t="s">
        <v>226</v>
      </c>
      <c r="D151" s="26" t="n">
        <v>1098</v>
      </c>
      <c r="E151" s="26" t="n">
        <v>514</v>
      </c>
      <c r="F151" s="28" t="n">
        <f aca="false">IF(D151=0,"",E151/D151)</f>
        <v>0.468123861566485</v>
      </c>
      <c r="G151" s="39" t="n">
        <v>-93.537</v>
      </c>
      <c r="H151" s="29" t="n">
        <f aca="false">IF(D151=0,"",G151/D151)</f>
        <v>-0.0851885245901639</v>
      </c>
      <c r="I151" s="40" t="n">
        <v>-0.1525</v>
      </c>
      <c r="J151" s="40" t="n">
        <v>-0.0161</v>
      </c>
      <c r="K151" s="26" t="n">
        <v>1</v>
      </c>
      <c r="L151" s="26" t="n">
        <v>10</v>
      </c>
      <c r="M151" s="26" t="n">
        <v>10</v>
      </c>
      <c r="N151" s="26" t="n">
        <v>10</v>
      </c>
    </row>
    <row r="152" customFormat="false" ht="15" hidden="false" customHeight="false" outlineLevel="0" collapsed="false">
      <c r="A152" s="8" t="s">
        <v>109</v>
      </c>
      <c r="B152" s="8" t="s">
        <v>148</v>
      </c>
      <c r="C152" s="8" t="s">
        <v>227</v>
      </c>
      <c r="D152" s="26" t="n">
        <v>979</v>
      </c>
      <c r="E152" s="26" t="n">
        <v>371</v>
      </c>
      <c r="F152" s="28" t="n">
        <f aca="false">IF(D152=0,"",E152/D152)</f>
        <v>0.378958120531154</v>
      </c>
      <c r="G152" s="39" t="n">
        <v>-72.822</v>
      </c>
      <c r="H152" s="29" t="n">
        <f aca="false">IF(D152=0,"",G152/D152)</f>
        <v>-0.0743840653728294</v>
      </c>
      <c r="I152" s="40" t="n">
        <v>-0.1562</v>
      </c>
      <c r="J152" s="40" t="n">
        <v>0.0146</v>
      </c>
      <c r="K152" s="26" t="n">
        <v>2</v>
      </c>
      <c r="L152" s="26" t="n">
        <v>9</v>
      </c>
      <c r="M152" s="26" t="n">
        <v>14</v>
      </c>
      <c r="N152" s="26" t="n">
        <v>14</v>
      </c>
    </row>
    <row r="153" customFormat="false" ht="15" hidden="false" customHeight="false" outlineLevel="0" collapsed="false">
      <c r="A153" s="8" t="s">
        <v>109</v>
      </c>
      <c r="B153" s="8" t="s">
        <v>148</v>
      </c>
      <c r="C153" s="8" t="s">
        <v>228</v>
      </c>
      <c r="D153" s="26" t="n">
        <v>884</v>
      </c>
      <c r="E153" s="26" t="n">
        <v>288</v>
      </c>
      <c r="F153" s="28" t="n">
        <f aca="false">IF(D153=0,"",E153/D153)</f>
        <v>0.32579185520362</v>
      </c>
      <c r="G153" s="39" t="n">
        <v>-39.42</v>
      </c>
      <c r="H153" s="29" t="n">
        <f aca="false">IF(D153=0,"",G153/D153)</f>
        <v>-0.0445927601809955</v>
      </c>
      <c r="I153" s="40" t="n">
        <v>-0.1033</v>
      </c>
      <c r="J153" s="40" t="n">
        <v>0.0194</v>
      </c>
      <c r="K153" s="26" t="n">
        <v>2</v>
      </c>
      <c r="L153" s="26" t="n">
        <v>9</v>
      </c>
      <c r="M153" s="26" t="n">
        <v>15</v>
      </c>
      <c r="N153" s="26" t="n">
        <v>15</v>
      </c>
    </row>
    <row r="155" customFormat="false" ht="15" hidden="false" customHeight="false" outlineLevel="0" collapsed="false">
      <c r="A155" s="8" t="s">
        <v>109</v>
      </c>
      <c r="B155" s="8" t="s">
        <v>24</v>
      </c>
      <c r="C155" s="8" t="s">
        <v>225</v>
      </c>
      <c r="D155" s="26" t="n">
        <v>283</v>
      </c>
      <c r="E155" s="26" t="n">
        <v>177</v>
      </c>
      <c r="F155" s="28" t="n">
        <f aca="false">IF(D155=0,"",E155/D155)</f>
        <v>0.625441696113074</v>
      </c>
      <c r="G155" s="39" t="n">
        <v>-4.72</v>
      </c>
      <c r="H155" s="29" t="n">
        <f aca="false">IF(D155=0,"",G155/D155)</f>
        <v>-0.016678445229682</v>
      </c>
      <c r="I155" s="40" t="n">
        <v>-0.0091</v>
      </c>
      <c r="J155" s="40" t="n">
        <v>-0.0236</v>
      </c>
      <c r="K155" s="26" t="n">
        <v>2</v>
      </c>
      <c r="L155" s="26" t="n">
        <v>10</v>
      </c>
      <c r="M155" s="26" t="n">
        <v>5</v>
      </c>
      <c r="N155" s="26" t="n">
        <v>5</v>
      </c>
    </row>
    <row r="156" customFormat="false" ht="15" hidden="false" customHeight="false" outlineLevel="0" collapsed="false">
      <c r="A156" s="8" t="s">
        <v>109</v>
      </c>
      <c r="B156" s="8" t="s">
        <v>24</v>
      </c>
      <c r="C156" s="8" t="s">
        <v>226</v>
      </c>
      <c r="D156" s="26" t="n">
        <v>244</v>
      </c>
      <c r="E156" s="26" t="n">
        <v>128</v>
      </c>
      <c r="F156" s="28" t="n">
        <f aca="false">IF(D156=0,"",E156/D156)</f>
        <v>0.524590163934426</v>
      </c>
      <c r="G156" s="39" t="n">
        <v>7.725</v>
      </c>
      <c r="H156" s="29" t="n">
        <f aca="false">IF(D156=0,"",G156/D156)</f>
        <v>0.0316598360655738</v>
      </c>
      <c r="I156" s="40" t="n">
        <v>0.0654</v>
      </c>
      <c r="J156" s="40" t="n">
        <v>0.0006</v>
      </c>
      <c r="K156" s="26" t="n">
        <v>4</v>
      </c>
      <c r="L156" s="26" t="n">
        <v>6</v>
      </c>
      <c r="M156" s="26" t="n">
        <v>6</v>
      </c>
      <c r="N156" s="26" t="n">
        <v>6</v>
      </c>
    </row>
    <row r="157" customFormat="false" ht="15" hidden="false" customHeight="false" outlineLevel="0" collapsed="false">
      <c r="A157" s="8" t="s">
        <v>109</v>
      </c>
      <c r="B157" s="8" t="s">
        <v>24</v>
      </c>
      <c r="C157" s="8" t="s">
        <v>227</v>
      </c>
      <c r="D157" s="26" t="n">
        <v>215</v>
      </c>
      <c r="E157" s="26" t="n">
        <v>107</v>
      </c>
      <c r="F157" s="28" t="n">
        <f aca="false">IF(D157=0,"",E157/D157)</f>
        <v>0.497674418604651</v>
      </c>
      <c r="G157" s="39" t="n">
        <v>48.852</v>
      </c>
      <c r="H157" s="29" t="n">
        <f aca="false">IF(D157=0,"",G157/D157)</f>
        <v>0.227218604651163</v>
      </c>
      <c r="I157" s="40" t="n">
        <v>0.2346</v>
      </c>
      <c r="J157" s="40" t="n">
        <v>0.2199</v>
      </c>
      <c r="K157" s="26" t="n">
        <v>5</v>
      </c>
      <c r="L157" s="26" t="n">
        <v>5</v>
      </c>
      <c r="M157" s="26" t="n">
        <v>7</v>
      </c>
      <c r="N157" s="26" t="n">
        <v>7</v>
      </c>
    </row>
    <row r="158" customFormat="false" ht="15" hidden="false" customHeight="false" outlineLevel="0" collapsed="false">
      <c r="A158" s="8" t="s">
        <v>109</v>
      </c>
      <c r="B158" s="8" t="s">
        <v>24</v>
      </c>
      <c r="C158" s="8" t="s">
        <v>228</v>
      </c>
      <c r="D158" s="26" t="n">
        <v>186</v>
      </c>
      <c r="E158" s="26" t="n">
        <v>84</v>
      </c>
      <c r="F158" s="28" t="n">
        <f aca="false">IF(D158=0,"",E158/D158)</f>
        <v>0.451612903225806</v>
      </c>
      <c r="G158" s="39" t="n">
        <v>62.706</v>
      </c>
      <c r="H158" s="29" t="n">
        <f aca="false">IF(D158=0,"",G158/D158)</f>
        <v>0.337129032258065</v>
      </c>
      <c r="I158" s="40" t="n">
        <v>0.3618</v>
      </c>
      <c r="J158" s="40" t="n">
        <v>0.3114</v>
      </c>
      <c r="K158" s="26" t="n">
        <v>6</v>
      </c>
      <c r="L158" s="26" t="n">
        <v>8</v>
      </c>
      <c r="M158" s="26" t="n">
        <v>8</v>
      </c>
      <c r="N158" s="26" t="n">
        <v>7</v>
      </c>
    </row>
    <row r="160" customFormat="false" ht="15" hidden="false" customHeight="false" outlineLevel="0" collapsed="false">
      <c r="A160" s="8" t="s">
        <v>109</v>
      </c>
      <c r="B160" s="8" t="s">
        <v>59</v>
      </c>
      <c r="C160" s="8" t="s">
        <v>225</v>
      </c>
      <c r="D160" s="26" t="n">
        <v>232</v>
      </c>
      <c r="E160" s="26" t="n">
        <v>160</v>
      </c>
      <c r="F160" s="28" t="n">
        <f aca="false">IF(D160=0,"",E160/D160)</f>
        <v>0.689655172413793</v>
      </c>
      <c r="G160" s="39" t="n">
        <v>19.791</v>
      </c>
      <c r="H160" s="29" t="n">
        <f aca="false">IF(D160=0,"",G160/D160)</f>
        <v>0.0853060344827586</v>
      </c>
      <c r="I160" s="40" t="n">
        <v>0.0861</v>
      </c>
      <c r="J160" s="40" t="n">
        <v>0.0846</v>
      </c>
      <c r="K160" s="26" t="n">
        <v>4</v>
      </c>
      <c r="L160" s="26" t="n">
        <v>10</v>
      </c>
      <c r="M160" s="26" t="n">
        <v>5</v>
      </c>
      <c r="N160" s="26" t="n">
        <v>5</v>
      </c>
    </row>
    <row r="161" customFormat="false" ht="15" hidden="false" customHeight="false" outlineLevel="0" collapsed="false">
      <c r="A161" s="8" t="s">
        <v>109</v>
      </c>
      <c r="B161" s="8" t="s">
        <v>59</v>
      </c>
      <c r="C161" s="8" t="s">
        <v>226</v>
      </c>
      <c r="D161" s="26" t="n">
        <v>220</v>
      </c>
      <c r="E161" s="26" t="n">
        <v>122</v>
      </c>
      <c r="F161" s="28" t="n">
        <f aca="false">IF(D161=0,"",E161/D161)</f>
        <v>0.554545454545455</v>
      </c>
      <c r="G161" s="39" t="n">
        <v>20.016</v>
      </c>
      <c r="H161" s="29" t="n">
        <f aca="false">IF(D161=0,"",G161/D161)</f>
        <v>0.0909818181818182</v>
      </c>
      <c r="I161" s="40" t="n">
        <v>0.0966</v>
      </c>
      <c r="J161" s="40" t="n">
        <v>0.086</v>
      </c>
      <c r="K161" s="26" t="n">
        <v>4</v>
      </c>
      <c r="L161" s="26" t="n">
        <v>7</v>
      </c>
      <c r="M161" s="26" t="n">
        <v>6</v>
      </c>
      <c r="N161" s="26" t="n">
        <v>6</v>
      </c>
    </row>
    <row r="162" customFormat="false" ht="15" hidden="false" customHeight="false" outlineLevel="0" collapsed="false">
      <c r="A162" s="8" t="s">
        <v>109</v>
      </c>
      <c r="B162" s="8" t="s">
        <v>59</v>
      </c>
      <c r="C162" s="8" t="s">
        <v>227</v>
      </c>
      <c r="D162" s="26" t="n">
        <v>202</v>
      </c>
      <c r="E162" s="26" t="n">
        <v>95</v>
      </c>
      <c r="F162" s="28" t="n">
        <f aca="false">IF(D162=0,"",E162/D162)</f>
        <v>0.47029702970297</v>
      </c>
      <c r="G162" s="39" t="n">
        <v>31.722</v>
      </c>
      <c r="H162" s="29" t="n">
        <f aca="false">IF(D162=0,"",G162/D162)</f>
        <v>0.157039603960396</v>
      </c>
      <c r="I162" s="40" t="n">
        <v>0.2203</v>
      </c>
      <c r="J162" s="40" t="n">
        <v>0.0974</v>
      </c>
      <c r="K162" s="26" t="n">
        <v>5</v>
      </c>
      <c r="L162" s="26" t="n">
        <v>7</v>
      </c>
      <c r="M162" s="26" t="n">
        <v>8</v>
      </c>
      <c r="N162" s="26" t="n">
        <v>8</v>
      </c>
    </row>
    <row r="163" customFormat="false" ht="15" hidden="false" customHeight="false" outlineLevel="0" collapsed="false">
      <c r="A163" s="8" t="s">
        <v>109</v>
      </c>
      <c r="B163" s="8" t="s">
        <v>59</v>
      </c>
      <c r="C163" s="8" t="s">
        <v>228</v>
      </c>
      <c r="D163" s="26" t="n">
        <v>195</v>
      </c>
      <c r="E163" s="26" t="n">
        <v>86</v>
      </c>
      <c r="F163" s="28" t="n">
        <f aca="false">IF(D163=0,"",E163/D163)</f>
        <v>0.441025641025641</v>
      </c>
      <c r="G163" s="39" t="n">
        <v>59.335</v>
      </c>
      <c r="H163" s="29" t="n">
        <f aca="false">IF(D163=0,"",G163/D163)</f>
        <v>0.304282051282051</v>
      </c>
      <c r="I163" s="40" t="n">
        <v>0.4091</v>
      </c>
      <c r="J163" s="40" t="n">
        <v>0.1984</v>
      </c>
      <c r="K163" s="26" t="n">
        <v>6</v>
      </c>
      <c r="L163" s="26" t="n">
        <v>10</v>
      </c>
      <c r="M163" s="26" t="n">
        <v>7</v>
      </c>
      <c r="N163" s="26" t="n">
        <v>7</v>
      </c>
    </row>
  </sheetData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5" min="11" style="0" width="7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3" t="s">
        <v>230</v>
      </c>
    </row>
    <row r="2" customFormat="false" ht="15" hidden="false" customHeight="false" outlineLevel="0" collapsed="false">
      <c r="A2" s="17" t="s">
        <v>231</v>
      </c>
    </row>
    <row r="4" customFormat="false" ht="54" hidden="false" customHeight="true" outlineLevel="0" collapsed="false">
      <c r="A4" s="7" t="s">
        <v>135</v>
      </c>
      <c r="B4" s="7" t="s">
        <v>232</v>
      </c>
      <c r="C4" s="7" t="s">
        <v>138</v>
      </c>
      <c r="D4" s="7" t="s">
        <v>233</v>
      </c>
      <c r="E4" s="7" t="s">
        <v>234</v>
      </c>
      <c r="F4" s="7" t="s">
        <v>235</v>
      </c>
      <c r="G4" s="7" t="s">
        <v>236</v>
      </c>
      <c r="H4" s="7" t="s">
        <v>237</v>
      </c>
      <c r="I4" s="7" t="s">
        <v>238</v>
      </c>
      <c r="J4" s="7" t="s">
        <v>239</v>
      </c>
      <c r="K4" s="7" t="s">
        <v>139</v>
      </c>
      <c r="L4" s="7" t="s">
        <v>141</v>
      </c>
      <c r="M4" s="7" t="s">
        <v>142</v>
      </c>
      <c r="N4" s="7" t="s">
        <v>143</v>
      </c>
      <c r="O4" s="7" t="s">
        <v>144</v>
      </c>
      <c r="P4" s="7" t="s">
        <v>146</v>
      </c>
      <c r="Q4" s="7" t="s">
        <v>147</v>
      </c>
    </row>
    <row r="5" customFormat="false" ht="15" hidden="false" customHeight="false" outlineLevel="0" collapsed="false">
      <c r="A5" s="5" t="s">
        <v>23</v>
      </c>
      <c r="B5" s="5" t="s">
        <v>240</v>
      </c>
      <c r="C5" s="35" t="n">
        <v>7425</v>
      </c>
      <c r="D5" s="35" t="n">
        <v>3865</v>
      </c>
      <c r="E5" s="41" t="n">
        <v>-2643.32</v>
      </c>
      <c r="F5" s="37" t="n">
        <f aca="false">IF(D5=0,"",E5/D5)</f>
        <v>-0.683912031047866</v>
      </c>
      <c r="G5" s="35" t="n">
        <v>3560</v>
      </c>
      <c r="H5" s="41" t="n">
        <v>-763.855</v>
      </c>
      <c r="I5" s="37" t="n">
        <f aca="false">IF(G5=0,"",H5/G5)</f>
        <v>-0.214566011235955</v>
      </c>
      <c r="J5" s="35" t="n">
        <v>0</v>
      </c>
      <c r="K5" s="42" t="n">
        <v>0.3153</v>
      </c>
      <c r="L5" s="42" t="n">
        <v>0.5828</v>
      </c>
      <c r="M5" s="42" t="n">
        <v>0.4698</v>
      </c>
      <c r="N5" s="42" t="n">
        <v>0.3793</v>
      </c>
      <c r="O5" s="42" t="n">
        <v>0.3153</v>
      </c>
      <c r="P5" s="35" t="n">
        <v>7</v>
      </c>
      <c r="Q5" s="35" t="n">
        <v>22</v>
      </c>
    </row>
    <row r="6" customFormat="false" ht="15" hidden="false" customHeight="false" outlineLevel="0" collapsed="false">
      <c r="A6" s="8" t="s">
        <v>23</v>
      </c>
      <c r="B6" s="8" t="s">
        <v>241</v>
      </c>
      <c r="C6" s="26" t="n">
        <v>3434</v>
      </c>
      <c r="D6" s="26" t="n">
        <v>1715</v>
      </c>
      <c r="E6" s="39" t="n">
        <v>-280.018</v>
      </c>
      <c r="F6" s="29" t="n">
        <f aca="false">IF(D6=0,"",E6/D6)</f>
        <v>-0.163275801749271</v>
      </c>
      <c r="G6" s="26" t="n">
        <v>1719</v>
      </c>
      <c r="H6" s="39" t="n">
        <v>-97.084</v>
      </c>
      <c r="I6" s="29" t="n">
        <f aca="false">IF(G6=0,"",H6/G6)</f>
        <v>-0.056477021524142</v>
      </c>
      <c r="J6" s="26" t="n">
        <v>1</v>
      </c>
      <c r="K6" s="43" t="n">
        <v>0.3291</v>
      </c>
      <c r="L6" s="43" t="n">
        <v>0.6045</v>
      </c>
      <c r="M6" s="43" t="n">
        <v>0.4983</v>
      </c>
      <c r="N6" s="43" t="n">
        <v>0.3946</v>
      </c>
      <c r="O6" s="43" t="n">
        <v>0.3291</v>
      </c>
      <c r="P6" s="26" t="n">
        <v>9</v>
      </c>
      <c r="Q6" s="26" t="n">
        <v>15</v>
      </c>
    </row>
    <row r="7" customFormat="false" ht="15" hidden="false" customHeight="false" outlineLevel="0" collapsed="false">
      <c r="A7" s="8" t="s">
        <v>23</v>
      </c>
      <c r="B7" s="8" t="s">
        <v>242</v>
      </c>
      <c r="C7" s="26" t="n">
        <v>6321</v>
      </c>
      <c r="D7" s="26" t="n">
        <v>3222</v>
      </c>
      <c r="E7" s="39" t="n">
        <v>-651.956</v>
      </c>
      <c r="F7" s="29" t="n">
        <f aca="false">IF(D7=0,"",E7/D7)</f>
        <v>-0.202345127250155</v>
      </c>
      <c r="G7" s="26" t="n">
        <v>3099</v>
      </c>
      <c r="H7" s="39" t="n">
        <v>-128.567</v>
      </c>
      <c r="I7" s="29" t="n">
        <f aca="false">IF(G7=0,"",H7/G7)</f>
        <v>-0.041486608583414</v>
      </c>
      <c r="J7" s="26" t="n">
        <v>1</v>
      </c>
      <c r="K7" s="43" t="n">
        <v>0.3276</v>
      </c>
      <c r="L7" s="43" t="n">
        <v>0.5975</v>
      </c>
      <c r="M7" s="43" t="n">
        <v>0.4868</v>
      </c>
      <c r="N7" s="43" t="n">
        <v>0.3866</v>
      </c>
      <c r="O7" s="43" t="n">
        <v>0.3276</v>
      </c>
      <c r="P7" s="26" t="n">
        <v>7</v>
      </c>
      <c r="Q7" s="26" t="n">
        <v>20</v>
      </c>
    </row>
    <row r="8" customFormat="false" ht="15" hidden="false" customHeight="false" outlineLevel="0" collapsed="false">
      <c r="A8" s="8" t="s">
        <v>23</v>
      </c>
      <c r="B8" s="8" t="s">
        <v>243</v>
      </c>
      <c r="C8" s="26" t="n">
        <v>5869</v>
      </c>
      <c r="D8" s="26" t="n">
        <v>3058</v>
      </c>
      <c r="E8" s="39" t="n">
        <v>-921.163</v>
      </c>
      <c r="F8" s="29" t="n">
        <f aca="false">IF(D8=0,"",E8/D8)</f>
        <v>-0.301230542838457</v>
      </c>
      <c r="G8" s="26" t="n">
        <v>2811</v>
      </c>
      <c r="H8" s="39" t="n">
        <v>-222.718</v>
      </c>
      <c r="I8" s="29" t="n">
        <f aca="false">IF(G8=0,"",H8/G8)</f>
        <v>-0.0792308786908574</v>
      </c>
      <c r="J8" s="26" t="n">
        <v>0</v>
      </c>
      <c r="K8" s="43" t="n">
        <v>0.3166</v>
      </c>
      <c r="L8" s="43" t="n">
        <v>0.578</v>
      </c>
      <c r="M8" s="43" t="n">
        <v>0.4657</v>
      </c>
      <c r="N8" s="43" t="n">
        <v>0.3749</v>
      </c>
      <c r="O8" s="43" t="n">
        <v>0.3166</v>
      </c>
      <c r="P8" s="26" t="n">
        <v>8</v>
      </c>
      <c r="Q8" s="26" t="n">
        <v>22</v>
      </c>
    </row>
    <row r="9" customFormat="false" ht="15" hidden="false" customHeight="false" outlineLevel="0" collapsed="false">
      <c r="A9" s="8" t="s">
        <v>23</v>
      </c>
      <c r="B9" s="8" t="s">
        <v>244</v>
      </c>
      <c r="C9" s="26" t="n">
        <v>5661</v>
      </c>
      <c r="D9" s="26" t="n">
        <v>2969</v>
      </c>
      <c r="E9" s="39" t="n">
        <v>-916.252</v>
      </c>
      <c r="F9" s="29" t="n">
        <f aca="false">IF(D9=0,"",E9/D9)</f>
        <v>-0.308606264735601</v>
      </c>
      <c r="G9" s="26" t="n">
        <v>2692</v>
      </c>
      <c r="H9" s="39" t="n">
        <v>-81.439</v>
      </c>
      <c r="I9" s="29" t="n">
        <f aca="false">IF(G9=0,"",H9/G9)</f>
        <v>-0.0302522288261516</v>
      </c>
      <c r="J9" s="26" t="n">
        <v>1</v>
      </c>
      <c r="K9" s="43" t="n">
        <v>0.3326</v>
      </c>
      <c r="L9" s="43" t="n">
        <v>0.5902</v>
      </c>
      <c r="M9" s="43" t="n">
        <v>0.486</v>
      </c>
      <c r="N9" s="43" t="n">
        <v>0.3953</v>
      </c>
      <c r="O9" s="43" t="n">
        <v>0.3326</v>
      </c>
      <c r="P9" s="26" t="n">
        <v>9</v>
      </c>
      <c r="Q9" s="26" t="n">
        <v>15</v>
      </c>
    </row>
    <row r="10" customFormat="false" ht="15" hidden="false" customHeight="false" outlineLevel="0" collapsed="false">
      <c r="A10" s="8" t="s">
        <v>23</v>
      </c>
      <c r="B10" s="8" t="s">
        <v>245</v>
      </c>
      <c r="C10" s="26" t="n">
        <v>6508</v>
      </c>
      <c r="D10" s="26" t="n">
        <v>3386</v>
      </c>
      <c r="E10" s="39" t="n">
        <v>-1084.501</v>
      </c>
      <c r="F10" s="29" t="n">
        <f aca="false">IF(D10=0,"",E10/D10)</f>
        <v>-0.320289722386297</v>
      </c>
      <c r="G10" s="26" t="n">
        <v>3122</v>
      </c>
      <c r="H10" s="39" t="n">
        <v>-232.959</v>
      </c>
      <c r="I10" s="29" t="n">
        <f aca="false">IF(G10=0,"",H10/G10)</f>
        <v>-0.0746185137732223</v>
      </c>
      <c r="J10" s="26" t="n">
        <v>1</v>
      </c>
      <c r="K10" s="43" t="n">
        <v>0.3238</v>
      </c>
      <c r="L10" s="43" t="n">
        <v>0.5851</v>
      </c>
      <c r="M10" s="43" t="n">
        <v>0.4771</v>
      </c>
      <c r="N10" s="43" t="n">
        <v>0.3854</v>
      </c>
      <c r="O10" s="43" t="n">
        <v>0.3238</v>
      </c>
      <c r="P10" s="26" t="n">
        <v>6</v>
      </c>
      <c r="Q10" s="26" t="n">
        <v>19</v>
      </c>
    </row>
    <row r="11" customFormat="false" ht="15" hidden="false" customHeight="false" outlineLevel="0" collapsed="false">
      <c r="A11" s="8" t="s">
        <v>23</v>
      </c>
      <c r="B11" s="8" t="s">
        <v>246</v>
      </c>
      <c r="C11" s="26" t="n">
        <v>7421</v>
      </c>
      <c r="D11" s="26" t="n">
        <v>3862</v>
      </c>
      <c r="E11" s="39" t="n">
        <v>-1236.959</v>
      </c>
      <c r="F11" s="29" t="n">
        <f aca="false">IF(D11=0,"",E11/D11)</f>
        <v>-0.320289746245469</v>
      </c>
      <c r="G11" s="26" t="n">
        <v>3559</v>
      </c>
      <c r="H11" s="39" t="n">
        <v>-181.32</v>
      </c>
      <c r="I11" s="29" t="n">
        <f aca="false">IF(G11=0,"",H11/G11)</f>
        <v>-0.0509468951952796</v>
      </c>
      <c r="J11" s="26" t="n">
        <v>0</v>
      </c>
      <c r="K11" s="43" t="n">
        <v>0.3269</v>
      </c>
      <c r="L11" s="43" t="n">
        <v>0.5862</v>
      </c>
      <c r="M11" s="43" t="n">
        <v>0.479</v>
      </c>
      <c r="N11" s="43" t="n">
        <v>0.3888</v>
      </c>
      <c r="O11" s="43" t="n">
        <v>0.3269</v>
      </c>
      <c r="P11" s="26" t="n">
        <v>10</v>
      </c>
      <c r="Q11" s="26" t="n">
        <v>18</v>
      </c>
    </row>
    <row r="12" customFormat="false" ht="15" hidden="false" customHeight="false" outlineLevel="0" collapsed="false">
      <c r="A12" s="8" t="s">
        <v>23</v>
      </c>
      <c r="B12" s="8" t="s">
        <v>247</v>
      </c>
      <c r="C12" s="26" t="n">
        <v>7371</v>
      </c>
      <c r="D12" s="26" t="n">
        <v>3829</v>
      </c>
      <c r="E12" s="39" t="n">
        <v>-1234.758</v>
      </c>
      <c r="F12" s="29" t="n">
        <f aca="false">IF(D12=0,"",E12/D12)</f>
        <v>-0.322475319926874</v>
      </c>
      <c r="G12" s="26" t="n">
        <v>3542</v>
      </c>
      <c r="H12" s="39" t="n">
        <v>-178.743</v>
      </c>
      <c r="I12" s="29" t="n">
        <f aca="false">IF(G12=0,"",H12/G12)</f>
        <v>-0.0504638622247318</v>
      </c>
      <c r="J12" s="26" t="n">
        <v>1</v>
      </c>
      <c r="K12" s="43" t="n">
        <v>0.3268</v>
      </c>
      <c r="L12" s="43" t="n">
        <v>0.5859</v>
      </c>
      <c r="M12" s="43" t="n">
        <v>0.4789</v>
      </c>
      <c r="N12" s="43" t="n">
        <v>0.3885</v>
      </c>
      <c r="O12" s="43" t="n">
        <v>0.3268</v>
      </c>
      <c r="P12" s="26" t="n">
        <v>10</v>
      </c>
      <c r="Q12" s="26" t="n">
        <v>18</v>
      </c>
    </row>
    <row r="13" customFormat="false" ht="15" hidden="false" customHeight="false" outlineLevel="0" collapsed="false">
      <c r="A13" s="8" t="s">
        <v>23</v>
      </c>
      <c r="B13" s="8" t="s">
        <v>248</v>
      </c>
      <c r="C13" s="26" t="n">
        <v>7425</v>
      </c>
      <c r="D13" s="26" t="n">
        <v>3865</v>
      </c>
      <c r="E13" s="39" t="n">
        <v>-1247.088</v>
      </c>
      <c r="F13" s="29" t="n">
        <f aca="false">IF(D13=0,"",E13/D13)</f>
        <v>-0.322661836998706</v>
      </c>
      <c r="G13" s="26" t="n">
        <v>3560</v>
      </c>
      <c r="H13" s="39" t="n">
        <v>-317.35</v>
      </c>
      <c r="I13" s="29" t="n">
        <f aca="false">IF(G13=0,"",H13/G13)</f>
        <v>-0.0891432584269663</v>
      </c>
      <c r="J13" s="26" t="n">
        <v>0</v>
      </c>
      <c r="K13" s="43" t="n">
        <v>0.3207</v>
      </c>
      <c r="L13" s="43" t="n">
        <v>0.5846</v>
      </c>
      <c r="M13" s="43" t="n">
        <v>0.4747</v>
      </c>
      <c r="N13" s="43" t="n">
        <v>0.3826</v>
      </c>
      <c r="O13" s="43" t="n">
        <v>0.3207</v>
      </c>
      <c r="P13" s="26" t="n">
        <v>7</v>
      </c>
      <c r="Q13" s="26" t="n">
        <v>17</v>
      </c>
    </row>
    <row r="14" customFormat="false" ht="15" hidden="false" customHeight="false" outlineLevel="0" collapsed="false">
      <c r="A14" s="8" t="s">
        <v>23</v>
      </c>
      <c r="B14" s="8" t="s">
        <v>249</v>
      </c>
      <c r="C14" s="26" t="n">
        <v>7425</v>
      </c>
      <c r="D14" s="26" t="n">
        <v>3865</v>
      </c>
      <c r="E14" s="39" t="n">
        <v>-1247.088</v>
      </c>
      <c r="F14" s="29" t="n">
        <f aca="false">IF(D14=0,"",E14/D14)</f>
        <v>-0.322661836998706</v>
      </c>
      <c r="G14" s="26" t="n">
        <v>3560</v>
      </c>
      <c r="H14" s="39" t="n">
        <v>-317.35</v>
      </c>
      <c r="I14" s="29" t="n">
        <f aca="false">IF(G14=0,"",H14/G14)</f>
        <v>-0.0891432584269663</v>
      </c>
      <c r="J14" s="26" t="n">
        <v>0</v>
      </c>
      <c r="K14" s="43" t="n">
        <v>0.3207</v>
      </c>
      <c r="L14" s="43" t="n">
        <v>0.5846</v>
      </c>
      <c r="M14" s="43" t="n">
        <v>0.4747</v>
      </c>
      <c r="N14" s="43" t="n">
        <v>0.3826</v>
      </c>
      <c r="O14" s="43" t="n">
        <v>0.3207</v>
      </c>
      <c r="P14" s="26" t="n">
        <v>7</v>
      </c>
      <c r="Q14" s="26" t="n">
        <v>17</v>
      </c>
    </row>
    <row r="15" customFormat="false" ht="15" hidden="false" customHeight="false" outlineLevel="0" collapsed="false">
      <c r="A15" s="8" t="s">
        <v>23</v>
      </c>
      <c r="B15" s="8" t="s">
        <v>250</v>
      </c>
      <c r="C15" s="26" t="n">
        <v>7422</v>
      </c>
      <c r="D15" s="26" t="n">
        <v>3863</v>
      </c>
      <c r="E15" s="39" t="n">
        <v>-1476.577</v>
      </c>
      <c r="F15" s="29" t="n">
        <f aca="false">IF(D15=0,"",E15/D15)</f>
        <v>-0.382235827077401</v>
      </c>
      <c r="G15" s="26" t="n">
        <v>3559</v>
      </c>
      <c r="H15" s="39" t="n">
        <v>-339.265</v>
      </c>
      <c r="I15" s="29" t="n">
        <f aca="false">IF(G15=0,"",H15/G15)</f>
        <v>-0.0953259342511942</v>
      </c>
      <c r="J15" s="26" t="n">
        <v>0</v>
      </c>
      <c r="K15" s="43" t="n">
        <v>0.3313</v>
      </c>
      <c r="L15" s="43" t="n">
        <v>0.5993</v>
      </c>
      <c r="M15" s="43" t="n">
        <v>0.4838</v>
      </c>
      <c r="N15" s="43" t="n">
        <v>0.3932</v>
      </c>
      <c r="O15" s="43" t="n">
        <v>0.3313</v>
      </c>
      <c r="P15" s="26" t="n">
        <v>9</v>
      </c>
      <c r="Q15" s="26" t="n">
        <v>23</v>
      </c>
    </row>
    <row r="16" customFormat="false" ht="15" hidden="false" customHeight="false" outlineLevel="0" collapsed="false">
      <c r="A16" s="8" t="s">
        <v>23</v>
      </c>
      <c r="B16" s="8" t="s">
        <v>251</v>
      </c>
      <c r="C16" s="26" t="n">
        <v>7404</v>
      </c>
      <c r="D16" s="26" t="n">
        <v>3850</v>
      </c>
      <c r="E16" s="39" t="n">
        <v>-1586.885</v>
      </c>
      <c r="F16" s="29" t="n">
        <f aca="false">IF(D16=0,"",E16/D16)</f>
        <v>-0.412177922077922</v>
      </c>
      <c r="G16" s="26" t="n">
        <v>3554</v>
      </c>
      <c r="H16" s="39" t="n">
        <v>-396.189</v>
      </c>
      <c r="I16" s="29" t="n">
        <f aca="false">IF(G16=0,"",H16/G16)</f>
        <v>-0.11147692740574</v>
      </c>
      <c r="J16" s="26" t="n">
        <v>0</v>
      </c>
      <c r="K16" s="43" t="n">
        <v>0.335</v>
      </c>
      <c r="L16" s="43" t="n">
        <v>0.6051</v>
      </c>
      <c r="M16" s="43" t="n">
        <v>0.4896</v>
      </c>
      <c r="N16" s="43" t="n">
        <v>0.3968</v>
      </c>
      <c r="O16" s="43" t="n">
        <v>0.335</v>
      </c>
      <c r="P16" s="26" t="n">
        <v>8</v>
      </c>
      <c r="Q16" s="26" t="n">
        <v>18</v>
      </c>
    </row>
    <row r="17" customFormat="false" ht="15" hidden="false" customHeight="false" outlineLevel="0" collapsed="false">
      <c r="A17" s="8" t="s">
        <v>23</v>
      </c>
      <c r="B17" s="8" t="s">
        <v>252</v>
      </c>
      <c r="C17" s="26" t="n">
        <v>7425</v>
      </c>
      <c r="D17" s="26" t="n">
        <v>3865</v>
      </c>
      <c r="E17" s="39" t="n">
        <v>-1593.76</v>
      </c>
      <c r="F17" s="29" t="n">
        <f aca="false">IF(D17=0,"",E17/D17)</f>
        <v>-0.412357050452781</v>
      </c>
      <c r="G17" s="26" t="n">
        <v>3560</v>
      </c>
      <c r="H17" s="39" t="n">
        <v>-387.39</v>
      </c>
      <c r="I17" s="29" t="n">
        <f aca="false">IF(G17=0,"",H17/G17)</f>
        <v>-0.108817415730337</v>
      </c>
      <c r="J17" s="26" t="n">
        <v>0</v>
      </c>
      <c r="K17" s="43" t="n">
        <v>0.3352</v>
      </c>
      <c r="L17" s="43" t="n">
        <v>0.6053</v>
      </c>
      <c r="M17" s="43" t="n">
        <v>0.49</v>
      </c>
      <c r="N17" s="43" t="n">
        <v>0.3973</v>
      </c>
      <c r="O17" s="43" t="n">
        <v>0.3352</v>
      </c>
      <c r="P17" s="26" t="n">
        <v>8</v>
      </c>
      <c r="Q17" s="26" t="n">
        <v>18</v>
      </c>
    </row>
    <row r="18" customFormat="false" ht="15" hidden="false" customHeight="false" outlineLevel="0" collapsed="false">
      <c r="A18" s="8" t="s">
        <v>23</v>
      </c>
      <c r="B18" s="8" t="s">
        <v>253</v>
      </c>
      <c r="C18" s="26" t="n">
        <v>7425</v>
      </c>
      <c r="D18" s="26" t="n">
        <v>3865</v>
      </c>
      <c r="E18" s="39" t="n">
        <v>-1593.76</v>
      </c>
      <c r="F18" s="29" t="n">
        <f aca="false">IF(D18=0,"",E18/D18)</f>
        <v>-0.412357050452781</v>
      </c>
      <c r="G18" s="26" t="n">
        <v>3560</v>
      </c>
      <c r="H18" s="39" t="n">
        <v>-387.39</v>
      </c>
      <c r="I18" s="29" t="n">
        <f aca="false">IF(G18=0,"",H18/G18)</f>
        <v>-0.108817415730337</v>
      </c>
      <c r="J18" s="26" t="n">
        <v>0</v>
      </c>
      <c r="K18" s="43" t="n">
        <v>0.3352</v>
      </c>
      <c r="L18" s="43" t="n">
        <v>0.6053</v>
      </c>
      <c r="M18" s="43" t="n">
        <v>0.49</v>
      </c>
      <c r="N18" s="43" t="n">
        <v>0.3973</v>
      </c>
      <c r="O18" s="43" t="n">
        <v>0.3352</v>
      </c>
      <c r="P18" s="26" t="n">
        <v>8</v>
      </c>
      <c r="Q18" s="26" t="n">
        <v>18</v>
      </c>
    </row>
    <row r="19" customFormat="false" ht="15" hidden="false" customHeight="false" outlineLevel="0" collapsed="false">
      <c r="A19" s="8" t="s">
        <v>23</v>
      </c>
      <c r="B19" s="8" t="s">
        <v>254</v>
      </c>
      <c r="C19" s="26" t="n">
        <v>7425</v>
      </c>
      <c r="D19" s="26" t="n">
        <v>3865</v>
      </c>
      <c r="E19" s="39" t="n">
        <v>-1638.07</v>
      </c>
      <c r="F19" s="29" t="n">
        <f aca="false">IF(D19=0,"",E19/D19)</f>
        <v>-0.423821474773609</v>
      </c>
      <c r="G19" s="26" t="n">
        <v>3560</v>
      </c>
      <c r="H19" s="39" t="n">
        <v>-337.074</v>
      </c>
      <c r="I19" s="29" t="n">
        <f aca="false">IF(G19=0,"",H19/G19)</f>
        <v>-0.0946837078651685</v>
      </c>
      <c r="J19" s="26" t="n">
        <v>0</v>
      </c>
      <c r="K19" s="43" t="n">
        <v>0.3319</v>
      </c>
      <c r="L19" s="43" t="n">
        <v>0.5992</v>
      </c>
      <c r="M19" s="43" t="n">
        <v>0.4866</v>
      </c>
      <c r="N19" s="43" t="n">
        <v>0.3961</v>
      </c>
      <c r="O19" s="43" t="n">
        <v>0.3319</v>
      </c>
      <c r="P19" s="26" t="n">
        <v>8</v>
      </c>
      <c r="Q19" s="26" t="n">
        <v>19</v>
      </c>
    </row>
    <row r="20" customFormat="false" ht="15" hidden="false" customHeight="false" outlineLevel="0" collapsed="false">
      <c r="A20" s="8" t="s">
        <v>23</v>
      </c>
      <c r="B20" s="8" t="s">
        <v>255</v>
      </c>
      <c r="C20" s="26" t="n">
        <v>7410</v>
      </c>
      <c r="D20" s="26" t="n">
        <v>3858</v>
      </c>
      <c r="E20" s="39" t="n">
        <v>-1638.814</v>
      </c>
      <c r="F20" s="29" t="n">
        <f aca="false">IF(D20=0,"",E20/D20)</f>
        <v>-0.424783307413167</v>
      </c>
      <c r="G20" s="26" t="n">
        <v>3552</v>
      </c>
      <c r="H20" s="39" t="n">
        <v>-393.637</v>
      </c>
      <c r="I20" s="29" t="n">
        <f aca="false">IF(G20=0,"",H20/G20)</f>
        <v>-0.110821227477477</v>
      </c>
      <c r="J20" s="26" t="n">
        <v>0</v>
      </c>
      <c r="K20" s="43" t="n">
        <v>0.3325</v>
      </c>
      <c r="L20" s="43" t="n">
        <v>0.603</v>
      </c>
      <c r="M20" s="43" t="n">
        <v>0.4856</v>
      </c>
      <c r="N20" s="43" t="n">
        <v>0.3941</v>
      </c>
      <c r="O20" s="43" t="n">
        <v>0.3325</v>
      </c>
      <c r="P20" s="26" t="n">
        <v>8</v>
      </c>
      <c r="Q20" s="26" t="n">
        <v>18</v>
      </c>
    </row>
    <row r="21" customFormat="false" ht="15" hidden="false" customHeight="false" outlineLevel="0" collapsed="false">
      <c r="A21" s="8" t="s">
        <v>23</v>
      </c>
      <c r="B21" s="8" t="s">
        <v>256</v>
      </c>
      <c r="C21" s="26" t="n">
        <v>6879</v>
      </c>
      <c r="D21" s="26" t="n">
        <v>3574</v>
      </c>
      <c r="E21" s="39" t="n">
        <v>-1536.878</v>
      </c>
      <c r="F21" s="29" t="n">
        <f aca="false">IF(D21=0,"",E21/D21)</f>
        <v>-0.430016228315613</v>
      </c>
      <c r="G21" s="26" t="n">
        <v>3305</v>
      </c>
      <c r="H21" s="39" t="n">
        <v>-384.461</v>
      </c>
      <c r="I21" s="29" t="n">
        <f aca="false">IF(G21=0,"",H21/G21)</f>
        <v>-0.116327080181543</v>
      </c>
      <c r="J21" s="26" t="n">
        <v>0</v>
      </c>
      <c r="K21" s="43" t="n">
        <v>0.3336</v>
      </c>
      <c r="L21" s="43" t="n">
        <v>0.6053</v>
      </c>
      <c r="M21" s="43" t="n">
        <v>0.4873</v>
      </c>
      <c r="N21" s="43" t="n">
        <v>0.3953</v>
      </c>
      <c r="O21" s="43" t="n">
        <v>0.3336</v>
      </c>
      <c r="P21" s="26" t="n">
        <v>8</v>
      </c>
      <c r="Q21" s="26" t="n">
        <v>17</v>
      </c>
    </row>
    <row r="22" customFormat="false" ht="15" hidden="false" customHeight="false" outlineLevel="0" collapsed="false">
      <c r="A22" s="8" t="s">
        <v>23</v>
      </c>
      <c r="B22" s="8" t="s">
        <v>257</v>
      </c>
      <c r="C22" s="26" t="n">
        <v>7425</v>
      </c>
      <c r="D22" s="26" t="n">
        <v>3865</v>
      </c>
      <c r="E22" s="39" t="n">
        <v>-1905.24</v>
      </c>
      <c r="F22" s="29" t="n">
        <f aca="false">IF(D22=0,"",E22/D22)</f>
        <v>-0.492946959896507</v>
      </c>
      <c r="G22" s="26" t="n">
        <v>3560</v>
      </c>
      <c r="H22" s="39" t="n">
        <v>-532.338</v>
      </c>
      <c r="I22" s="29" t="n">
        <f aca="false">IF(G22=0,"",H22/G22)</f>
        <v>-0.149533146067416</v>
      </c>
      <c r="J22" s="26" t="n">
        <v>0</v>
      </c>
      <c r="K22" s="43" t="n">
        <v>0.3197</v>
      </c>
      <c r="L22" s="43" t="n">
        <v>0.5908</v>
      </c>
      <c r="M22" s="43" t="n">
        <v>0.4797</v>
      </c>
      <c r="N22" s="43" t="n">
        <v>0.3846</v>
      </c>
      <c r="O22" s="43" t="n">
        <v>0.3197</v>
      </c>
      <c r="P22" s="26" t="n">
        <v>6</v>
      </c>
      <c r="Q22" s="26" t="n">
        <v>27</v>
      </c>
    </row>
    <row r="23" customFormat="false" ht="15" hidden="false" customHeight="false" outlineLevel="0" collapsed="false">
      <c r="A23" s="8" t="s">
        <v>23</v>
      </c>
      <c r="B23" s="8" t="s">
        <v>258</v>
      </c>
      <c r="C23" s="26" t="n">
        <v>7094</v>
      </c>
      <c r="D23" s="26" t="n">
        <v>3715</v>
      </c>
      <c r="E23" s="39" t="n">
        <v>-2032.139</v>
      </c>
      <c r="F23" s="29" t="n">
        <f aca="false">IF(D23=0,"",E23/D23)</f>
        <v>-0.547009152086137</v>
      </c>
      <c r="G23" s="26" t="n">
        <v>3379</v>
      </c>
      <c r="H23" s="39" t="n">
        <v>-465.474</v>
      </c>
      <c r="I23" s="29" t="n">
        <f aca="false">IF(G23=0,"",H23/G23)</f>
        <v>-0.137754957087896</v>
      </c>
      <c r="J23" s="26" t="n">
        <v>0</v>
      </c>
      <c r="K23" s="43" t="n">
        <v>0.3279</v>
      </c>
      <c r="L23" s="43" t="n">
        <v>0.595</v>
      </c>
      <c r="M23" s="43" t="n">
        <v>0.4867</v>
      </c>
      <c r="N23" s="43" t="n">
        <v>0.3905</v>
      </c>
      <c r="O23" s="43" t="n">
        <v>0.3279</v>
      </c>
      <c r="P23" s="26" t="n">
        <v>9</v>
      </c>
      <c r="Q23" s="26" t="n">
        <v>23</v>
      </c>
    </row>
    <row r="24" customFormat="false" ht="15" hidden="false" customHeight="false" outlineLevel="0" collapsed="false">
      <c r="A24" s="8" t="s">
        <v>23</v>
      </c>
      <c r="B24" s="8" t="s">
        <v>259</v>
      </c>
      <c r="C24" s="26" t="n">
        <v>7425</v>
      </c>
      <c r="D24" s="26" t="n">
        <v>3865</v>
      </c>
      <c r="E24" s="39" t="n">
        <v>-2123.48</v>
      </c>
      <c r="F24" s="29" t="n">
        <f aca="false">IF(D24=0,"",E24/D24)</f>
        <v>-0.549412677878396</v>
      </c>
      <c r="G24" s="26" t="n">
        <v>3560</v>
      </c>
      <c r="H24" s="39" t="n">
        <v>-646.437</v>
      </c>
      <c r="I24" s="29" t="n">
        <f aca="false">IF(G24=0,"",H24/G24)</f>
        <v>-0.181583426966292</v>
      </c>
      <c r="J24" s="26" t="n">
        <v>0</v>
      </c>
      <c r="K24" s="43" t="n">
        <v>0.3187</v>
      </c>
      <c r="L24" s="43" t="n">
        <v>0.5881</v>
      </c>
      <c r="M24" s="43" t="n">
        <v>0.4753</v>
      </c>
      <c r="N24" s="43" t="n">
        <v>0.3809</v>
      </c>
      <c r="O24" s="43" t="n">
        <v>0.3187</v>
      </c>
      <c r="P24" s="26" t="n">
        <v>7</v>
      </c>
      <c r="Q24" s="26" t="n">
        <v>23</v>
      </c>
    </row>
    <row r="25" customFormat="false" ht="15" hidden="false" customHeight="false" outlineLevel="0" collapsed="false">
      <c r="A25" s="8" t="s">
        <v>23</v>
      </c>
      <c r="B25" s="8" t="s">
        <v>260</v>
      </c>
      <c r="C25" s="26" t="n">
        <v>7425</v>
      </c>
      <c r="D25" s="26" t="n">
        <v>3865</v>
      </c>
      <c r="E25" s="39" t="n">
        <v>-2131.346</v>
      </c>
      <c r="F25" s="29" t="n">
        <f aca="false">IF(D25=0,"",E25/D25)</f>
        <v>-0.55144786545925</v>
      </c>
      <c r="G25" s="26" t="n">
        <v>3560</v>
      </c>
      <c r="H25" s="39" t="n">
        <v>-555.222</v>
      </c>
      <c r="I25" s="29" t="n">
        <f aca="false">IF(G25=0,"",H25/G25)</f>
        <v>-0.155961235955056</v>
      </c>
      <c r="J25" s="26" t="n">
        <v>0</v>
      </c>
      <c r="K25" s="43" t="n">
        <v>0.3302</v>
      </c>
      <c r="L25" s="43" t="n">
        <v>0.5962</v>
      </c>
      <c r="M25" s="43" t="n">
        <v>0.482</v>
      </c>
      <c r="N25" s="43" t="n">
        <v>0.3894</v>
      </c>
      <c r="O25" s="43" t="n">
        <v>0.3302</v>
      </c>
      <c r="P25" s="26" t="n">
        <v>8</v>
      </c>
      <c r="Q25" s="26" t="n">
        <v>22</v>
      </c>
    </row>
    <row r="26" customFormat="false" ht="15" hidden="false" customHeight="false" outlineLevel="0" collapsed="false">
      <c r="A26" s="8" t="s">
        <v>23</v>
      </c>
      <c r="B26" s="8" t="s">
        <v>261</v>
      </c>
      <c r="C26" s="26" t="n">
        <v>7078</v>
      </c>
      <c r="D26" s="26" t="n">
        <v>3736</v>
      </c>
      <c r="E26" s="39" t="n">
        <v>-2087.32</v>
      </c>
      <c r="F26" s="29" t="n">
        <f aca="false">IF(D26=0,"",E26/D26)</f>
        <v>-0.558704496788009</v>
      </c>
      <c r="G26" s="26" t="n">
        <v>3342</v>
      </c>
      <c r="H26" s="39" t="n">
        <v>-721.523</v>
      </c>
      <c r="I26" s="29" t="n">
        <f aca="false">IF(G26=0,"",H26/G26)</f>
        <v>-0.215895571514063</v>
      </c>
      <c r="J26" s="26" t="n">
        <v>0</v>
      </c>
      <c r="K26" s="43" t="n">
        <v>0.3125</v>
      </c>
      <c r="L26" s="43" t="n">
        <v>0.5829</v>
      </c>
      <c r="M26" s="43" t="n">
        <v>0.4635</v>
      </c>
      <c r="N26" s="43" t="n">
        <v>0.3745</v>
      </c>
      <c r="O26" s="43" t="n">
        <v>0.3125</v>
      </c>
      <c r="P26" s="26" t="n">
        <v>8</v>
      </c>
      <c r="Q26" s="26" t="n">
        <v>30</v>
      </c>
    </row>
    <row r="27" customFormat="false" ht="15" hidden="false" customHeight="false" outlineLevel="0" collapsed="false">
      <c r="A27" s="8" t="s">
        <v>23</v>
      </c>
      <c r="B27" s="8" t="s">
        <v>262</v>
      </c>
      <c r="C27" s="26" t="n">
        <v>7406</v>
      </c>
      <c r="D27" s="26" t="n">
        <v>3859</v>
      </c>
      <c r="E27" s="39" t="n">
        <v>-2158.704</v>
      </c>
      <c r="F27" s="29" t="n">
        <f aca="false">IF(D27=0,"",E27/D27)</f>
        <v>-0.55939466182949</v>
      </c>
      <c r="G27" s="26" t="n">
        <v>3547</v>
      </c>
      <c r="H27" s="39" t="n">
        <v>-604.793</v>
      </c>
      <c r="I27" s="29" t="n">
        <f aca="false">IF(G27=0,"",H27/G27)</f>
        <v>-0.170508316887511</v>
      </c>
      <c r="J27" s="26" t="n">
        <v>0</v>
      </c>
      <c r="K27" s="43" t="n">
        <v>0.3277</v>
      </c>
      <c r="L27" s="43" t="n">
        <v>0.5949</v>
      </c>
      <c r="M27" s="43" t="n">
        <v>0.4822</v>
      </c>
      <c r="N27" s="43" t="n">
        <v>0.3885</v>
      </c>
      <c r="O27" s="43" t="n">
        <v>0.3277</v>
      </c>
      <c r="P27" s="26" t="n">
        <v>8</v>
      </c>
      <c r="Q27" s="26" t="n">
        <v>22</v>
      </c>
    </row>
    <row r="28" customFormat="false" ht="15" hidden="false" customHeight="false" outlineLevel="0" collapsed="false">
      <c r="A28" s="8" t="s">
        <v>23</v>
      </c>
      <c r="B28" s="8" t="s">
        <v>263</v>
      </c>
      <c r="C28" s="26" t="n">
        <v>1912</v>
      </c>
      <c r="D28" s="26" t="n">
        <v>880</v>
      </c>
      <c r="E28" s="39" t="n">
        <v>-499.039</v>
      </c>
      <c r="F28" s="29" t="n">
        <f aca="false">IF(D28=0,"",E28/D28)</f>
        <v>-0.567089772727273</v>
      </c>
      <c r="G28" s="26" t="n">
        <v>1032</v>
      </c>
      <c r="H28" s="39" t="n">
        <v>-185.928</v>
      </c>
      <c r="I28" s="29" t="n">
        <f aca="false">IF(G28=0,"",H28/G28)</f>
        <v>-0.180162790697674</v>
      </c>
      <c r="J28" s="26" t="n">
        <v>0</v>
      </c>
      <c r="K28" s="43" t="n">
        <v>0.3201</v>
      </c>
      <c r="L28" s="43" t="n">
        <v>0.5957</v>
      </c>
      <c r="M28" s="43" t="n">
        <v>0.4806</v>
      </c>
      <c r="N28" s="43" t="n">
        <v>0.386</v>
      </c>
      <c r="O28" s="43" t="n">
        <v>0.3201</v>
      </c>
      <c r="P28" s="26" t="n">
        <v>5</v>
      </c>
      <c r="Q28" s="26" t="n">
        <v>20</v>
      </c>
    </row>
    <row r="29" customFormat="false" ht="15" hidden="false" customHeight="false" outlineLevel="0" collapsed="false">
      <c r="A29" s="8" t="s">
        <v>23</v>
      </c>
      <c r="B29" s="8" t="s">
        <v>264</v>
      </c>
      <c r="C29" s="26" t="n">
        <v>14850</v>
      </c>
      <c r="D29" s="26" t="n">
        <v>7730</v>
      </c>
      <c r="E29" s="39" t="n">
        <v>-4403.971</v>
      </c>
      <c r="F29" s="29" t="n">
        <f aca="false">IF(D29=0,"",E29/D29)</f>
        <v>-0.569724579560155</v>
      </c>
      <c r="G29" s="26" t="n">
        <v>7120</v>
      </c>
      <c r="H29" s="39" t="n">
        <v>-1133.028</v>
      </c>
      <c r="I29" s="29" t="n">
        <f aca="false">IF(G29=0,"",H29/G29)</f>
        <v>-0.159133146067416</v>
      </c>
      <c r="J29" s="26" t="n">
        <v>0</v>
      </c>
      <c r="K29" s="43" t="n">
        <v>0.3223</v>
      </c>
      <c r="L29" s="43" t="n">
        <v>0.589</v>
      </c>
      <c r="M29" s="43" t="n">
        <v>0.4758</v>
      </c>
      <c r="N29" s="43" t="n">
        <v>0.3854</v>
      </c>
      <c r="O29" s="43" t="n">
        <v>0.3223</v>
      </c>
      <c r="P29" s="26" t="n">
        <v>8</v>
      </c>
      <c r="Q29" s="26" t="n">
        <v>22</v>
      </c>
    </row>
    <row r="30" customFormat="false" ht="15" hidden="false" customHeight="false" outlineLevel="0" collapsed="false">
      <c r="A30" s="8" t="s">
        <v>23</v>
      </c>
      <c r="B30" s="8" t="s">
        <v>265</v>
      </c>
      <c r="C30" s="26" t="n">
        <v>2263</v>
      </c>
      <c r="D30" s="26" t="n">
        <v>1048</v>
      </c>
      <c r="E30" s="39" t="n">
        <v>-622.145</v>
      </c>
      <c r="F30" s="29" t="n">
        <f aca="false">IF(D30=0,"",E30/D30)</f>
        <v>-0.593649809160305</v>
      </c>
      <c r="G30" s="26" t="n">
        <v>1215</v>
      </c>
      <c r="H30" s="39" t="n">
        <v>-214.456</v>
      </c>
      <c r="I30" s="29" t="n">
        <f aca="false">IF(G30=0,"",H30/G30)</f>
        <v>-0.176506995884774</v>
      </c>
      <c r="J30" s="26" t="n">
        <v>0</v>
      </c>
      <c r="K30" s="43" t="n">
        <v>0.3182</v>
      </c>
      <c r="L30" s="43" t="n">
        <v>0.5895</v>
      </c>
      <c r="M30" s="43" t="n">
        <v>0.4777</v>
      </c>
      <c r="N30" s="43" t="n">
        <v>0.3822</v>
      </c>
      <c r="O30" s="43" t="n">
        <v>0.3182</v>
      </c>
      <c r="P30" s="26" t="n">
        <v>6</v>
      </c>
      <c r="Q30" s="26" t="n">
        <v>18</v>
      </c>
    </row>
    <row r="31" customFormat="false" ht="15" hidden="false" customHeight="false" outlineLevel="0" collapsed="false">
      <c r="A31" s="8" t="s">
        <v>23</v>
      </c>
      <c r="B31" s="8" t="s">
        <v>266</v>
      </c>
      <c r="C31" s="26" t="n">
        <v>1431</v>
      </c>
      <c r="D31" s="26" t="n">
        <v>628</v>
      </c>
      <c r="E31" s="39" t="n">
        <v>-374.389</v>
      </c>
      <c r="F31" s="29" t="n">
        <f aca="false">IF(D31=0,"",E31/D31)</f>
        <v>-0.596160828025478</v>
      </c>
      <c r="G31" s="26" t="n">
        <v>803</v>
      </c>
      <c r="H31" s="39" t="n">
        <v>-159.982</v>
      </c>
      <c r="I31" s="29" t="n">
        <f aca="false">IF(G31=0,"",H31/G31)</f>
        <v>-0.199230386052304</v>
      </c>
      <c r="J31" s="26" t="n">
        <v>0</v>
      </c>
      <c r="K31" s="43" t="n">
        <v>0.3103</v>
      </c>
      <c r="L31" s="43" t="n">
        <v>0.5898</v>
      </c>
      <c r="M31" s="43" t="n">
        <v>0.4703</v>
      </c>
      <c r="N31" s="43" t="n">
        <v>0.376</v>
      </c>
      <c r="O31" s="43" t="n">
        <v>0.3103</v>
      </c>
      <c r="P31" s="26" t="n">
        <v>5</v>
      </c>
      <c r="Q31" s="26" t="n">
        <v>17</v>
      </c>
    </row>
    <row r="32" customFormat="false" ht="15" hidden="false" customHeight="false" outlineLevel="0" collapsed="false">
      <c r="A32" s="8" t="s">
        <v>23</v>
      </c>
      <c r="B32" s="8" t="s">
        <v>267</v>
      </c>
      <c r="C32" s="26" t="n">
        <v>7425</v>
      </c>
      <c r="D32" s="26" t="n">
        <v>3865</v>
      </c>
      <c r="E32" s="39" t="n">
        <v>-2339.957</v>
      </c>
      <c r="F32" s="29" t="n">
        <f aca="false">IF(D32=0,"",E32/D32)</f>
        <v>-0.605422250970246</v>
      </c>
      <c r="G32" s="26" t="n">
        <v>3560</v>
      </c>
      <c r="H32" s="39" t="n">
        <v>-601.066</v>
      </c>
      <c r="I32" s="29" t="n">
        <f aca="false">IF(G32=0,"",H32/G32)</f>
        <v>-0.168838764044944</v>
      </c>
      <c r="J32" s="26" t="n">
        <v>0</v>
      </c>
      <c r="K32" s="43" t="n">
        <v>0.3204</v>
      </c>
      <c r="L32" s="43" t="n">
        <v>0.597</v>
      </c>
      <c r="M32" s="43" t="n">
        <v>0.4781</v>
      </c>
      <c r="N32" s="43" t="n">
        <v>0.3865</v>
      </c>
      <c r="O32" s="43" t="n">
        <v>0.3204</v>
      </c>
      <c r="P32" s="26" t="n">
        <v>8</v>
      </c>
      <c r="Q32" s="26" t="n">
        <v>20</v>
      </c>
    </row>
    <row r="33" customFormat="false" ht="15" hidden="false" customHeight="false" outlineLevel="0" collapsed="false">
      <c r="A33" s="8" t="s">
        <v>23</v>
      </c>
      <c r="B33" s="8" t="s">
        <v>268</v>
      </c>
      <c r="C33" s="26" t="n">
        <v>6817</v>
      </c>
      <c r="D33" s="26" t="n">
        <v>3530</v>
      </c>
      <c r="E33" s="39" t="n">
        <v>-2148.016</v>
      </c>
      <c r="F33" s="29" t="n">
        <f aca="false">IF(D33=0,"",E33/D33)</f>
        <v>-0.608503116147309</v>
      </c>
      <c r="G33" s="26" t="n">
        <v>3287</v>
      </c>
      <c r="H33" s="39" t="n">
        <v>-686.856</v>
      </c>
      <c r="I33" s="29" t="n">
        <f aca="false">IF(G33=0,"",H33/G33)</f>
        <v>-0.208961362944935</v>
      </c>
      <c r="J33" s="26" t="n">
        <v>0</v>
      </c>
      <c r="K33" s="43" t="n">
        <v>0.3191</v>
      </c>
      <c r="L33" s="43" t="n">
        <v>0.5913</v>
      </c>
      <c r="M33" s="43" t="n">
        <v>0.4748</v>
      </c>
      <c r="N33" s="43" t="n">
        <v>0.384</v>
      </c>
      <c r="O33" s="43" t="n">
        <v>0.3191</v>
      </c>
      <c r="P33" s="26" t="n">
        <v>7</v>
      </c>
      <c r="Q33" s="26" t="n">
        <v>19</v>
      </c>
    </row>
    <row r="34" customFormat="false" ht="15" hidden="false" customHeight="false" outlineLevel="0" collapsed="false">
      <c r="A34" s="8" t="s">
        <v>23</v>
      </c>
      <c r="B34" s="8" t="s">
        <v>269</v>
      </c>
      <c r="C34" s="26" t="n">
        <v>3067</v>
      </c>
      <c r="D34" s="26" t="n">
        <v>1529</v>
      </c>
      <c r="E34" s="39" t="n">
        <v>-933.906</v>
      </c>
      <c r="F34" s="29" t="n">
        <f aca="false">IF(D34=0,"",E34/D34)</f>
        <v>-0.610795291039895</v>
      </c>
      <c r="G34" s="26" t="n">
        <v>1538</v>
      </c>
      <c r="H34" s="39" t="n">
        <v>-323.124</v>
      </c>
      <c r="I34" s="29" t="n">
        <f aca="false">IF(G34=0,"",H34/G34)</f>
        <v>-0.210093628088427</v>
      </c>
      <c r="J34" s="26" t="n">
        <v>0</v>
      </c>
      <c r="K34" s="43" t="n">
        <v>0.3277</v>
      </c>
      <c r="L34" s="43" t="n">
        <v>0.5921</v>
      </c>
      <c r="M34" s="43" t="n">
        <v>0.4819</v>
      </c>
      <c r="N34" s="43" t="n">
        <v>0.3893</v>
      </c>
      <c r="O34" s="43" t="n">
        <v>0.3277</v>
      </c>
      <c r="P34" s="26" t="n">
        <v>6</v>
      </c>
      <c r="Q34" s="26" t="n">
        <v>16</v>
      </c>
    </row>
    <row r="35" customFormat="false" ht="15" hidden="false" customHeight="false" outlineLevel="0" collapsed="false">
      <c r="A35" s="8" t="s">
        <v>23</v>
      </c>
      <c r="B35" s="8" t="s">
        <v>270</v>
      </c>
      <c r="C35" s="26" t="n">
        <v>7425</v>
      </c>
      <c r="D35" s="26" t="n">
        <v>3865</v>
      </c>
      <c r="E35" s="39" t="n">
        <v>-2392.908</v>
      </c>
      <c r="F35" s="29" t="n">
        <f aca="false">IF(D35=0,"",E35/D35)</f>
        <v>-0.619122380336352</v>
      </c>
      <c r="G35" s="26" t="n">
        <v>3560</v>
      </c>
      <c r="H35" s="39" t="n">
        <v>-751.071</v>
      </c>
      <c r="I35" s="29" t="n">
        <f aca="false">IF(G35=0,"",H35/G35)</f>
        <v>-0.210975</v>
      </c>
      <c r="J35" s="26" t="n">
        <v>0</v>
      </c>
      <c r="K35" s="43" t="n">
        <v>0.3197</v>
      </c>
      <c r="L35" s="43" t="n">
        <v>0.5867</v>
      </c>
      <c r="M35" s="43" t="n">
        <v>0.4733</v>
      </c>
      <c r="N35" s="43" t="n">
        <v>0.3822</v>
      </c>
      <c r="O35" s="43" t="n">
        <v>0.3197</v>
      </c>
      <c r="P35" s="26" t="n">
        <v>8</v>
      </c>
      <c r="Q35" s="26" t="n">
        <v>25</v>
      </c>
    </row>
    <row r="36" customFormat="false" ht="15" hidden="false" customHeight="false" outlineLevel="0" collapsed="false">
      <c r="A36" s="8" t="s">
        <v>23</v>
      </c>
      <c r="B36" s="8" t="s">
        <v>271</v>
      </c>
      <c r="C36" s="26" t="n">
        <v>4743</v>
      </c>
      <c r="D36" s="26" t="n">
        <v>2483</v>
      </c>
      <c r="E36" s="39" t="n">
        <v>-1539.447</v>
      </c>
      <c r="F36" s="29" t="n">
        <f aca="false">IF(D36=0,"",E36/D36)</f>
        <v>-0.619994764397906</v>
      </c>
      <c r="G36" s="26" t="n">
        <v>2260</v>
      </c>
      <c r="H36" s="39" t="n">
        <v>-444.313</v>
      </c>
      <c r="I36" s="29" t="n">
        <f aca="false">IF(G36=0,"",H36/G36)</f>
        <v>-0.196598672566372</v>
      </c>
      <c r="J36" s="26" t="n">
        <v>0</v>
      </c>
      <c r="K36" s="43" t="n">
        <v>0.3182</v>
      </c>
      <c r="L36" s="43" t="n">
        <v>0.5798</v>
      </c>
      <c r="M36" s="43" t="n">
        <v>0.4659</v>
      </c>
      <c r="N36" s="43" t="n">
        <v>0.3757</v>
      </c>
      <c r="O36" s="43" t="n">
        <v>0.3182</v>
      </c>
      <c r="P36" s="26" t="n">
        <v>10</v>
      </c>
      <c r="Q36" s="26" t="n">
        <v>21</v>
      </c>
    </row>
    <row r="37" customFormat="false" ht="15" hidden="false" customHeight="false" outlineLevel="0" collapsed="false">
      <c r="A37" s="8" t="s">
        <v>23</v>
      </c>
      <c r="B37" s="8" t="s">
        <v>272</v>
      </c>
      <c r="C37" s="26" t="n">
        <v>7425</v>
      </c>
      <c r="D37" s="26" t="n">
        <v>3865</v>
      </c>
      <c r="E37" s="39" t="n">
        <v>-2397.573</v>
      </c>
      <c r="F37" s="29" t="n">
        <f aca="false">IF(D37=0,"",E37/D37)</f>
        <v>-0.62032936610608</v>
      </c>
      <c r="G37" s="26" t="n">
        <v>3560</v>
      </c>
      <c r="H37" s="39" t="n">
        <v>-821.214</v>
      </c>
      <c r="I37" s="29" t="n">
        <f aca="false">IF(G37=0,"",H37/G37)</f>
        <v>-0.23067808988764</v>
      </c>
      <c r="J37" s="26" t="n">
        <v>0</v>
      </c>
      <c r="K37" s="43" t="n">
        <v>0.316</v>
      </c>
      <c r="L37" s="43" t="n">
        <v>0.584</v>
      </c>
      <c r="M37" s="43" t="n">
        <v>0.4723</v>
      </c>
      <c r="N37" s="43" t="n">
        <v>0.3806</v>
      </c>
      <c r="O37" s="43" t="n">
        <v>0.316</v>
      </c>
      <c r="P37" s="26" t="n">
        <v>6</v>
      </c>
      <c r="Q37" s="26" t="n">
        <v>35</v>
      </c>
    </row>
    <row r="38" customFormat="false" ht="15" hidden="false" customHeight="false" outlineLevel="0" collapsed="false">
      <c r="A38" s="8" t="s">
        <v>23</v>
      </c>
      <c r="B38" s="8" t="s">
        <v>273</v>
      </c>
      <c r="C38" s="26" t="n">
        <v>7425</v>
      </c>
      <c r="D38" s="26" t="n">
        <v>3865</v>
      </c>
      <c r="E38" s="39" t="n">
        <v>-2461.891</v>
      </c>
      <c r="F38" s="29" t="n">
        <f aca="false">IF(D38=0,"",E38/D38)</f>
        <v>-0.636970504527814</v>
      </c>
      <c r="G38" s="26" t="n">
        <v>3560</v>
      </c>
      <c r="H38" s="39" t="n">
        <v>-678.889</v>
      </c>
      <c r="I38" s="29" t="n">
        <f aca="false">IF(G38=0,"",H38/G38)</f>
        <v>-0.190699157303371</v>
      </c>
      <c r="J38" s="26" t="n">
        <v>0</v>
      </c>
      <c r="K38" s="43" t="n">
        <v>0.3227</v>
      </c>
      <c r="L38" s="43" t="n">
        <v>0.5903</v>
      </c>
      <c r="M38" s="43" t="n">
        <v>0.4789</v>
      </c>
      <c r="N38" s="43" t="n">
        <v>0.3863</v>
      </c>
      <c r="O38" s="43" t="n">
        <v>0.3227</v>
      </c>
      <c r="P38" s="26" t="n">
        <v>7</v>
      </c>
      <c r="Q38" s="26" t="n">
        <v>19</v>
      </c>
    </row>
    <row r="39" customFormat="false" ht="15" hidden="false" customHeight="false" outlineLevel="0" collapsed="false">
      <c r="A39" s="8" t="s">
        <v>23</v>
      </c>
      <c r="B39" s="8" t="s">
        <v>274</v>
      </c>
      <c r="C39" s="26" t="n">
        <v>7425</v>
      </c>
      <c r="D39" s="26" t="n">
        <v>3865</v>
      </c>
      <c r="E39" s="39" t="n">
        <v>-2469.109</v>
      </c>
      <c r="F39" s="29" t="n">
        <f aca="false">IF(D39=0,"",E39/D39)</f>
        <v>-0.638838033635188</v>
      </c>
      <c r="G39" s="26" t="n">
        <v>3560</v>
      </c>
      <c r="H39" s="39" t="n">
        <v>-685.38</v>
      </c>
      <c r="I39" s="29" t="n">
        <f aca="false">IF(G39=0,"",H39/G39)</f>
        <v>-0.192522471910112</v>
      </c>
      <c r="J39" s="26" t="n">
        <v>0</v>
      </c>
      <c r="K39" s="43" t="n">
        <v>0.3173</v>
      </c>
      <c r="L39" s="43" t="n">
        <v>0.5879</v>
      </c>
      <c r="M39" s="43" t="n">
        <v>0.4703</v>
      </c>
      <c r="N39" s="43" t="n">
        <v>0.3799</v>
      </c>
      <c r="O39" s="43" t="n">
        <v>0.3173</v>
      </c>
      <c r="P39" s="26" t="n">
        <v>7</v>
      </c>
      <c r="Q39" s="26" t="n">
        <v>26</v>
      </c>
    </row>
    <row r="40" customFormat="false" ht="15" hidden="false" customHeight="false" outlineLevel="0" collapsed="false">
      <c r="A40" s="8" t="s">
        <v>23</v>
      </c>
      <c r="B40" s="8" t="s">
        <v>275</v>
      </c>
      <c r="C40" s="26" t="n">
        <v>7425</v>
      </c>
      <c r="D40" s="26" t="n">
        <v>3865</v>
      </c>
      <c r="E40" s="39" t="n">
        <v>-2469.753</v>
      </c>
      <c r="F40" s="29" t="n">
        <f aca="false">IF(D40=0,"",E40/D40)</f>
        <v>-0.639004657179819</v>
      </c>
      <c r="G40" s="26" t="n">
        <v>3560</v>
      </c>
      <c r="H40" s="39" t="n">
        <v>-684.386</v>
      </c>
      <c r="I40" s="29" t="n">
        <f aca="false">IF(G40=0,"",H40/G40)</f>
        <v>-0.192243258426966</v>
      </c>
      <c r="J40" s="26" t="n">
        <v>0</v>
      </c>
      <c r="K40" s="43" t="n">
        <v>0.3185</v>
      </c>
      <c r="L40" s="43" t="n">
        <v>0.5815</v>
      </c>
      <c r="M40" s="43" t="n">
        <v>0.4715</v>
      </c>
      <c r="N40" s="43" t="n">
        <v>0.3829</v>
      </c>
      <c r="O40" s="43" t="n">
        <v>0.3185</v>
      </c>
      <c r="P40" s="26" t="n">
        <v>7</v>
      </c>
      <c r="Q40" s="26" t="n">
        <v>36</v>
      </c>
    </row>
    <row r="41" customFormat="false" ht="15" hidden="false" customHeight="false" outlineLevel="0" collapsed="false">
      <c r="A41" s="8" t="s">
        <v>23</v>
      </c>
      <c r="B41" s="8" t="s">
        <v>276</v>
      </c>
      <c r="C41" s="26" t="n">
        <v>7425</v>
      </c>
      <c r="D41" s="26" t="n">
        <v>3865</v>
      </c>
      <c r="E41" s="39" t="n">
        <v>-2475.648</v>
      </c>
      <c r="F41" s="29" t="n">
        <f aca="false">IF(D41=0,"",E41/D41)</f>
        <v>-0.640529883570505</v>
      </c>
      <c r="G41" s="26" t="n">
        <v>3560</v>
      </c>
      <c r="H41" s="39" t="n">
        <v>-685.355</v>
      </c>
      <c r="I41" s="29" t="n">
        <f aca="false">IF(G41=0,"",H41/G41)</f>
        <v>-0.192515449438202</v>
      </c>
      <c r="J41" s="26" t="n">
        <v>0</v>
      </c>
      <c r="K41" s="43" t="n">
        <v>0.3166</v>
      </c>
      <c r="L41" s="43" t="n">
        <v>0.5879</v>
      </c>
      <c r="M41" s="43" t="n">
        <v>0.4703</v>
      </c>
      <c r="N41" s="43" t="n">
        <v>0.3791</v>
      </c>
      <c r="O41" s="43" t="n">
        <v>0.3166</v>
      </c>
      <c r="P41" s="26" t="n">
        <v>7</v>
      </c>
      <c r="Q41" s="26" t="n">
        <v>26</v>
      </c>
    </row>
    <row r="42" customFormat="false" ht="15" hidden="false" customHeight="false" outlineLevel="0" collapsed="false">
      <c r="A42" s="8" t="s">
        <v>23</v>
      </c>
      <c r="B42" s="8" t="s">
        <v>277</v>
      </c>
      <c r="C42" s="26" t="n">
        <v>6795</v>
      </c>
      <c r="D42" s="26" t="n">
        <v>3543</v>
      </c>
      <c r="E42" s="39" t="n">
        <v>-2274.833</v>
      </c>
      <c r="F42" s="29" t="n">
        <f aca="false">IF(D42=0,"",E42/D42)</f>
        <v>-0.642064069997178</v>
      </c>
      <c r="G42" s="26" t="n">
        <v>3252</v>
      </c>
      <c r="H42" s="39" t="n">
        <v>-631.506</v>
      </c>
      <c r="I42" s="29" t="n">
        <f aca="false">IF(G42=0,"",H42/G42)</f>
        <v>-0.194190036900369</v>
      </c>
      <c r="J42" s="26" t="n">
        <v>0</v>
      </c>
      <c r="K42" s="43" t="n">
        <v>0.3192</v>
      </c>
      <c r="L42" s="43" t="n">
        <v>0.5801</v>
      </c>
      <c r="M42" s="43" t="n">
        <v>0.4712</v>
      </c>
      <c r="N42" s="43" t="n">
        <v>0.38</v>
      </c>
      <c r="O42" s="43" t="n">
        <v>0.3192</v>
      </c>
      <c r="P42" s="26" t="n">
        <v>8</v>
      </c>
      <c r="Q42" s="26" t="n">
        <v>22</v>
      </c>
    </row>
    <row r="43" customFormat="false" ht="15" hidden="false" customHeight="false" outlineLevel="0" collapsed="false">
      <c r="A43" s="8" t="s">
        <v>23</v>
      </c>
      <c r="B43" s="8" t="s">
        <v>278</v>
      </c>
      <c r="C43" s="26" t="n">
        <v>6819</v>
      </c>
      <c r="D43" s="26" t="n">
        <v>3543</v>
      </c>
      <c r="E43" s="39" t="n">
        <v>-2274.84</v>
      </c>
      <c r="F43" s="29" t="n">
        <f aca="false">IF(D43=0,"",E43/D43)</f>
        <v>-0.642066045723963</v>
      </c>
      <c r="G43" s="26" t="n">
        <v>3276</v>
      </c>
      <c r="H43" s="39" t="n">
        <v>-697.35</v>
      </c>
      <c r="I43" s="29" t="n">
        <f aca="false">IF(G43=0,"",H43/G43)</f>
        <v>-0.2128663003663</v>
      </c>
      <c r="J43" s="26" t="n">
        <v>0</v>
      </c>
      <c r="K43" s="43" t="n">
        <v>0.3151</v>
      </c>
      <c r="L43" s="43" t="n">
        <v>0.5816</v>
      </c>
      <c r="M43" s="43" t="n">
        <v>0.4675</v>
      </c>
      <c r="N43" s="43" t="n">
        <v>0.3803</v>
      </c>
      <c r="O43" s="43" t="n">
        <v>0.3151</v>
      </c>
      <c r="P43" s="26" t="n">
        <v>6</v>
      </c>
      <c r="Q43" s="26" t="n">
        <v>20</v>
      </c>
    </row>
    <row r="44" customFormat="false" ht="15" hidden="false" customHeight="false" outlineLevel="0" collapsed="false">
      <c r="A44" s="8" t="s">
        <v>23</v>
      </c>
      <c r="B44" s="8" t="s">
        <v>279</v>
      </c>
      <c r="C44" s="26" t="n">
        <v>7425</v>
      </c>
      <c r="D44" s="26" t="n">
        <v>3865</v>
      </c>
      <c r="E44" s="39" t="n">
        <v>-2487.149</v>
      </c>
      <c r="F44" s="29" t="n">
        <f aca="false">IF(D44=0,"",E44/D44)</f>
        <v>-0.643505562742561</v>
      </c>
      <c r="G44" s="26" t="n">
        <v>3560</v>
      </c>
      <c r="H44" s="39" t="n">
        <v>-830.283</v>
      </c>
      <c r="I44" s="29" t="n">
        <f aca="false">IF(G44=0,"",H44/G44)</f>
        <v>-0.233225561797753</v>
      </c>
      <c r="J44" s="26" t="n">
        <v>0</v>
      </c>
      <c r="K44" s="43" t="n">
        <v>0.3149</v>
      </c>
      <c r="L44" s="43" t="n">
        <v>0.5861</v>
      </c>
      <c r="M44" s="43" t="n">
        <v>0.4712</v>
      </c>
      <c r="N44" s="43" t="n">
        <v>0.3787</v>
      </c>
      <c r="O44" s="43" t="n">
        <v>0.3149</v>
      </c>
      <c r="P44" s="26" t="n">
        <v>6</v>
      </c>
      <c r="Q44" s="26" t="n">
        <v>28</v>
      </c>
    </row>
    <row r="45" customFormat="false" ht="15" hidden="false" customHeight="false" outlineLevel="0" collapsed="false">
      <c r="A45" s="8" t="s">
        <v>23</v>
      </c>
      <c r="B45" s="8" t="s">
        <v>280</v>
      </c>
      <c r="C45" s="26" t="n">
        <v>6336</v>
      </c>
      <c r="D45" s="26" t="n">
        <v>3315</v>
      </c>
      <c r="E45" s="39" t="n">
        <v>-2139.697</v>
      </c>
      <c r="F45" s="29" t="n">
        <f aca="false">IF(D45=0,"",E45/D45)</f>
        <v>-0.645459125188537</v>
      </c>
      <c r="G45" s="26" t="n">
        <v>3021</v>
      </c>
      <c r="H45" s="39" t="n">
        <v>-631.079</v>
      </c>
      <c r="I45" s="29" t="n">
        <f aca="false">IF(G45=0,"",H45/G45)</f>
        <v>-0.208897384971864</v>
      </c>
      <c r="J45" s="26" t="n">
        <v>0</v>
      </c>
      <c r="K45" s="43" t="n">
        <v>0.3174</v>
      </c>
      <c r="L45" s="43" t="n">
        <v>0.5833</v>
      </c>
      <c r="M45" s="43" t="n">
        <v>0.4702</v>
      </c>
      <c r="N45" s="43" t="n">
        <v>0.3793</v>
      </c>
      <c r="O45" s="43" t="n">
        <v>0.3174</v>
      </c>
      <c r="P45" s="26" t="n">
        <v>7</v>
      </c>
      <c r="Q45" s="26" t="n">
        <v>20</v>
      </c>
    </row>
    <row r="46" customFormat="false" ht="15" hidden="false" customHeight="false" outlineLevel="0" collapsed="false">
      <c r="A46" s="8" t="s">
        <v>23</v>
      </c>
      <c r="B46" s="8" t="s">
        <v>281</v>
      </c>
      <c r="C46" s="26" t="n">
        <v>7425</v>
      </c>
      <c r="D46" s="26" t="n">
        <v>3865</v>
      </c>
      <c r="E46" s="39" t="n">
        <v>-2506.336</v>
      </c>
      <c r="F46" s="29" t="n">
        <f aca="false">IF(D46=0,"",E46/D46)</f>
        <v>-0.648469857697283</v>
      </c>
      <c r="G46" s="26" t="n">
        <v>3560</v>
      </c>
      <c r="H46" s="39" t="n">
        <v>-804.808</v>
      </c>
      <c r="I46" s="29" t="n">
        <f aca="false">IF(G46=0,"",H46/G46)</f>
        <v>-0.226069662921348</v>
      </c>
      <c r="J46" s="26" t="n">
        <v>0</v>
      </c>
      <c r="K46" s="43" t="n">
        <v>0.3114</v>
      </c>
      <c r="L46" s="43" t="n">
        <v>0.579</v>
      </c>
      <c r="M46" s="43" t="n">
        <v>0.4633</v>
      </c>
      <c r="N46" s="43" t="n">
        <v>0.3719</v>
      </c>
      <c r="O46" s="43" t="n">
        <v>0.3114</v>
      </c>
      <c r="P46" s="26" t="n">
        <v>7</v>
      </c>
      <c r="Q46" s="26" t="n">
        <v>21</v>
      </c>
    </row>
    <row r="47" customFormat="false" ht="15" hidden="false" customHeight="false" outlineLevel="0" collapsed="false">
      <c r="A47" s="8" t="s">
        <v>23</v>
      </c>
      <c r="B47" s="8" t="s">
        <v>282</v>
      </c>
      <c r="C47" s="26" t="n">
        <v>4711</v>
      </c>
      <c r="D47" s="26" t="n">
        <v>2431</v>
      </c>
      <c r="E47" s="39" t="n">
        <v>-1579.542</v>
      </c>
      <c r="F47" s="29" t="n">
        <f aca="false">IF(D47=0,"",E47/D47)</f>
        <v>-0.649749897161662</v>
      </c>
      <c r="G47" s="26" t="n">
        <v>2280</v>
      </c>
      <c r="H47" s="39" t="n">
        <v>-449.683</v>
      </c>
      <c r="I47" s="29" t="n">
        <f aca="false">IF(G47=0,"",H47/G47)</f>
        <v>-0.197229385964912</v>
      </c>
      <c r="J47" s="26" t="n">
        <v>0</v>
      </c>
      <c r="K47" s="43" t="n">
        <v>0.3239</v>
      </c>
      <c r="L47" s="43" t="n">
        <v>0.5857</v>
      </c>
      <c r="M47" s="43" t="n">
        <v>0.4763</v>
      </c>
      <c r="N47" s="43" t="n">
        <v>0.3855</v>
      </c>
      <c r="O47" s="43" t="n">
        <v>0.3239</v>
      </c>
      <c r="P47" s="26" t="n">
        <v>6</v>
      </c>
      <c r="Q47" s="26" t="n">
        <v>20</v>
      </c>
    </row>
    <row r="48" customFormat="false" ht="15" hidden="false" customHeight="false" outlineLevel="0" collapsed="false">
      <c r="A48" s="8" t="s">
        <v>23</v>
      </c>
      <c r="B48" s="8" t="s">
        <v>283</v>
      </c>
      <c r="C48" s="26" t="n">
        <v>7425</v>
      </c>
      <c r="D48" s="26" t="n">
        <v>3865</v>
      </c>
      <c r="E48" s="39" t="n">
        <v>-2511.986</v>
      </c>
      <c r="F48" s="29" t="n">
        <f aca="false">IF(D48=0,"",E48/D48)</f>
        <v>-0.64993169469599</v>
      </c>
      <c r="G48" s="26" t="n">
        <v>3560</v>
      </c>
      <c r="H48" s="39" t="n">
        <v>-734.628</v>
      </c>
      <c r="I48" s="29" t="n">
        <f aca="false">IF(G48=0,"",H48/G48)</f>
        <v>-0.206356179775281</v>
      </c>
      <c r="J48" s="26" t="n">
        <v>0</v>
      </c>
      <c r="K48" s="43" t="n">
        <v>0.3177</v>
      </c>
      <c r="L48" s="43" t="n">
        <v>0.5846</v>
      </c>
      <c r="M48" s="43" t="n">
        <v>0.4745</v>
      </c>
      <c r="N48" s="43" t="n">
        <v>0.3825</v>
      </c>
      <c r="O48" s="43" t="n">
        <v>0.3177</v>
      </c>
      <c r="P48" s="26" t="n">
        <v>6</v>
      </c>
      <c r="Q48" s="26" t="n">
        <v>28</v>
      </c>
    </row>
    <row r="49" customFormat="false" ht="15" hidden="false" customHeight="false" outlineLevel="0" collapsed="false">
      <c r="A49" s="8" t="s">
        <v>23</v>
      </c>
      <c r="B49" s="8" t="s">
        <v>284</v>
      </c>
      <c r="C49" s="26" t="n">
        <v>7425</v>
      </c>
      <c r="D49" s="26" t="n">
        <v>3865</v>
      </c>
      <c r="E49" s="39" t="n">
        <v>-2512.52</v>
      </c>
      <c r="F49" s="29" t="n">
        <f aca="false">IF(D49=0,"",E49/D49)</f>
        <v>-0.650069857697283</v>
      </c>
      <c r="G49" s="26" t="n">
        <v>3560</v>
      </c>
      <c r="H49" s="39" t="n">
        <v>-697.148</v>
      </c>
      <c r="I49" s="29" t="n">
        <f aca="false">IF(G49=0,"",H49/G49)</f>
        <v>-0.19582808988764</v>
      </c>
      <c r="J49" s="26" t="n">
        <v>0</v>
      </c>
      <c r="K49" s="43" t="n">
        <v>0.3173</v>
      </c>
      <c r="L49" s="43" t="n">
        <v>0.5867</v>
      </c>
      <c r="M49" s="43" t="n">
        <v>0.4698</v>
      </c>
      <c r="N49" s="43" t="n">
        <v>0.3794</v>
      </c>
      <c r="O49" s="43" t="n">
        <v>0.3173</v>
      </c>
      <c r="P49" s="26" t="n">
        <v>7</v>
      </c>
      <c r="Q49" s="26" t="n">
        <v>20</v>
      </c>
    </row>
    <row r="50" customFormat="false" ht="15" hidden="false" customHeight="false" outlineLevel="0" collapsed="false">
      <c r="A50" s="8" t="s">
        <v>23</v>
      </c>
      <c r="B50" s="8" t="s">
        <v>285</v>
      </c>
      <c r="C50" s="26" t="n">
        <v>7425</v>
      </c>
      <c r="D50" s="26" t="n">
        <v>3865</v>
      </c>
      <c r="E50" s="39" t="n">
        <v>-2513.711</v>
      </c>
      <c r="F50" s="29" t="n">
        <f aca="false">IF(D50=0,"",E50/D50)</f>
        <v>-0.650378007761966</v>
      </c>
      <c r="G50" s="26" t="n">
        <v>3560</v>
      </c>
      <c r="H50" s="39" t="n">
        <v>-723.2</v>
      </c>
      <c r="I50" s="29" t="n">
        <f aca="false">IF(G50=0,"",H50/G50)</f>
        <v>-0.20314606741573</v>
      </c>
      <c r="J50" s="26" t="n">
        <v>0</v>
      </c>
      <c r="K50" s="43" t="n">
        <v>0.3086</v>
      </c>
      <c r="L50" s="43" t="n">
        <v>0.586</v>
      </c>
      <c r="M50" s="43" t="n">
        <v>0.4699</v>
      </c>
      <c r="N50" s="43" t="n">
        <v>0.3741</v>
      </c>
      <c r="O50" s="43" t="n">
        <v>0.3086</v>
      </c>
      <c r="P50" s="26" t="n">
        <v>7</v>
      </c>
      <c r="Q50" s="26" t="n">
        <v>19</v>
      </c>
    </row>
    <row r="51" customFormat="false" ht="15" hidden="false" customHeight="false" outlineLevel="0" collapsed="false">
      <c r="A51" s="8" t="s">
        <v>23</v>
      </c>
      <c r="B51" s="8" t="s">
        <v>286</v>
      </c>
      <c r="C51" s="26" t="n">
        <v>7425</v>
      </c>
      <c r="D51" s="26" t="n">
        <v>3865</v>
      </c>
      <c r="E51" s="39" t="n">
        <v>-2519.834</v>
      </c>
      <c r="F51" s="29" t="n">
        <f aca="false">IF(D51=0,"",E51/D51)</f>
        <v>-0.651962225097025</v>
      </c>
      <c r="G51" s="26" t="n">
        <v>3560</v>
      </c>
      <c r="H51" s="39" t="n">
        <v>-755.285</v>
      </c>
      <c r="I51" s="29" t="n">
        <f aca="false">IF(G51=0,"",H51/G51)</f>
        <v>-0.212158707865169</v>
      </c>
      <c r="J51" s="26" t="n">
        <v>0</v>
      </c>
      <c r="K51" s="43" t="n">
        <v>0.3125</v>
      </c>
      <c r="L51" s="43" t="n">
        <v>0.5798</v>
      </c>
      <c r="M51" s="43" t="n">
        <v>0.4676</v>
      </c>
      <c r="N51" s="43" t="n">
        <v>0.376</v>
      </c>
      <c r="O51" s="43" t="n">
        <v>0.3125</v>
      </c>
      <c r="P51" s="26" t="n">
        <v>9</v>
      </c>
      <c r="Q51" s="26" t="n">
        <v>29</v>
      </c>
    </row>
    <row r="52" customFormat="false" ht="15" hidden="false" customHeight="false" outlineLevel="0" collapsed="false">
      <c r="A52" s="8" t="s">
        <v>23</v>
      </c>
      <c r="B52" s="8" t="s">
        <v>287</v>
      </c>
      <c r="C52" s="26" t="n">
        <v>7425</v>
      </c>
      <c r="D52" s="26" t="n">
        <v>3865</v>
      </c>
      <c r="E52" s="39" t="n">
        <v>-2526.289</v>
      </c>
      <c r="F52" s="29" t="n">
        <f aca="false">IF(D52=0,"",E52/D52)</f>
        <v>-0.65363234152652</v>
      </c>
      <c r="G52" s="26" t="n">
        <v>3560</v>
      </c>
      <c r="H52" s="39" t="n">
        <v>-735.871</v>
      </c>
      <c r="I52" s="29" t="n">
        <f aca="false">IF(G52=0,"",H52/G52)</f>
        <v>-0.206705337078652</v>
      </c>
      <c r="J52" s="26" t="n">
        <v>0</v>
      </c>
      <c r="K52" s="43" t="n">
        <v>0.3189</v>
      </c>
      <c r="L52" s="43" t="n">
        <v>0.5801</v>
      </c>
      <c r="M52" s="43" t="n">
        <v>0.4733</v>
      </c>
      <c r="N52" s="43" t="n">
        <v>0.382</v>
      </c>
      <c r="O52" s="43" t="n">
        <v>0.3189</v>
      </c>
      <c r="P52" s="26" t="n">
        <v>10</v>
      </c>
      <c r="Q52" s="26" t="n">
        <v>23</v>
      </c>
    </row>
    <row r="53" customFormat="false" ht="15" hidden="false" customHeight="false" outlineLevel="0" collapsed="false">
      <c r="A53" s="8" t="s">
        <v>23</v>
      </c>
      <c r="B53" s="8" t="s">
        <v>288</v>
      </c>
      <c r="C53" s="26" t="n">
        <v>7425</v>
      </c>
      <c r="D53" s="26" t="n">
        <v>3865</v>
      </c>
      <c r="E53" s="39" t="n">
        <v>-2530.855</v>
      </c>
      <c r="F53" s="29" t="n">
        <f aca="false">IF(D53=0,"",E53/D53)</f>
        <v>-0.654813712807245</v>
      </c>
      <c r="G53" s="26" t="n">
        <v>3560</v>
      </c>
      <c r="H53" s="39" t="n">
        <v>-768.222</v>
      </c>
      <c r="I53" s="29" t="n">
        <f aca="false">IF(G53=0,"",H53/G53)</f>
        <v>-0.215792696629213</v>
      </c>
      <c r="J53" s="26" t="n">
        <v>0</v>
      </c>
      <c r="K53" s="43" t="n">
        <v>0.2727</v>
      </c>
      <c r="L53" s="43" t="n">
        <v>0.5856</v>
      </c>
      <c r="M53" s="43" t="n">
        <v>0.4731</v>
      </c>
      <c r="N53" s="43" t="n">
        <v>0.3807</v>
      </c>
      <c r="O53" s="43" t="n">
        <v>0.2727</v>
      </c>
      <c r="P53" s="26" t="n">
        <v>7</v>
      </c>
      <c r="Q53" s="26" t="n">
        <v>27</v>
      </c>
    </row>
    <row r="54" customFormat="false" ht="15" hidden="false" customHeight="false" outlineLevel="0" collapsed="false">
      <c r="A54" s="8" t="s">
        <v>23</v>
      </c>
      <c r="B54" s="8" t="s">
        <v>289</v>
      </c>
      <c r="C54" s="26" t="n">
        <v>6840</v>
      </c>
      <c r="D54" s="26" t="n">
        <v>3549</v>
      </c>
      <c r="E54" s="39" t="n">
        <v>-2333.376</v>
      </c>
      <c r="F54" s="29" t="n">
        <f aca="false">IF(D54=0,"",E54/D54)</f>
        <v>-0.657474218089603</v>
      </c>
      <c r="G54" s="26" t="n">
        <v>3291</v>
      </c>
      <c r="H54" s="39" t="n">
        <v>-635.945</v>
      </c>
      <c r="I54" s="29" t="n">
        <f aca="false">IF(G54=0,"",H54/G54)</f>
        <v>-0.193237617745366</v>
      </c>
      <c r="J54" s="26" t="n">
        <v>0</v>
      </c>
      <c r="K54" s="43" t="n">
        <v>0.3199</v>
      </c>
      <c r="L54" s="43" t="n">
        <v>0.5858</v>
      </c>
      <c r="M54" s="43" t="n">
        <v>0.476</v>
      </c>
      <c r="N54" s="43" t="n">
        <v>0.3854</v>
      </c>
      <c r="O54" s="43" t="n">
        <v>0.3199</v>
      </c>
      <c r="P54" s="26" t="n">
        <v>7</v>
      </c>
      <c r="Q54" s="26" t="n">
        <v>21</v>
      </c>
    </row>
    <row r="55" customFormat="false" ht="15" hidden="false" customHeight="false" outlineLevel="0" collapsed="false">
      <c r="A55" s="8" t="s">
        <v>23</v>
      </c>
      <c r="B55" s="8" t="s">
        <v>290</v>
      </c>
      <c r="C55" s="26" t="n">
        <v>7425</v>
      </c>
      <c r="D55" s="26" t="n">
        <v>3865</v>
      </c>
      <c r="E55" s="39" t="n">
        <v>-2550.573</v>
      </c>
      <c r="F55" s="29" t="n">
        <f aca="false">IF(D55=0,"",E55/D55)</f>
        <v>-0.659915394566624</v>
      </c>
      <c r="G55" s="26" t="n">
        <v>3560</v>
      </c>
      <c r="H55" s="39" t="n">
        <v>-763.544</v>
      </c>
      <c r="I55" s="29" t="n">
        <f aca="false">IF(G55=0,"",H55/G55)</f>
        <v>-0.214478651685393</v>
      </c>
      <c r="J55" s="26" t="n">
        <v>0</v>
      </c>
      <c r="K55" s="43" t="n">
        <v>0.3174</v>
      </c>
      <c r="L55" s="43" t="n">
        <v>0.5891</v>
      </c>
      <c r="M55" s="43" t="n">
        <v>0.4749</v>
      </c>
      <c r="N55" s="43" t="n">
        <v>0.3801</v>
      </c>
      <c r="O55" s="43" t="n">
        <v>0.3174</v>
      </c>
      <c r="P55" s="26" t="n">
        <v>8</v>
      </c>
      <c r="Q55" s="26" t="n">
        <v>26</v>
      </c>
    </row>
    <row r="56" customFormat="false" ht="15" hidden="false" customHeight="false" outlineLevel="0" collapsed="false">
      <c r="A56" s="8" t="s">
        <v>23</v>
      </c>
      <c r="B56" s="8" t="s">
        <v>291</v>
      </c>
      <c r="C56" s="26" t="n">
        <v>5952</v>
      </c>
      <c r="D56" s="26" t="n">
        <v>3098</v>
      </c>
      <c r="E56" s="39" t="n">
        <v>-2044.706</v>
      </c>
      <c r="F56" s="29" t="n">
        <f aca="false">IF(D56=0,"",E56/D56)</f>
        <v>-0.660008392511298</v>
      </c>
      <c r="G56" s="26" t="n">
        <v>2854</v>
      </c>
      <c r="H56" s="39" t="n">
        <v>-583.977</v>
      </c>
      <c r="I56" s="29" t="n">
        <f aca="false">IF(G56=0,"",H56/G56)</f>
        <v>-0.204617028731605</v>
      </c>
      <c r="J56" s="26" t="n">
        <v>0</v>
      </c>
      <c r="K56" s="43" t="n">
        <v>0.3207</v>
      </c>
      <c r="L56" s="43" t="n">
        <v>0.5864</v>
      </c>
      <c r="M56" s="43" t="n">
        <v>0.4736</v>
      </c>
      <c r="N56" s="43" t="n">
        <v>0.3829</v>
      </c>
      <c r="O56" s="43" t="n">
        <v>0.3207</v>
      </c>
      <c r="P56" s="26" t="n">
        <v>8</v>
      </c>
      <c r="Q56" s="26" t="n">
        <v>22</v>
      </c>
    </row>
    <row r="57" customFormat="false" ht="15" hidden="false" customHeight="false" outlineLevel="0" collapsed="false">
      <c r="A57" s="8" t="s">
        <v>23</v>
      </c>
      <c r="B57" s="8" t="s">
        <v>292</v>
      </c>
      <c r="C57" s="26" t="n">
        <v>7425</v>
      </c>
      <c r="D57" s="26" t="n">
        <v>3865</v>
      </c>
      <c r="E57" s="39" t="n">
        <v>-2554.505</v>
      </c>
      <c r="F57" s="29" t="n">
        <f aca="false">IF(D57=0,"",E57/D57)</f>
        <v>-0.660932729624838</v>
      </c>
      <c r="G57" s="26" t="n">
        <v>3560</v>
      </c>
      <c r="H57" s="39" t="n">
        <v>-733.233</v>
      </c>
      <c r="I57" s="29" t="n">
        <f aca="false">IF(G57=0,"",H57/G57)</f>
        <v>-0.205964325842697</v>
      </c>
      <c r="J57" s="26" t="n">
        <v>0</v>
      </c>
      <c r="K57" s="43" t="n">
        <v>0.316</v>
      </c>
      <c r="L57" s="43" t="n">
        <v>0.5845</v>
      </c>
      <c r="M57" s="43" t="n">
        <v>0.4738</v>
      </c>
      <c r="N57" s="43" t="n">
        <v>0.3807</v>
      </c>
      <c r="O57" s="43" t="n">
        <v>0.316</v>
      </c>
      <c r="P57" s="26" t="n">
        <v>7</v>
      </c>
      <c r="Q57" s="26" t="n">
        <v>18</v>
      </c>
    </row>
    <row r="58" customFormat="false" ht="15" hidden="false" customHeight="false" outlineLevel="0" collapsed="false">
      <c r="A58" s="8" t="s">
        <v>23</v>
      </c>
      <c r="B58" s="8" t="s">
        <v>293</v>
      </c>
      <c r="C58" s="26" t="n">
        <v>7165</v>
      </c>
      <c r="D58" s="26" t="n">
        <v>3764</v>
      </c>
      <c r="E58" s="39" t="n">
        <v>-2489.316</v>
      </c>
      <c r="F58" s="29" t="n">
        <f aca="false">IF(D58=0,"",E58/D58)</f>
        <v>-0.661348565356004</v>
      </c>
      <c r="G58" s="26" t="n">
        <v>3401</v>
      </c>
      <c r="H58" s="39" t="n">
        <v>-623.584</v>
      </c>
      <c r="I58" s="29" t="n">
        <f aca="false">IF(G58=0,"",H58/G58)</f>
        <v>-0.183353131431932</v>
      </c>
      <c r="J58" s="26" t="n">
        <v>0</v>
      </c>
      <c r="K58" s="43" t="n">
        <v>0.3135</v>
      </c>
      <c r="L58" s="43" t="n">
        <v>0.5856</v>
      </c>
      <c r="M58" s="43" t="n">
        <v>0.4738</v>
      </c>
      <c r="N58" s="43" t="n">
        <v>0.3813</v>
      </c>
      <c r="O58" s="43" t="n">
        <v>0.3135</v>
      </c>
      <c r="P58" s="26" t="n">
        <v>6</v>
      </c>
      <c r="Q58" s="26" t="n">
        <v>18</v>
      </c>
    </row>
    <row r="59" customFormat="false" ht="15" hidden="false" customHeight="false" outlineLevel="0" collapsed="false">
      <c r="A59" s="8" t="s">
        <v>23</v>
      </c>
      <c r="B59" s="8" t="s">
        <v>294</v>
      </c>
      <c r="C59" s="26" t="n">
        <v>7425</v>
      </c>
      <c r="D59" s="26" t="n">
        <v>3865</v>
      </c>
      <c r="E59" s="39" t="n">
        <v>-2560.804</v>
      </c>
      <c r="F59" s="29" t="n">
        <f aca="false">IF(D59=0,"",E59/D59)</f>
        <v>-0.662562483829237</v>
      </c>
      <c r="G59" s="26" t="n">
        <v>3560</v>
      </c>
      <c r="H59" s="39" t="n">
        <v>-729.748</v>
      </c>
      <c r="I59" s="29" t="n">
        <f aca="false">IF(G59=0,"",H59/G59)</f>
        <v>-0.204985393258427</v>
      </c>
      <c r="J59" s="26" t="n">
        <v>0</v>
      </c>
      <c r="K59" s="43" t="n">
        <v>0.3173</v>
      </c>
      <c r="L59" s="43" t="n">
        <v>0.5815</v>
      </c>
      <c r="M59" s="43" t="n">
        <v>0.4688</v>
      </c>
      <c r="N59" s="43" t="n">
        <v>0.379</v>
      </c>
      <c r="O59" s="43" t="n">
        <v>0.3173</v>
      </c>
      <c r="P59" s="26" t="n">
        <v>6</v>
      </c>
      <c r="Q59" s="26" t="n">
        <v>21</v>
      </c>
    </row>
    <row r="60" customFormat="false" ht="15" hidden="false" customHeight="false" outlineLevel="0" collapsed="false">
      <c r="A60" s="8" t="s">
        <v>23</v>
      </c>
      <c r="B60" s="8" t="s">
        <v>295</v>
      </c>
      <c r="C60" s="26" t="n">
        <v>6355</v>
      </c>
      <c r="D60" s="26" t="n">
        <v>3332</v>
      </c>
      <c r="E60" s="39" t="n">
        <v>-2214.805</v>
      </c>
      <c r="F60" s="29" t="n">
        <f aca="false">IF(D60=0,"",E60/D60)</f>
        <v>-0.664707382953181</v>
      </c>
      <c r="G60" s="26" t="n">
        <v>3023</v>
      </c>
      <c r="H60" s="39" t="n">
        <v>-630.777</v>
      </c>
      <c r="I60" s="29" t="n">
        <f aca="false">IF(G60=0,"",H60/G60)</f>
        <v>-0.208659278862058</v>
      </c>
      <c r="J60" s="26" t="n">
        <v>0</v>
      </c>
      <c r="K60" s="43" t="n">
        <v>0.316</v>
      </c>
      <c r="L60" s="43" t="n">
        <v>0.5873</v>
      </c>
      <c r="M60" s="43" t="n">
        <v>0.4711</v>
      </c>
      <c r="N60" s="43" t="n">
        <v>0.3805</v>
      </c>
      <c r="O60" s="43" t="n">
        <v>0.316</v>
      </c>
      <c r="P60" s="26" t="n">
        <v>6</v>
      </c>
      <c r="Q60" s="26" t="n">
        <v>23</v>
      </c>
    </row>
    <row r="61" customFormat="false" ht="15" hidden="false" customHeight="false" outlineLevel="0" collapsed="false">
      <c r="A61" s="8" t="s">
        <v>23</v>
      </c>
      <c r="B61" s="8" t="s">
        <v>296</v>
      </c>
      <c r="C61" s="26" t="n">
        <v>7425</v>
      </c>
      <c r="D61" s="26" t="n">
        <v>3865</v>
      </c>
      <c r="E61" s="39" t="n">
        <v>-2574.792</v>
      </c>
      <c r="F61" s="29" t="n">
        <f aca="false">IF(D61=0,"",E61/D61)</f>
        <v>-0.666181630012937</v>
      </c>
      <c r="G61" s="26" t="n">
        <v>3560</v>
      </c>
      <c r="H61" s="39" t="n">
        <v>-790.252</v>
      </c>
      <c r="I61" s="29" t="n">
        <f aca="false">IF(G61=0,"",H61/G61)</f>
        <v>-0.221980898876405</v>
      </c>
      <c r="J61" s="26" t="n">
        <v>0</v>
      </c>
      <c r="K61" s="43" t="n">
        <v>0.3138</v>
      </c>
      <c r="L61" s="43" t="n">
        <v>0.5832</v>
      </c>
      <c r="M61" s="43" t="n">
        <v>0.4677</v>
      </c>
      <c r="N61" s="43" t="n">
        <v>0.3743</v>
      </c>
      <c r="O61" s="43" t="n">
        <v>0.3138</v>
      </c>
      <c r="P61" s="26" t="n">
        <v>6</v>
      </c>
      <c r="Q61" s="26" t="n">
        <v>25</v>
      </c>
    </row>
    <row r="62" customFormat="false" ht="15" hidden="false" customHeight="false" outlineLevel="0" collapsed="false">
      <c r="A62" s="8" t="s">
        <v>23</v>
      </c>
      <c r="B62" s="8" t="s">
        <v>297</v>
      </c>
      <c r="C62" s="26" t="n">
        <v>7425</v>
      </c>
      <c r="D62" s="26" t="n">
        <v>3865</v>
      </c>
      <c r="E62" s="39" t="n">
        <v>-2579.435</v>
      </c>
      <c r="F62" s="29" t="n">
        <f aca="false">IF(D62=0,"",E62/D62)</f>
        <v>-0.667382923673997</v>
      </c>
      <c r="G62" s="26" t="n">
        <v>3560</v>
      </c>
      <c r="H62" s="39" t="n">
        <v>-789.083</v>
      </c>
      <c r="I62" s="29" t="n">
        <f aca="false">IF(G62=0,"",H62/G62)</f>
        <v>-0.221652528089888</v>
      </c>
      <c r="J62" s="26" t="n">
        <v>0</v>
      </c>
      <c r="K62" s="43" t="n">
        <v>0.3142</v>
      </c>
      <c r="L62" s="43" t="n">
        <v>0.5814</v>
      </c>
      <c r="M62" s="43" t="n">
        <v>0.4684</v>
      </c>
      <c r="N62" s="43" t="n">
        <v>0.3802</v>
      </c>
      <c r="O62" s="43" t="n">
        <v>0.3142</v>
      </c>
      <c r="P62" s="26" t="n">
        <v>7</v>
      </c>
      <c r="Q62" s="26" t="n">
        <v>23</v>
      </c>
    </row>
    <row r="63" customFormat="false" ht="15" hidden="false" customHeight="false" outlineLevel="0" collapsed="false">
      <c r="A63" s="8" t="s">
        <v>23</v>
      </c>
      <c r="B63" s="8" t="s">
        <v>298</v>
      </c>
      <c r="C63" s="26" t="n">
        <v>7425</v>
      </c>
      <c r="D63" s="26" t="n">
        <v>3865</v>
      </c>
      <c r="E63" s="39" t="n">
        <v>-2582.004</v>
      </c>
      <c r="F63" s="29" t="n">
        <f aca="false">IF(D63=0,"",E63/D63)</f>
        <v>-0.668047606727037</v>
      </c>
      <c r="G63" s="26" t="n">
        <v>3560</v>
      </c>
      <c r="H63" s="39" t="n">
        <v>-772.984</v>
      </c>
      <c r="I63" s="29" t="n">
        <f aca="false">IF(G63=0,"",H63/G63)</f>
        <v>-0.217130337078652</v>
      </c>
      <c r="J63" s="26" t="n">
        <v>0</v>
      </c>
      <c r="K63" s="43" t="n">
        <v>0.2356</v>
      </c>
      <c r="L63" s="43" t="n">
        <v>0.5848</v>
      </c>
      <c r="M63" s="43" t="n">
        <v>0.473</v>
      </c>
      <c r="N63" s="43" t="n">
        <v>0.3802</v>
      </c>
      <c r="O63" s="43" t="n">
        <v>0.2356</v>
      </c>
      <c r="P63" s="26" t="n">
        <v>5</v>
      </c>
      <c r="Q63" s="26" t="n">
        <v>34</v>
      </c>
    </row>
    <row r="64" customFormat="false" ht="15" hidden="false" customHeight="false" outlineLevel="0" collapsed="false">
      <c r="A64" s="8" t="s">
        <v>23</v>
      </c>
      <c r="B64" s="8" t="s">
        <v>299</v>
      </c>
      <c r="C64" s="26" t="n">
        <v>6945</v>
      </c>
      <c r="D64" s="26" t="n">
        <v>3619</v>
      </c>
      <c r="E64" s="39" t="n">
        <v>-2417.881</v>
      </c>
      <c r="F64" s="29" t="n">
        <f aca="false">IF(D64=0,"",E64/D64)</f>
        <v>-0.668107488256424</v>
      </c>
      <c r="G64" s="26" t="n">
        <v>3326</v>
      </c>
      <c r="H64" s="39" t="n">
        <v>-727.964</v>
      </c>
      <c r="I64" s="29" t="n">
        <f aca="false">IF(G64=0,"",H64/G64)</f>
        <v>-0.218870715574263</v>
      </c>
      <c r="J64" s="26" t="n">
        <v>0</v>
      </c>
      <c r="K64" s="43" t="n">
        <v>0.3148</v>
      </c>
      <c r="L64" s="43" t="n">
        <v>0.5826</v>
      </c>
      <c r="M64" s="43" t="n">
        <v>0.469</v>
      </c>
      <c r="N64" s="43" t="n">
        <v>0.3788</v>
      </c>
      <c r="O64" s="43" t="n">
        <v>0.3148</v>
      </c>
      <c r="P64" s="26" t="n">
        <v>7</v>
      </c>
      <c r="Q64" s="26" t="n">
        <v>22</v>
      </c>
    </row>
    <row r="65" customFormat="false" ht="15" hidden="false" customHeight="false" outlineLevel="0" collapsed="false">
      <c r="A65" s="8" t="s">
        <v>23</v>
      </c>
      <c r="B65" s="8" t="s">
        <v>300</v>
      </c>
      <c r="C65" s="26" t="n">
        <v>7425</v>
      </c>
      <c r="D65" s="26" t="n">
        <v>3865</v>
      </c>
      <c r="E65" s="39" t="n">
        <v>-2582.86</v>
      </c>
      <c r="F65" s="29" t="n">
        <f aca="false">IF(D65=0,"",E65/D65)</f>
        <v>-0.668269081500647</v>
      </c>
      <c r="G65" s="26" t="n">
        <v>3560</v>
      </c>
      <c r="H65" s="39" t="n">
        <v>-711.632</v>
      </c>
      <c r="I65" s="29" t="n">
        <f aca="false">IF(G65=0,"",H65/G65)</f>
        <v>-0.199896629213483</v>
      </c>
      <c r="J65" s="26" t="n">
        <v>0</v>
      </c>
      <c r="K65" s="43" t="n">
        <v>0.3168</v>
      </c>
      <c r="L65" s="43" t="n">
        <v>0.5855</v>
      </c>
      <c r="M65" s="43" t="n">
        <v>0.4706</v>
      </c>
      <c r="N65" s="43" t="n">
        <v>0.3798</v>
      </c>
      <c r="O65" s="43" t="n">
        <v>0.3168</v>
      </c>
      <c r="P65" s="26" t="n">
        <v>7</v>
      </c>
      <c r="Q65" s="26" t="n">
        <v>22</v>
      </c>
    </row>
    <row r="66" customFormat="false" ht="15" hidden="false" customHeight="false" outlineLevel="0" collapsed="false">
      <c r="A66" s="8" t="s">
        <v>23</v>
      </c>
      <c r="B66" s="8" t="s">
        <v>301</v>
      </c>
      <c r="C66" s="26" t="n">
        <v>7425</v>
      </c>
      <c r="D66" s="26" t="n">
        <v>3865</v>
      </c>
      <c r="E66" s="39" t="n">
        <v>-2583.82</v>
      </c>
      <c r="F66" s="29" t="n">
        <f aca="false">IF(D66=0,"",E66/D66)</f>
        <v>-0.668517464424321</v>
      </c>
      <c r="G66" s="26" t="n">
        <v>3560</v>
      </c>
      <c r="H66" s="39" t="n">
        <v>-696.746</v>
      </c>
      <c r="I66" s="29" t="n">
        <f aca="false">IF(G66=0,"",H66/G66)</f>
        <v>-0.195715168539326</v>
      </c>
      <c r="J66" s="26" t="n">
        <v>0</v>
      </c>
      <c r="K66" s="43" t="n">
        <v>0.3178</v>
      </c>
      <c r="L66" s="43" t="n">
        <v>0.5868</v>
      </c>
      <c r="M66" s="43" t="n">
        <v>0.4729</v>
      </c>
      <c r="N66" s="43" t="n">
        <v>0.3818</v>
      </c>
      <c r="O66" s="43" t="n">
        <v>0.3178</v>
      </c>
      <c r="P66" s="26" t="n">
        <v>7</v>
      </c>
      <c r="Q66" s="26" t="n">
        <v>22</v>
      </c>
    </row>
    <row r="67" customFormat="false" ht="15" hidden="false" customHeight="false" outlineLevel="0" collapsed="false">
      <c r="A67" s="8" t="s">
        <v>23</v>
      </c>
      <c r="B67" s="8" t="s">
        <v>302</v>
      </c>
      <c r="C67" s="26" t="n">
        <v>7425</v>
      </c>
      <c r="D67" s="26" t="n">
        <v>3865</v>
      </c>
      <c r="E67" s="39" t="n">
        <v>-2584.848</v>
      </c>
      <c r="F67" s="29" t="n">
        <f aca="false">IF(D67=0,"",E67/D67)</f>
        <v>-0.668783441138422</v>
      </c>
      <c r="G67" s="26" t="n">
        <v>3560</v>
      </c>
      <c r="H67" s="39" t="n">
        <v>-745.519</v>
      </c>
      <c r="I67" s="29" t="n">
        <f aca="false">IF(G67=0,"",H67/G67)</f>
        <v>-0.209415449438202</v>
      </c>
      <c r="J67" s="26" t="n">
        <v>0</v>
      </c>
      <c r="K67" s="43" t="n">
        <v>0.3147</v>
      </c>
      <c r="L67" s="43" t="n">
        <v>0.5841</v>
      </c>
      <c r="M67" s="43" t="n">
        <v>0.4702</v>
      </c>
      <c r="N67" s="43" t="n">
        <v>0.3775</v>
      </c>
      <c r="O67" s="43" t="n">
        <v>0.3147</v>
      </c>
      <c r="P67" s="26" t="n">
        <v>7</v>
      </c>
      <c r="Q67" s="26" t="n">
        <v>26</v>
      </c>
    </row>
    <row r="68" customFormat="false" ht="15" hidden="false" customHeight="false" outlineLevel="0" collapsed="false">
      <c r="A68" s="8" t="s">
        <v>23</v>
      </c>
      <c r="B68" s="8" t="s">
        <v>303</v>
      </c>
      <c r="C68" s="26" t="n">
        <v>7425</v>
      </c>
      <c r="D68" s="26" t="n">
        <v>3865</v>
      </c>
      <c r="E68" s="39" t="n">
        <v>-2586.587</v>
      </c>
      <c r="F68" s="29" t="n">
        <f aca="false">IF(D68=0,"",E68/D68)</f>
        <v>-0.669233376455369</v>
      </c>
      <c r="G68" s="26" t="n">
        <v>3560</v>
      </c>
      <c r="H68" s="39" t="n">
        <v>-797.85</v>
      </c>
      <c r="I68" s="29" t="n">
        <f aca="false">IF(G68=0,"",H68/G68)</f>
        <v>-0.224115168539326</v>
      </c>
      <c r="J68" s="26" t="n">
        <v>0</v>
      </c>
      <c r="K68" s="43" t="n">
        <v>0.3143</v>
      </c>
      <c r="L68" s="43" t="n">
        <v>0.5907</v>
      </c>
      <c r="M68" s="43" t="n">
        <v>0.4722</v>
      </c>
      <c r="N68" s="43" t="n">
        <v>0.3787</v>
      </c>
      <c r="O68" s="43" t="n">
        <v>0.3143</v>
      </c>
      <c r="P68" s="26" t="n">
        <v>7</v>
      </c>
      <c r="Q68" s="26" t="n">
        <v>25</v>
      </c>
    </row>
    <row r="69" customFormat="false" ht="15" hidden="false" customHeight="false" outlineLevel="0" collapsed="false">
      <c r="A69" s="8" t="s">
        <v>23</v>
      </c>
      <c r="B69" s="8" t="s">
        <v>304</v>
      </c>
      <c r="C69" s="26" t="n">
        <v>7425</v>
      </c>
      <c r="D69" s="26" t="n">
        <v>3865</v>
      </c>
      <c r="E69" s="39" t="n">
        <v>-2592.347</v>
      </c>
      <c r="F69" s="29" t="n">
        <f aca="false">IF(D69=0,"",E69/D69)</f>
        <v>-0.670723673997413</v>
      </c>
      <c r="G69" s="26" t="n">
        <v>3560</v>
      </c>
      <c r="H69" s="39" t="n">
        <v>-881.167</v>
      </c>
      <c r="I69" s="29" t="n">
        <f aca="false">IF(G69=0,"",H69/G69)</f>
        <v>-0.247518820224719</v>
      </c>
      <c r="J69" s="26" t="n">
        <v>0</v>
      </c>
      <c r="K69" s="43" t="n">
        <v>0.3147</v>
      </c>
      <c r="L69" s="43" t="n">
        <v>0.5817</v>
      </c>
      <c r="M69" s="43" t="n">
        <v>0.4665</v>
      </c>
      <c r="N69" s="43" t="n">
        <v>0.3762</v>
      </c>
      <c r="O69" s="43" t="n">
        <v>0.3147</v>
      </c>
      <c r="P69" s="26" t="n">
        <v>8</v>
      </c>
      <c r="Q69" s="26" t="n">
        <v>25</v>
      </c>
    </row>
    <row r="70" customFormat="false" ht="15" hidden="false" customHeight="false" outlineLevel="0" collapsed="false">
      <c r="A70" s="8" t="s">
        <v>23</v>
      </c>
      <c r="B70" s="8" t="s">
        <v>305</v>
      </c>
      <c r="C70" s="26" t="n">
        <v>7425</v>
      </c>
      <c r="D70" s="26" t="n">
        <v>3865</v>
      </c>
      <c r="E70" s="39" t="n">
        <v>-2595.777</v>
      </c>
      <c r="F70" s="29" t="n">
        <f aca="false">IF(D70=0,"",E70/D70)</f>
        <v>-0.671611125485123</v>
      </c>
      <c r="G70" s="26" t="n">
        <v>3560</v>
      </c>
      <c r="H70" s="39" t="n">
        <v>-760.268</v>
      </c>
      <c r="I70" s="29" t="n">
        <f aca="false">IF(G70=0,"",H70/G70)</f>
        <v>-0.213558426966292</v>
      </c>
      <c r="J70" s="26" t="n">
        <v>0</v>
      </c>
      <c r="K70" s="43" t="n">
        <v>0.3142</v>
      </c>
      <c r="L70" s="43" t="n">
        <v>0.5845</v>
      </c>
      <c r="M70" s="43" t="n">
        <v>0.4688</v>
      </c>
      <c r="N70" s="43" t="n">
        <v>0.3762</v>
      </c>
      <c r="O70" s="43" t="n">
        <v>0.3142</v>
      </c>
      <c r="P70" s="26" t="n">
        <v>6</v>
      </c>
      <c r="Q70" s="26" t="n">
        <v>22</v>
      </c>
    </row>
    <row r="71" customFormat="false" ht="15" hidden="false" customHeight="false" outlineLevel="0" collapsed="false">
      <c r="A71" s="8" t="s">
        <v>23</v>
      </c>
      <c r="B71" s="8" t="s">
        <v>306</v>
      </c>
      <c r="C71" s="26" t="n">
        <v>7425</v>
      </c>
      <c r="D71" s="26" t="n">
        <v>3865</v>
      </c>
      <c r="E71" s="39" t="n">
        <v>-2599.123</v>
      </c>
      <c r="F71" s="29" t="n">
        <f aca="false">IF(D71=0,"",E71/D71)</f>
        <v>-0.672476843467012</v>
      </c>
      <c r="G71" s="26" t="n">
        <v>3560</v>
      </c>
      <c r="H71" s="39" t="n">
        <v>-750.635</v>
      </c>
      <c r="I71" s="29" t="n">
        <f aca="false">IF(G71=0,"",H71/G71)</f>
        <v>-0.210852528089888</v>
      </c>
      <c r="J71" s="26" t="n">
        <v>0</v>
      </c>
      <c r="K71" s="43" t="n">
        <v>0.3139</v>
      </c>
      <c r="L71" s="43" t="n">
        <v>0.5849</v>
      </c>
      <c r="M71" s="43" t="n">
        <v>0.4722</v>
      </c>
      <c r="N71" s="43" t="n">
        <v>0.3759</v>
      </c>
      <c r="O71" s="43" t="n">
        <v>0.3139</v>
      </c>
      <c r="P71" s="26" t="n">
        <v>8</v>
      </c>
      <c r="Q71" s="26" t="n">
        <v>26</v>
      </c>
    </row>
    <row r="72" customFormat="false" ht="15" hidden="false" customHeight="false" outlineLevel="0" collapsed="false">
      <c r="A72" s="8" t="s">
        <v>23</v>
      </c>
      <c r="B72" s="8" t="s">
        <v>307</v>
      </c>
      <c r="C72" s="26" t="n">
        <v>7425</v>
      </c>
      <c r="D72" s="26" t="n">
        <v>3865</v>
      </c>
      <c r="E72" s="39" t="n">
        <v>-2599.358</v>
      </c>
      <c r="F72" s="29" t="n">
        <f aca="false">IF(D72=0,"",E72/D72)</f>
        <v>-0.672537645536869</v>
      </c>
      <c r="G72" s="26" t="n">
        <v>3560</v>
      </c>
      <c r="H72" s="39" t="n">
        <v>-725.25</v>
      </c>
      <c r="I72" s="29" t="n">
        <f aca="false">IF(G72=0,"",H72/G72)</f>
        <v>-0.20372191011236</v>
      </c>
      <c r="J72" s="26" t="n">
        <v>0</v>
      </c>
      <c r="K72" s="43" t="n">
        <v>0.3178</v>
      </c>
      <c r="L72" s="43" t="n">
        <v>0.5851</v>
      </c>
      <c r="M72" s="43" t="n">
        <v>0.4733</v>
      </c>
      <c r="N72" s="43" t="n">
        <v>0.3822</v>
      </c>
      <c r="O72" s="43" t="n">
        <v>0.3178</v>
      </c>
      <c r="P72" s="26" t="n">
        <v>6</v>
      </c>
      <c r="Q72" s="26" t="n">
        <v>22</v>
      </c>
    </row>
    <row r="73" customFormat="false" ht="15" hidden="false" customHeight="false" outlineLevel="0" collapsed="false">
      <c r="A73" s="8" t="s">
        <v>23</v>
      </c>
      <c r="B73" s="8" t="s">
        <v>308</v>
      </c>
      <c r="C73" s="26" t="n">
        <v>7425</v>
      </c>
      <c r="D73" s="26" t="n">
        <v>3865</v>
      </c>
      <c r="E73" s="39" t="n">
        <v>-2599.575</v>
      </c>
      <c r="F73" s="29" t="n">
        <f aca="false">IF(D73=0,"",E73/D73)</f>
        <v>-0.672593790426908</v>
      </c>
      <c r="G73" s="26" t="n">
        <v>3560</v>
      </c>
      <c r="H73" s="39" t="n">
        <v>-675.404</v>
      </c>
      <c r="I73" s="29" t="n">
        <f aca="false">IF(G73=0,"",H73/G73)</f>
        <v>-0.189720224719101</v>
      </c>
      <c r="J73" s="26" t="n">
        <v>0</v>
      </c>
      <c r="K73" s="43" t="n">
        <v>0.3791</v>
      </c>
      <c r="L73" s="43" t="n">
        <v>0.5799</v>
      </c>
      <c r="M73" s="43" t="n">
        <v>0.4694</v>
      </c>
      <c r="N73" s="43" t="n">
        <v>0.3791</v>
      </c>
      <c r="O73" s="43" t="n">
        <v>0.212</v>
      </c>
      <c r="P73" s="26" t="n">
        <v>7</v>
      </c>
      <c r="Q73" s="26" t="n">
        <v>18</v>
      </c>
    </row>
    <row r="74" customFormat="false" ht="15" hidden="false" customHeight="false" outlineLevel="0" collapsed="false">
      <c r="A74" s="8" t="s">
        <v>23</v>
      </c>
      <c r="B74" s="8" t="s">
        <v>309</v>
      </c>
      <c r="C74" s="26" t="n">
        <v>7006</v>
      </c>
      <c r="D74" s="26" t="n">
        <v>3665</v>
      </c>
      <c r="E74" s="39" t="n">
        <v>-2471.86</v>
      </c>
      <c r="F74" s="29" t="n">
        <f aca="false">IF(D74=0,"",E74/D74)</f>
        <v>-0.674450204638472</v>
      </c>
      <c r="G74" s="26" t="n">
        <v>3341</v>
      </c>
      <c r="H74" s="39" t="n">
        <v>-713.358</v>
      </c>
      <c r="I74" s="29" t="n">
        <f aca="false">IF(G74=0,"",H74/G74)</f>
        <v>-0.213516312481293</v>
      </c>
      <c r="J74" s="26" t="n">
        <v>0</v>
      </c>
      <c r="K74" s="43" t="n">
        <v>0.317</v>
      </c>
      <c r="L74" s="43" t="n">
        <v>0.5822</v>
      </c>
      <c r="M74" s="43" t="n">
        <v>0.4696</v>
      </c>
      <c r="N74" s="43" t="n">
        <v>0.3795</v>
      </c>
      <c r="O74" s="43" t="n">
        <v>0.317</v>
      </c>
      <c r="P74" s="26" t="n">
        <v>8</v>
      </c>
      <c r="Q74" s="26" t="n">
        <v>22</v>
      </c>
    </row>
    <row r="75" customFormat="false" ht="15" hidden="false" customHeight="false" outlineLevel="0" collapsed="false">
      <c r="A75" s="8" t="s">
        <v>23</v>
      </c>
      <c r="B75" s="8" t="s">
        <v>310</v>
      </c>
      <c r="C75" s="26" t="n">
        <v>7425</v>
      </c>
      <c r="D75" s="26" t="n">
        <v>3865</v>
      </c>
      <c r="E75" s="39" t="n">
        <v>-2607.259</v>
      </c>
      <c r="F75" s="29" t="n">
        <f aca="false">IF(D75=0,"",E75/D75)</f>
        <v>-0.674581888745149</v>
      </c>
      <c r="G75" s="26" t="n">
        <v>3560</v>
      </c>
      <c r="H75" s="39" t="n">
        <v>-772.202</v>
      </c>
      <c r="I75" s="29" t="n">
        <f aca="false">IF(G75=0,"",H75/G75)</f>
        <v>-0.216910674157303</v>
      </c>
      <c r="J75" s="26" t="n">
        <v>0</v>
      </c>
      <c r="K75" s="43" t="n">
        <v>0.316</v>
      </c>
      <c r="L75" s="43" t="n">
        <v>0.5879</v>
      </c>
      <c r="M75" s="43" t="n">
        <v>0.4698</v>
      </c>
      <c r="N75" s="43" t="n">
        <v>0.3794</v>
      </c>
      <c r="O75" s="43" t="n">
        <v>0.316</v>
      </c>
      <c r="P75" s="26" t="n">
        <v>7</v>
      </c>
      <c r="Q75" s="26" t="n">
        <v>20</v>
      </c>
    </row>
    <row r="76" customFormat="false" ht="15" hidden="false" customHeight="false" outlineLevel="0" collapsed="false">
      <c r="A76" s="8" t="s">
        <v>23</v>
      </c>
      <c r="B76" s="8" t="s">
        <v>311</v>
      </c>
      <c r="C76" s="26" t="n">
        <v>7425</v>
      </c>
      <c r="D76" s="26" t="n">
        <v>3865</v>
      </c>
      <c r="E76" s="39" t="n">
        <v>-2608.921</v>
      </c>
      <c r="F76" s="29" t="n">
        <f aca="false">IF(D76=0,"",E76/D76)</f>
        <v>-0.675011901681759</v>
      </c>
      <c r="G76" s="26" t="n">
        <v>3560</v>
      </c>
      <c r="H76" s="39" t="n">
        <v>-729.651</v>
      </c>
      <c r="I76" s="29" t="n">
        <f aca="false">IF(G76=0,"",H76/G76)</f>
        <v>-0.204958146067416</v>
      </c>
      <c r="J76" s="26" t="n">
        <v>0</v>
      </c>
      <c r="K76" s="43" t="n">
        <v>0.3164</v>
      </c>
      <c r="L76" s="43" t="n">
        <v>0.5846</v>
      </c>
      <c r="M76" s="43" t="n">
        <v>0.4708</v>
      </c>
      <c r="N76" s="43" t="n">
        <v>0.3807</v>
      </c>
      <c r="O76" s="43" t="n">
        <v>0.3164</v>
      </c>
      <c r="P76" s="26" t="n">
        <v>7</v>
      </c>
      <c r="Q76" s="26" t="n">
        <v>22</v>
      </c>
    </row>
    <row r="77" customFormat="false" ht="15" hidden="false" customHeight="false" outlineLevel="0" collapsed="false">
      <c r="A77" s="8" t="s">
        <v>23</v>
      </c>
      <c r="B77" s="8" t="s">
        <v>312</v>
      </c>
      <c r="C77" s="26" t="n">
        <v>7425</v>
      </c>
      <c r="D77" s="26" t="n">
        <v>3865</v>
      </c>
      <c r="E77" s="39" t="n">
        <v>-2609.892</v>
      </c>
      <c r="F77" s="29" t="n">
        <f aca="false">IF(D77=0,"",E77/D77)</f>
        <v>-0.675263130659767</v>
      </c>
      <c r="G77" s="26" t="n">
        <v>3560</v>
      </c>
      <c r="H77" s="39" t="n">
        <v>-757.31</v>
      </c>
      <c r="I77" s="29" t="n">
        <f aca="false">IF(G77=0,"",H77/G77)</f>
        <v>-0.212727528089888</v>
      </c>
      <c r="J77" s="26" t="n">
        <v>0</v>
      </c>
      <c r="K77" s="43" t="n">
        <v>0.3164</v>
      </c>
      <c r="L77" s="43" t="n">
        <v>0.5745</v>
      </c>
      <c r="M77" s="43" t="n">
        <v>0.463</v>
      </c>
      <c r="N77" s="43" t="n">
        <v>0.3779</v>
      </c>
      <c r="O77" s="43" t="n">
        <v>0.3164</v>
      </c>
      <c r="P77" s="26" t="n">
        <v>7</v>
      </c>
      <c r="Q77" s="26" t="n">
        <v>24</v>
      </c>
    </row>
    <row r="78" customFormat="false" ht="15" hidden="false" customHeight="false" outlineLevel="0" collapsed="false">
      <c r="A78" s="8" t="s">
        <v>23</v>
      </c>
      <c r="B78" s="8" t="s">
        <v>313</v>
      </c>
      <c r="C78" s="26" t="n">
        <v>7425</v>
      </c>
      <c r="D78" s="26" t="n">
        <v>3865</v>
      </c>
      <c r="E78" s="39" t="n">
        <v>-2612.988</v>
      </c>
      <c r="F78" s="29" t="n">
        <f aca="false">IF(D78=0,"",E78/D78)</f>
        <v>-0.676064165588616</v>
      </c>
      <c r="G78" s="26" t="n">
        <v>3560</v>
      </c>
      <c r="H78" s="39" t="n">
        <v>-786.704</v>
      </c>
      <c r="I78" s="29" t="n">
        <f aca="false">IF(G78=0,"",H78/G78)</f>
        <v>-0.220984269662921</v>
      </c>
      <c r="J78" s="26" t="n">
        <v>0</v>
      </c>
      <c r="K78" s="43" t="n">
        <v>0.3143</v>
      </c>
      <c r="L78" s="43" t="n">
        <v>0.5877</v>
      </c>
      <c r="M78" s="43" t="n">
        <v>0.4696</v>
      </c>
      <c r="N78" s="43" t="n">
        <v>0.3776</v>
      </c>
      <c r="O78" s="43" t="n">
        <v>0.3143</v>
      </c>
      <c r="P78" s="26" t="n">
        <v>9</v>
      </c>
      <c r="Q78" s="26" t="n">
        <v>21</v>
      </c>
    </row>
    <row r="79" customFormat="false" ht="15" hidden="false" customHeight="false" outlineLevel="0" collapsed="false">
      <c r="A79" s="8" t="s">
        <v>23</v>
      </c>
      <c r="B79" s="8" t="s">
        <v>314</v>
      </c>
      <c r="C79" s="26" t="n">
        <v>7425</v>
      </c>
      <c r="D79" s="26" t="n">
        <v>3865</v>
      </c>
      <c r="E79" s="39" t="n">
        <v>-2613.931</v>
      </c>
      <c r="F79" s="29" t="n">
        <f aca="false">IF(D79=0,"",E79/D79)</f>
        <v>-0.676308150064683</v>
      </c>
      <c r="G79" s="26" t="n">
        <v>3560</v>
      </c>
      <c r="H79" s="39" t="n">
        <v>-795.154</v>
      </c>
      <c r="I79" s="29" t="n">
        <f aca="false">IF(G79=0,"",H79/G79)</f>
        <v>-0.223357865168539</v>
      </c>
      <c r="J79" s="26" t="n">
        <v>0</v>
      </c>
      <c r="K79" s="43" t="n">
        <v>0.3142</v>
      </c>
      <c r="L79" s="43" t="n">
        <v>0.5822</v>
      </c>
      <c r="M79" s="43" t="n">
        <v>0.4681</v>
      </c>
      <c r="N79" s="43" t="n">
        <v>0.3795</v>
      </c>
      <c r="O79" s="43" t="n">
        <v>0.3142</v>
      </c>
      <c r="P79" s="26" t="n">
        <v>7</v>
      </c>
      <c r="Q79" s="26" t="n">
        <v>21</v>
      </c>
    </row>
    <row r="80" customFormat="false" ht="15" hidden="false" customHeight="false" outlineLevel="0" collapsed="false">
      <c r="A80" s="8" t="s">
        <v>23</v>
      </c>
      <c r="B80" s="8" t="s">
        <v>315</v>
      </c>
      <c r="C80" s="26" t="n">
        <v>7425</v>
      </c>
      <c r="D80" s="26" t="n">
        <v>3865</v>
      </c>
      <c r="E80" s="39" t="n">
        <v>-2614.724</v>
      </c>
      <c r="F80" s="29" t="n">
        <f aca="false">IF(D80=0,"",E80/D80)</f>
        <v>-0.676513324708926</v>
      </c>
      <c r="G80" s="26" t="n">
        <v>3560</v>
      </c>
      <c r="H80" s="39" t="n">
        <v>-623.376</v>
      </c>
      <c r="I80" s="29" t="n">
        <f aca="false">IF(G80=0,"",H80/G80)</f>
        <v>-0.175105617977528</v>
      </c>
      <c r="J80" s="26" t="n">
        <v>0</v>
      </c>
      <c r="K80" s="43" t="n">
        <v>0.3719</v>
      </c>
      <c r="L80" s="43" t="n">
        <v>0.5809</v>
      </c>
      <c r="M80" s="43" t="n">
        <v>0.372</v>
      </c>
      <c r="N80" s="43" t="n">
        <v>0.1896</v>
      </c>
      <c r="O80" s="43" t="n">
        <v>0.1076</v>
      </c>
      <c r="P80" s="26" t="n">
        <v>10</v>
      </c>
      <c r="Q80" s="26" t="n">
        <v>13</v>
      </c>
    </row>
    <row r="81" customFormat="false" ht="15" hidden="false" customHeight="false" outlineLevel="0" collapsed="false">
      <c r="A81" s="8" t="s">
        <v>23</v>
      </c>
      <c r="B81" s="8" t="s">
        <v>316</v>
      </c>
      <c r="C81" s="26" t="n">
        <v>7425</v>
      </c>
      <c r="D81" s="26" t="n">
        <v>3865</v>
      </c>
      <c r="E81" s="39" t="n">
        <v>-2619.176</v>
      </c>
      <c r="F81" s="29" t="n">
        <f aca="false">IF(D81=0,"",E81/D81)</f>
        <v>-0.677665200517464</v>
      </c>
      <c r="G81" s="26" t="n">
        <v>3560</v>
      </c>
      <c r="H81" s="39" t="n">
        <v>-751.585</v>
      </c>
      <c r="I81" s="29" t="n">
        <f aca="false">IF(G81=0,"",H81/G81)</f>
        <v>-0.211119382022472</v>
      </c>
      <c r="J81" s="26" t="n">
        <v>0</v>
      </c>
      <c r="K81" s="43" t="n">
        <v>0.3176</v>
      </c>
      <c r="L81" s="43" t="n">
        <v>0.5825</v>
      </c>
      <c r="M81" s="43" t="n">
        <v>0.4714</v>
      </c>
      <c r="N81" s="43" t="n">
        <v>0.381</v>
      </c>
      <c r="O81" s="43" t="n">
        <v>0.3176</v>
      </c>
      <c r="P81" s="26" t="n">
        <v>10</v>
      </c>
      <c r="Q81" s="26" t="n">
        <v>20</v>
      </c>
    </row>
    <row r="82" customFormat="false" ht="15" hidden="false" customHeight="false" outlineLevel="0" collapsed="false">
      <c r="A82" s="8" t="s">
        <v>23</v>
      </c>
      <c r="B82" s="8" t="s">
        <v>317</v>
      </c>
      <c r="C82" s="26" t="n">
        <v>7425</v>
      </c>
      <c r="D82" s="26" t="n">
        <v>3865</v>
      </c>
      <c r="E82" s="39" t="n">
        <v>-2621.197</v>
      </c>
      <c r="F82" s="29" t="n">
        <f aca="false">IF(D82=0,"",E82/D82)</f>
        <v>-0.678188098318241</v>
      </c>
      <c r="G82" s="26" t="n">
        <v>3560</v>
      </c>
      <c r="H82" s="39" t="n">
        <v>-783.88</v>
      </c>
      <c r="I82" s="29" t="n">
        <f aca="false">IF(G82=0,"",H82/G82)</f>
        <v>-0.220191011235955</v>
      </c>
      <c r="J82" s="26" t="n">
        <v>0</v>
      </c>
      <c r="K82" s="43" t="n">
        <v>0.3153</v>
      </c>
      <c r="L82" s="43" t="n">
        <v>0.5801</v>
      </c>
      <c r="M82" s="43" t="n">
        <v>0.4683</v>
      </c>
      <c r="N82" s="43" t="n">
        <v>0.3778</v>
      </c>
      <c r="O82" s="43" t="n">
        <v>0.3153</v>
      </c>
      <c r="P82" s="26" t="n">
        <v>7</v>
      </c>
      <c r="Q82" s="26" t="n">
        <v>22</v>
      </c>
    </row>
    <row r="83" customFormat="false" ht="15" hidden="false" customHeight="false" outlineLevel="0" collapsed="false">
      <c r="A83" s="8" t="s">
        <v>23</v>
      </c>
      <c r="B83" s="8" t="s">
        <v>318</v>
      </c>
      <c r="C83" s="26" t="n">
        <v>7425</v>
      </c>
      <c r="D83" s="26" t="n">
        <v>3865</v>
      </c>
      <c r="E83" s="39" t="n">
        <v>-2621.804</v>
      </c>
      <c r="F83" s="29" t="n">
        <f aca="false">IF(D83=0,"",E83/D83)</f>
        <v>-0.678345148771022</v>
      </c>
      <c r="G83" s="26" t="n">
        <v>3560</v>
      </c>
      <c r="H83" s="39" t="n">
        <v>-752.222</v>
      </c>
      <c r="I83" s="29" t="n">
        <f aca="false">IF(G83=0,"",H83/G83)</f>
        <v>-0.211298314606742</v>
      </c>
      <c r="J83" s="26" t="n">
        <v>0</v>
      </c>
      <c r="K83" s="43" t="n">
        <v>0.3177</v>
      </c>
      <c r="L83" s="43" t="n">
        <v>0.5838</v>
      </c>
      <c r="M83" s="43" t="n">
        <v>0.4735</v>
      </c>
      <c r="N83" s="43" t="n">
        <v>0.3829</v>
      </c>
      <c r="O83" s="43" t="n">
        <v>0.3177</v>
      </c>
      <c r="P83" s="26" t="n">
        <v>7</v>
      </c>
      <c r="Q83" s="26" t="n">
        <v>22</v>
      </c>
    </row>
    <row r="84" customFormat="false" ht="15" hidden="false" customHeight="false" outlineLevel="0" collapsed="false">
      <c r="A84" s="8" t="s">
        <v>23</v>
      </c>
      <c r="B84" s="8" t="s">
        <v>319</v>
      </c>
      <c r="C84" s="26" t="n">
        <v>7153</v>
      </c>
      <c r="D84" s="26" t="n">
        <v>3745</v>
      </c>
      <c r="E84" s="39" t="n">
        <v>-2543.708</v>
      </c>
      <c r="F84" s="29" t="n">
        <f aca="false">IF(D84=0,"",E84/D84)</f>
        <v>-0.679227770360481</v>
      </c>
      <c r="G84" s="26" t="n">
        <v>3408</v>
      </c>
      <c r="H84" s="39" t="n">
        <v>-708.726</v>
      </c>
      <c r="I84" s="29" t="n">
        <f aca="false">IF(G84=0,"",H84/G84)</f>
        <v>-0.207959507042254</v>
      </c>
      <c r="J84" s="26" t="n">
        <v>0</v>
      </c>
      <c r="K84" s="43" t="n">
        <v>0.3157</v>
      </c>
      <c r="L84" s="43" t="n">
        <v>0.5845</v>
      </c>
      <c r="M84" s="43" t="n">
        <v>0.4709</v>
      </c>
      <c r="N84" s="43" t="n">
        <v>0.3803</v>
      </c>
      <c r="O84" s="43" t="n">
        <v>0.3157</v>
      </c>
      <c r="P84" s="26" t="n">
        <v>7</v>
      </c>
      <c r="Q84" s="26" t="n">
        <v>22</v>
      </c>
    </row>
    <row r="85" customFormat="false" ht="15" hidden="false" customHeight="false" outlineLevel="0" collapsed="false">
      <c r="A85" s="8" t="s">
        <v>23</v>
      </c>
      <c r="B85" s="8" t="s">
        <v>320</v>
      </c>
      <c r="C85" s="26" t="n">
        <v>7425</v>
      </c>
      <c r="D85" s="26" t="n">
        <v>3865</v>
      </c>
      <c r="E85" s="39" t="n">
        <v>-2626.401</v>
      </c>
      <c r="F85" s="29" t="n">
        <f aca="false">IF(D85=0,"",E85/D85)</f>
        <v>-0.679534540750323</v>
      </c>
      <c r="G85" s="26" t="n">
        <v>3560</v>
      </c>
      <c r="H85" s="39" t="n">
        <v>-660.983</v>
      </c>
      <c r="I85" s="29" t="n">
        <f aca="false">IF(G85=0,"",H85/G85)</f>
        <v>-0.185669382022472</v>
      </c>
      <c r="J85" s="26" t="n">
        <v>0</v>
      </c>
      <c r="K85" s="43" t="n">
        <v>0.4679</v>
      </c>
      <c r="L85" s="43" t="n">
        <v>0.5794</v>
      </c>
      <c r="M85" s="43" t="n">
        <v>0.4679</v>
      </c>
      <c r="N85" s="43" t="n">
        <v>0.2387</v>
      </c>
      <c r="O85" s="43" t="n">
        <v>0.1612</v>
      </c>
      <c r="P85" s="26" t="n">
        <v>11</v>
      </c>
      <c r="Q85" s="26" t="n">
        <v>18</v>
      </c>
    </row>
    <row r="86" customFormat="false" ht="15" hidden="false" customHeight="false" outlineLevel="0" collapsed="false">
      <c r="A86" s="8" t="s">
        <v>23</v>
      </c>
      <c r="B86" s="8" t="s">
        <v>321</v>
      </c>
      <c r="C86" s="26" t="n">
        <v>7425</v>
      </c>
      <c r="D86" s="26" t="n">
        <v>3865</v>
      </c>
      <c r="E86" s="39" t="n">
        <v>-2626.473</v>
      </c>
      <c r="F86" s="29" t="n">
        <f aca="false">IF(D86=0,"",E86/D86)</f>
        <v>-0.679553169469599</v>
      </c>
      <c r="G86" s="26" t="n">
        <v>3560</v>
      </c>
      <c r="H86" s="39" t="n">
        <v>-763.048</v>
      </c>
      <c r="I86" s="29" t="n">
        <f aca="false">IF(G86=0,"",H86/G86)</f>
        <v>-0.214339325842697</v>
      </c>
      <c r="J86" s="26" t="n">
        <v>0</v>
      </c>
      <c r="K86" s="43" t="n">
        <v>0.3147</v>
      </c>
      <c r="L86" s="43" t="n">
        <v>0.584</v>
      </c>
      <c r="M86" s="43" t="n">
        <v>0.4696</v>
      </c>
      <c r="N86" s="43" t="n">
        <v>0.3786</v>
      </c>
      <c r="O86" s="43" t="n">
        <v>0.3147</v>
      </c>
      <c r="P86" s="26" t="n">
        <v>7</v>
      </c>
      <c r="Q86" s="26" t="n">
        <v>22</v>
      </c>
    </row>
    <row r="87" customFormat="false" ht="15" hidden="false" customHeight="false" outlineLevel="0" collapsed="false">
      <c r="A87" s="8" t="s">
        <v>23</v>
      </c>
      <c r="B87" s="8" t="s">
        <v>322</v>
      </c>
      <c r="C87" s="26" t="n">
        <v>7425</v>
      </c>
      <c r="D87" s="26" t="n">
        <v>3865</v>
      </c>
      <c r="E87" s="39" t="n">
        <v>-2627.774</v>
      </c>
      <c r="F87" s="29" t="n">
        <f aca="false">IF(D87=0,"",E87/D87)</f>
        <v>-0.67988978007762</v>
      </c>
      <c r="G87" s="26" t="n">
        <v>3560</v>
      </c>
      <c r="H87" s="39" t="n">
        <v>-800.576</v>
      </c>
      <c r="I87" s="29" t="n">
        <f aca="false">IF(G87=0,"",H87/G87)</f>
        <v>-0.224880898876405</v>
      </c>
      <c r="J87" s="26" t="n">
        <v>0</v>
      </c>
      <c r="K87" s="43" t="n">
        <v>0.3158</v>
      </c>
      <c r="L87" s="43" t="n">
        <v>0.5863</v>
      </c>
      <c r="M87" s="43" t="n">
        <v>0.4703</v>
      </c>
      <c r="N87" s="43" t="n">
        <v>0.3797</v>
      </c>
      <c r="O87" s="43" t="n">
        <v>0.3158</v>
      </c>
      <c r="P87" s="26" t="n">
        <v>8</v>
      </c>
      <c r="Q87" s="26" t="n">
        <v>20</v>
      </c>
    </row>
    <row r="88" customFormat="false" ht="15" hidden="false" customHeight="false" outlineLevel="0" collapsed="false">
      <c r="A88" s="8" t="s">
        <v>23</v>
      </c>
      <c r="B88" s="8" t="s">
        <v>323</v>
      </c>
      <c r="C88" s="26" t="n">
        <v>7425</v>
      </c>
      <c r="D88" s="26" t="n">
        <v>3865</v>
      </c>
      <c r="E88" s="39" t="n">
        <v>-2628.728</v>
      </c>
      <c r="F88" s="29" t="n">
        <f aca="false">IF(D88=0,"",E88/D88)</f>
        <v>-0.680136610608021</v>
      </c>
      <c r="G88" s="26" t="n">
        <v>3560</v>
      </c>
      <c r="H88" s="39" t="n">
        <v>-764.734</v>
      </c>
      <c r="I88" s="29" t="n">
        <f aca="false">IF(G88=0,"",H88/G88)</f>
        <v>-0.214812921348315</v>
      </c>
      <c r="J88" s="26" t="n">
        <v>0</v>
      </c>
      <c r="K88" s="43" t="n">
        <v>0.3154</v>
      </c>
      <c r="L88" s="43" t="n">
        <v>0.583</v>
      </c>
      <c r="M88" s="43" t="n">
        <v>0.4703</v>
      </c>
      <c r="N88" s="43" t="n">
        <v>0.3795</v>
      </c>
      <c r="O88" s="43" t="n">
        <v>0.3154</v>
      </c>
      <c r="P88" s="26" t="n">
        <v>7</v>
      </c>
      <c r="Q88" s="26" t="n">
        <v>22</v>
      </c>
    </row>
    <row r="89" customFormat="false" ht="15" hidden="false" customHeight="false" outlineLevel="0" collapsed="false">
      <c r="A89" s="8" t="s">
        <v>23</v>
      </c>
      <c r="B89" s="8" t="s">
        <v>324</v>
      </c>
      <c r="C89" s="26" t="n">
        <v>7425</v>
      </c>
      <c r="D89" s="26" t="n">
        <v>3865</v>
      </c>
      <c r="E89" s="39" t="n">
        <v>-2630.007</v>
      </c>
      <c r="F89" s="29" t="n">
        <f aca="false">IF(D89=0,"",E89/D89)</f>
        <v>-0.680467529107374</v>
      </c>
      <c r="G89" s="26" t="n">
        <v>3560</v>
      </c>
      <c r="H89" s="39" t="n">
        <v>-739.299</v>
      </c>
      <c r="I89" s="29" t="n">
        <f aca="false">IF(G89=0,"",H89/G89)</f>
        <v>-0.207668258426966</v>
      </c>
      <c r="J89" s="26" t="n">
        <v>0</v>
      </c>
      <c r="K89" s="43" t="n">
        <v>0.3184</v>
      </c>
      <c r="L89" s="43" t="n">
        <v>0.5829</v>
      </c>
      <c r="M89" s="43" t="n">
        <v>0.4729</v>
      </c>
      <c r="N89" s="43" t="n">
        <v>0.383</v>
      </c>
      <c r="O89" s="43" t="n">
        <v>0.3184</v>
      </c>
      <c r="P89" s="26" t="n">
        <v>7</v>
      </c>
      <c r="Q89" s="26" t="n">
        <v>22</v>
      </c>
    </row>
    <row r="90" customFormat="false" ht="15" hidden="false" customHeight="false" outlineLevel="0" collapsed="false">
      <c r="A90" s="8" t="s">
        <v>23</v>
      </c>
      <c r="B90" s="8" t="s">
        <v>325</v>
      </c>
      <c r="C90" s="26" t="n">
        <v>7425</v>
      </c>
      <c r="D90" s="26" t="n">
        <v>3865</v>
      </c>
      <c r="E90" s="39" t="n">
        <v>-2630.065</v>
      </c>
      <c r="F90" s="29" t="n">
        <f aca="false">IF(D90=0,"",E90/D90)</f>
        <v>-0.680482535575679</v>
      </c>
      <c r="G90" s="26" t="n">
        <v>3560</v>
      </c>
      <c r="H90" s="39" t="n">
        <v>-764.167</v>
      </c>
      <c r="I90" s="29" t="n">
        <f aca="false">IF(G90=0,"",H90/G90)</f>
        <v>-0.214653651685393</v>
      </c>
      <c r="J90" s="26" t="n">
        <v>0</v>
      </c>
      <c r="K90" s="43" t="n">
        <v>0.3158</v>
      </c>
      <c r="L90" s="43" t="n">
        <v>0.5828</v>
      </c>
      <c r="M90" s="43" t="n">
        <v>0.4692</v>
      </c>
      <c r="N90" s="43" t="n">
        <v>0.3797</v>
      </c>
      <c r="O90" s="43" t="n">
        <v>0.3158</v>
      </c>
      <c r="P90" s="26" t="n">
        <v>8</v>
      </c>
      <c r="Q90" s="26" t="n">
        <v>22</v>
      </c>
    </row>
    <row r="91" customFormat="false" ht="15" hidden="false" customHeight="false" outlineLevel="0" collapsed="false">
      <c r="A91" s="8" t="s">
        <v>23</v>
      </c>
      <c r="B91" s="8" t="s">
        <v>326</v>
      </c>
      <c r="C91" s="26" t="n">
        <v>7425</v>
      </c>
      <c r="D91" s="26" t="n">
        <v>3865</v>
      </c>
      <c r="E91" s="39" t="n">
        <v>-2630.093</v>
      </c>
      <c r="F91" s="29" t="n">
        <f aca="false">IF(D91=0,"",E91/D91)</f>
        <v>-0.68048978007762</v>
      </c>
      <c r="G91" s="26" t="n">
        <v>3560</v>
      </c>
      <c r="H91" s="39" t="n">
        <v>-709.411</v>
      </c>
      <c r="I91" s="29" t="n">
        <f aca="false">IF(G91=0,"",H91/G91)</f>
        <v>-0.199272752808989</v>
      </c>
      <c r="J91" s="26" t="n">
        <v>0</v>
      </c>
      <c r="K91" s="43" t="n">
        <v>0.1939</v>
      </c>
      <c r="L91" s="43" t="n">
        <v>0.5811</v>
      </c>
      <c r="M91" s="43" t="n">
        <v>0.3717</v>
      </c>
      <c r="N91" s="43" t="n">
        <v>0.2548</v>
      </c>
      <c r="O91" s="43" t="n">
        <v>0.1939</v>
      </c>
      <c r="P91" s="26" t="n">
        <v>5</v>
      </c>
      <c r="Q91" s="26" t="n">
        <v>13</v>
      </c>
    </row>
    <row r="92" customFormat="false" ht="15" hidden="false" customHeight="false" outlineLevel="0" collapsed="false">
      <c r="A92" s="8" t="s">
        <v>23</v>
      </c>
      <c r="B92" s="8" t="s">
        <v>327</v>
      </c>
      <c r="C92" s="26" t="n">
        <v>7425</v>
      </c>
      <c r="D92" s="26" t="n">
        <v>3865</v>
      </c>
      <c r="E92" s="39" t="n">
        <v>-2631.112</v>
      </c>
      <c r="F92" s="29" t="n">
        <f aca="false">IF(D92=0,"",E92/D92)</f>
        <v>-0.680753428201811</v>
      </c>
      <c r="G92" s="26" t="n">
        <v>3560</v>
      </c>
      <c r="H92" s="39" t="n">
        <v>-764.85</v>
      </c>
      <c r="I92" s="29" t="n">
        <f aca="false">IF(G92=0,"",H92/G92)</f>
        <v>-0.214845505617978</v>
      </c>
      <c r="J92" s="26" t="n">
        <v>0</v>
      </c>
      <c r="K92" s="43" t="n">
        <v>0.3154</v>
      </c>
      <c r="L92" s="43" t="n">
        <v>0.583</v>
      </c>
      <c r="M92" s="43" t="n">
        <v>0.4702</v>
      </c>
      <c r="N92" s="43" t="n">
        <v>0.3794</v>
      </c>
      <c r="O92" s="43" t="n">
        <v>0.3154</v>
      </c>
      <c r="P92" s="26" t="n">
        <v>7</v>
      </c>
      <c r="Q92" s="26" t="n">
        <v>22</v>
      </c>
    </row>
    <row r="93" customFormat="false" ht="15" hidden="false" customHeight="false" outlineLevel="0" collapsed="false">
      <c r="A93" s="8" t="s">
        <v>23</v>
      </c>
      <c r="B93" s="8" t="s">
        <v>328</v>
      </c>
      <c r="C93" s="26" t="n">
        <v>7425</v>
      </c>
      <c r="D93" s="26" t="n">
        <v>3865</v>
      </c>
      <c r="E93" s="39" t="n">
        <v>-2631.657</v>
      </c>
      <c r="F93" s="29" t="n">
        <f aca="false">IF(D93=0,"",E93/D93)</f>
        <v>-0.680894437257439</v>
      </c>
      <c r="G93" s="26" t="n">
        <v>3560</v>
      </c>
      <c r="H93" s="39" t="n">
        <v>-719.122</v>
      </c>
      <c r="I93" s="29" t="n">
        <f aca="false">IF(G93=0,"",H93/G93)</f>
        <v>-0.202000561797753</v>
      </c>
      <c r="J93" s="26" t="n">
        <v>0</v>
      </c>
      <c r="K93" s="43" t="n">
        <v>0.2457</v>
      </c>
      <c r="L93" s="43" t="n">
        <v>0.5813</v>
      </c>
      <c r="M93" s="43" t="n">
        <v>0.4696</v>
      </c>
      <c r="N93" s="43" t="n">
        <v>0.3231</v>
      </c>
      <c r="O93" s="43" t="n">
        <v>0.2457</v>
      </c>
      <c r="P93" s="26" t="n">
        <v>6</v>
      </c>
      <c r="Q93" s="26" t="n">
        <v>18</v>
      </c>
    </row>
    <row r="94" customFormat="false" ht="15" hidden="false" customHeight="false" outlineLevel="0" collapsed="false">
      <c r="A94" s="8" t="s">
        <v>23</v>
      </c>
      <c r="B94" s="8" t="s">
        <v>329</v>
      </c>
      <c r="C94" s="26" t="n">
        <v>7425</v>
      </c>
      <c r="D94" s="26" t="n">
        <v>3865</v>
      </c>
      <c r="E94" s="39" t="n">
        <v>-2633.983</v>
      </c>
      <c r="F94" s="29" t="n">
        <f aca="false">IF(D94=0,"",E94/D94)</f>
        <v>-0.681496248382924</v>
      </c>
      <c r="G94" s="26" t="n">
        <v>3560</v>
      </c>
      <c r="H94" s="39" t="n">
        <v>-771.623</v>
      </c>
      <c r="I94" s="29" t="n">
        <f aca="false">IF(G94=0,"",H94/G94)</f>
        <v>-0.216748033707865</v>
      </c>
      <c r="J94" s="26" t="n">
        <v>0</v>
      </c>
      <c r="K94" s="43" t="n">
        <v>0.3153</v>
      </c>
      <c r="L94" s="43" t="n">
        <v>0.5802</v>
      </c>
      <c r="M94" s="43" t="n">
        <v>0.4679</v>
      </c>
      <c r="N94" s="43" t="n">
        <v>0.3782</v>
      </c>
      <c r="O94" s="43" t="n">
        <v>0.3153</v>
      </c>
      <c r="P94" s="26" t="n">
        <v>7</v>
      </c>
      <c r="Q94" s="26" t="n">
        <v>22</v>
      </c>
    </row>
    <row r="95" customFormat="false" ht="15" hidden="false" customHeight="false" outlineLevel="0" collapsed="false">
      <c r="A95" s="8" t="s">
        <v>23</v>
      </c>
      <c r="B95" s="8" t="s">
        <v>330</v>
      </c>
      <c r="C95" s="26" t="n">
        <v>7425</v>
      </c>
      <c r="D95" s="26" t="n">
        <v>3865</v>
      </c>
      <c r="E95" s="39" t="n">
        <v>-2635.312</v>
      </c>
      <c r="F95" s="29" t="n">
        <f aca="false">IF(D95=0,"",E95/D95)</f>
        <v>-0.681840103492885</v>
      </c>
      <c r="G95" s="26" t="n">
        <v>3560</v>
      </c>
      <c r="H95" s="39" t="n">
        <v>-750.453</v>
      </c>
      <c r="I95" s="29" t="n">
        <f aca="false">IF(G95=0,"",H95/G95)</f>
        <v>-0.210801404494382</v>
      </c>
      <c r="J95" s="26" t="n">
        <v>0</v>
      </c>
      <c r="K95" s="43" t="n">
        <v>0.3162</v>
      </c>
      <c r="L95" s="43" t="n">
        <v>0.578</v>
      </c>
      <c r="M95" s="43" t="n">
        <v>0.4645</v>
      </c>
      <c r="N95" s="43" t="n">
        <v>0.3785</v>
      </c>
      <c r="O95" s="43" t="n">
        <v>0.3162</v>
      </c>
      <c r="P95" s="26" t="n">
        <v>7</v>
      </c>
      <c r="Q95" s="26" t="n">
        <v>24</v>
      </c>
    </row>
    <row r="96" customFormat="false" ht="15" hidden="false" customHeight="false" outlineLevel="0" collapsed="false">
      <c r="A96" s="8" t="s">
        <v>23</v>
      </c>
      <c r="B96" s="8" t="s">
        <v>331</v>
      </c>
      <c r="C96" s="26" t="n">
        <v>7425</v>
      </c>
      <c r="D96" s="26" t="n">
        <v>3865</v>
      </c>
      <c r="E96" s="39" t="n">
        <v>-2636.111</v>
      </c>
      <c r="F96" s="29" t="n">
        <f aca="false">IF(D96=0,"",E96/D96)</f>
        <v>-0.682046830530401</v>
      </c>
      <c r="G96" s="26" t="n">
        <v>3560</v>
      </c>
      <c r="H96" s="39" t="n">
        <v>-773.043</v>
      </c>
      <c r="I96" s="29" t="n">
        <f aca="false">IF(G96=0,"",H96/G96)</f>
        <v>-0.21714691011236</v>
      </c>
      <c r="J96" s="26" t="n">
        <v>0</v>
      </c>
      <c r="K96" s="43" t="n">
        <v>0.3145</v>
      </c>
      <c r="L96" s="43" t="n">
        <v>0.5833</v>
      </c>
      <c r="M96" s="43" t="n">
        <v>0.4694</v>
      </c>
      <c r="N96" s="43" t="n">
        <v>0.378</v>
      </c>
      <c r="O96" s="43" t="n">
        <v>0.3145</v>
      </c>
      <c r="P96" s="26" t="n">
        <v>7</v>
      </c>
      <c r="Q96" s="26" t="n">
        <v>22</v>
      </c>
    </row>
    <row r="97" customFormat="false" ht="15" hidden="false" customHeight="false" outlineLevel="0" collapsed="false">
      <c r="A97" s="8" t="s">
        <v>23</v>
      </c>
      <c r="B97" s="8" t="s">
        <v>332</v>
      </c>
      <c r="C97" s="26" t="n">
        <v>7425</v>
      </c>
      <c r="D97" s="26" t="n">
        <v>3865</v>
      </c>
      <c r="E97" s="39" t="n">
        <v>-2638.345</v>
      </c>
      <c r="F97" s="29" t="n">
        <f aca="false">IF(D97=0,"",E97/D97)</f>
        <v>-0.682624838292367</v>
      </c>
      <c r="G97" s="26" t="n">
        <v>3560</v>
      </c>
      <c r="H97" s="39" t="n">
        <v>-762.898</v>
      </c>
      <c r="I97" s="29" t="n">
        <f aca="false">IF(G97=0,"",H97/G97)</f>
        <v>-0.214297191011236</v>
      </c>
      <c r="J97" s="26" t="n">
        <v>0</v>
      </c>
      <c r="K97" s="43" t="n">
        <v>0.3153</v>
      </c>
      <c r="L97" s="43" t="n">
        <v>0.5826</v>
      </c>
      <c r="M97" s="43" t="n">
        <v>0.4699</v>
      </c>
      <c r="N97" s="43" t="n">
        <v>0.3793</v>
      </c>
      <c r="O97" s="43" t="n">
        <v>0.3153</v>
      </c>
      <c r="P97" s="26" t="n">
        <v>7</v>
      </c>
      <c r="Q97" s="26" t="n">
        <v>22</v>
      </c>
    </row>
    <row r="98" customFormat="false" ht="15" hidden="false" customHeight="false" outlineLevel="0" collapsed="false">
      <c r="A98" s="8" t="s">
        <v>23</v>
      </c>
      <c r="B98" s="8" t="s">
        <v>333</v>
      </c>
      <c r="C98" s="26" t="n">
        <v>7425</v>
      </c>
      <c r="D98" s="26" t="n">
        <v>3865</v>
      </c>
      <c r="E98" s="39" t="n">
        <v>-2639.857</v>
      </c>
      <c r="F98" s="29" t="n">
        <f aca="false">IF(D98=0,"",E98/D98)</f>
        <v>-0.683016041397154</v>
      </c>
      <c r="G98" s="26" t="n">
        <v>3560</v>
      </c>
      <c r="H98" s="39" t="n">
        <v>-771.17</v>
      </c>
      <c r="I98" s="29" t="n">
        <f aca="false">IF(G98=0,"",H98/G98)</f>
        <v>-0.216620786516854</v>
      </c>
      <c r="J98" s="26" t="n">
        <v>0</v>
      </c>
      <c r="K98" s="43" t="n">
        <v>0.3166</v>
      </c>
      <c r="L98" s="43" t="n">
        <v>0.5849</v>
      </c>
      <c r="M98" s="43" t="n">
        <v>0.4741</v>
      </c>
      <c r="N98" s="43" t="n">
        <v>0.3825</v>
      </c>
      <c r="O98" s="43" t="n">
        <v>0.3166</v>
      </c>
      <c r="P98" s="26" t="n">
        <v>7</v>
      </c>
      <c r="Q98" s="26" t="n">
        <v>20</v>
      </c>
    </row>
    <row r="99" customFormat="false" ht="15" hidden="false" customHeight="false" outlineLevel="0" collapsed="false">
      <c r="A99" s="8" t="s">
        <v>23</v>
      </c>
      <c r="B99" s="8" t="s">
        <v>334</v>
      </c>
      <c r="C99" s="26" t="n">
        <v>7425</v>
      </c>
      <c r="D99" s="26" t="n">
        <v>3865</v>
      </c>
      <c r="E99" s="39" t="n">
        <v>-2640.039</v>
      </c>
      <c r="F99" s="29" t="n">
        <f aca="false">IF(D99=0,"",E99/D99)</f>
        <v>-0.683063130659767</v>
      </c>
      <c r="G99" s="26" t="n">
        <v>3560</v>
      </c>
      <c r="H99" s="39" t="n">
        <v>-753.197</v>
      </c>
      <c r="I99" s="29" t="n">
        <f aca="false">IF(G99=0,"",H99/G99)</f>
        <v>-0.211572191011236</v>
      </c>
      <c r="J99" s="26" t="n">
        <v>0</v>
      </c>
      <c r="K99" s="43" t="n">
        <v>0.3153</v>
      </c>
      <c r="L99" s="43" t="n">
        <v>0.5824</v>
      </c>
      <c r="M99" s="43" t="n">
        <v>0.4691</v>
      </c>
      <c r="N99" s="43" t="n">
        <v>0.3785</v>
      </c>
      <c r="O99" s="43" t="n">
        <v>0.3153</v>
      </c>
      <c r="P99" s="26" t="n">
        <v>7</v>
      </c>
      <c r="Q99" s="26" t="n">
        <v>22</v>
      </c>
    </row>
    <row r="100" customFormat="false" ht="15" hidden="false" customHeight="false" outlineLevel="0" collapsed="false">
      <c r="A100" s="8" t="s">
        <v>23</v>
      </c>
      <c r="B100" s="8" t="s">
        <v>335</v>
      </c>
      <c r="C100" s="26" t="n">
        <v>7410</v>
      </c>
      <c r="D100" s="26" t="n">
        <v>3863</v>
      </c>
      <c r="E100" s="39" t="n">
        <v>-2638.822</v>
      </c>
      <c r="F100" s="29" t="n">
        <f aca="false">IF(D100=0,"",E100/D100)</f>
        <v>-0.683101734403314</v>
      </c>
      <c r="G100" s="26" t="n">
        <v>3547</v>
      </c>
      <c r="H100" s="39" t="n">
        <v>-748.819</v>
      </c>
      <c r="I100" s="29" t="n">
        <f aca="false">IF(G100=0,"",H100/G100)</f>
        <v>-0.211113335212856</v>
      </c>
      <c r="J100" s="26" t="n">
        <v>0</v>
      </c>
      <c r="K100" s="43" t="n">
        <v>0.3157</v>
      </c>
      <c r="L100" s="43" t="n">
        <v>0.5831</v>
      </c>
      <c r="M100" s="43" t="n">
        <v>0.4704</v>
      </c>
      <c r="N100" s="43" t="n">
        <v>0.3798</v>
      </c>
      <c r="O100" s="43" t="n">
        <v>0.3157</v>
      </c>
      <c r="P100" s="26" t="n">
        <v>7</v>
      </c>
      <c r="Q100" s="26" t="n">
        <v>22</v>
      </c>
    </row>
    <row r="101" customFormat="false" ht="15" hidden="false" customHeight="false" outlineLevel="0" collapsed="false">
      <c r="A101" s="8" t="s">
        <v>23</v>
      </c>
      <c r="B101" s="8" t="s">
        <v>336</v>
      </c>
      <c r="C101" s="26" t="n">
        <v>7425</v>
      </c>
      <c r="D101" s="26" t="n">
        <v>3865</v>
      </c>
      <c r="E101" s="39" t="n">
        <v>-2640.915</v>
      </c>
      <c r="F101" s="29" t="n">
        <f aca="false">IF(D101=0,"",E101/D101)</f>
        <v>-0.68328978007762</v>
      </c>
      <c r="G101" s="26" t="n">
        <v>3560</v>
      </c>
      <c r="H101" s="39" t="n">
        <v>-779.915</v>
      </c>
      <c r="I101" s="29" t="n">
        <f aca="false">IF(G101=0,"",H101/G101)</f>
        <v>-0.219077247191011</v>
      </c>
      <c r="J101" s="26" t="n">
        <v>0</v>
      </c>
      <c r="K101" s="43" t="n">
        <v>0.3174</v>
      </c>
      <c r="L101" s="43" t="n">
        <v>0.5842</v>
      </c>
      <c r="M101" s="43" t="n">
        <v>0.4721</v>
      </c>
      <c r="N101" s="43" t="n">
        <v>0.3815</v>
      </c>
      <c r="O101" s="43" t="n">
        <v>0.3174</v>
      </c>
      <c r="P101" s="26" t="n">
        <v>8</v>
      </c>
      <c r="Q101" s="26" t="n">
        <v>20</v>
      </c>
    </row>
    <row r="102" customFormat="false" ht="15" hidden="false" customHeight="false" outlineLevel="0" collapsed="false">
      <c r="A102" s="8" t="s">
        <v>23</v>
      </c>
      <c r="B102" s="8" t="s">
        <v>337</v>
      </c>
      <c r="C102" s="26" t="n">
        <v>7425</v>
      </c>
      <c r="D102" s="26" t="n">
        <v>3865</v>
      </c>
      <c r="E102" s="39" t="n">
        <v>-2642.319</v>
      </c>
      <c r="F102" s="29" t="n">
        <f aca="false">IF(D102=0,"",E102/D102)</f>
        <v>-0.683653040103493</v>
      </c>
      <c r="G102" s="26" t="n">
        <v>3560</v>
      </c>
      <c r="H102" s="39" t="n">
        <v>-801.499</v>
      </c>
      <c r="I102" s="29" t="n">
        <f aca="false">IF(G102=0,"",H102/G102)</f>
        <v>-0.225140168539326</v>
      </c>
      <c r="J102" s="26" t="n">
        <v>0</v>
      </c>
      <c r="K102" s="43" t="n">
        <v>0.3164</v>
      </c>
      <c r="L102" s="43" t="n">
        <v>0.5856</v>
      </c>
      <c r="M102" s="43" t="n">
        <v>0.4702</v>
      </c>
      <c r="N102" s="43" t="n">
        <v>0.3787</v>
      </c>
      <c r="O102" s="43" t="n">
        <v>0.3164</v>
      </c>
      <c r="P102" s="26" t="n">
        <v>8</v>
      </c>
      <c r="Q102" s="26" t="n">
        <v>21</v>
      </c>
    </row>
    <row r="103" customFormat="false" ht="15" hidden="false" customHeight="false" outlineLevel="0" collapsed="false">
      <c r="A103" s="8" t="s">
        <v>23</v>
      </c>
      <c r="B103" s="8" t="s">
        <v>338</v>
      </c>
      <c r="C103" s="26" t="n">
        <v>7425</v>
      </c>
      <c r="D103" s="26" t="n">
        <v>3865</v>
      </c>
      <c r="E103" s="39" t="n">
        <v>-2643.32</v>
      </c>
      <c r="F103" s="29" t="n">
        <f aca="false">IF(D103=0,"",E103/D103)</f>
        <v>-0.683912031047866</v>
      </c>
      <c r="G103" s="26" t="n">
        <v>3560</v>
      </c>
      <c r="H103" s="39" t="n">
        <v>-769.358</v>
      </c>
      <c r="I103" s="29" t="n">
        <f aca="false">IF(G103=0,"",H103/G103)</f>
        <v>-0.216111797752809</v>
      </c>
      <c r="J103" s="26" t="n">
        <v>0</v>
      </c>
      <c r="K103" s="43" t="n">
        <v>0.315</v>
      </c>
      <c r="L103" s="43" t="n">
        <v>0.5825</v>
      </c>
      <c r="M103" s="43" t="n">
        <v>0.4691</v>
      </c>
      <c r="N103" s="43" t="n">
        <v>0.3789</v>
      </c>
      <c r="O103" s="43" t="n">
        <v>0.315</v>
      </c>
      <c r="P103" s="26" t="n">
        <v>7</v>
      </c>
      <c r="Q103" s="26" t="n">
        <v>22</v>
      </c>
    </row>
    <row r="104" customFormat="false" ht="15" hidden="false" customHeight="false" outlineLevel="0" collapsed="false">
      <c r="A104" s="8" t="s">
        <v>23</v>
      </c>
      <c r="B104" s="8" t="s">
        <v>339</v>
      </c>
      <c r="C104" s="26" t="n">
        <v>7425</v>
      </c>
      <c r="D104" s="26" t="n">
        <v>3865</v>
      </c>
      <c r="E104" s="39" t="n">
        <v>-2643.32</v>
      </c>
      <c r="F104" s="29" t="n">
        <f aca="false">IF(D104=0,"",E104/D104)</f>
        <v>-0.683912031047866</v>
      </c>
      <c r="G104" s="26" t="n">
        <v>3560</v>
      </c>
      <c r="H104" s="39" t="n">
        <v>-763.855</v>
      </c>
      <c r="I104" s="29" t="n">
        <f aca="false">IF(G104=0,"",H104/G104)</f>
        <v>-0.214566011235955</v>
      </c>
      <c r="J104" s="26" t="n">
        <v>0</v>
      </c>
      <c r="K104" s="43" t="n">
        <v>0.3153</v>
      </c>
      <c r="L104" s="43" t="n">
        <v>0.5828</v>
      </c>
      <c r="M104" s="43" t="n">
        <v>0.4698</v>
      </c>
      <c r="N104" s="43" t="n">
        <v>0.3793</v>
      </c>
      <c r="O104" s="43" t="n">
        <v>0.3153</v>
      </c>
      <c r="P104" s="26" t="n">
        <v>7</v>
      </c>
      <c r="Q104" s="26" t="n">
        <v>22</v>
      </c>
    </row>
    <row r="105" customFormat="false" ht="15" hidden="false" customHeight="false" outlineLevel="0" collapsed="false">
      <c r="A105" s="8" t="s">
        <v>23</v>
      </c>
      <c r="B105" s="8" t="s">
        <v>340</v>
      </c>
      <c r="C105" s="26" t="n">
        <v>7425</v>
      </c>
      <c r="D105" s="26" t="n">
        <v>3865</v>
      </c>
      <c r="E105" s="39" t="n">
        <v>-2644.588</v>
      </c>
      <c r="F105" s="29" t="n">
        <f aca="false">IF(D105=0,"",E105/D105)</f>
        <v>-0.684240103492885</v>
      </c>
      <c r="G105" s="26" t="n">
        <v>3560</v>
      </c>
      <c r="H105" s="39" t="n">
        <v>-773.302</v>
      </c>
      <c r="I105" s="29" t="n">
        <f aca="false">IF(G105=0,"",H105/G105)</f>
        <v>-0.217219662921348</v>
      </c>
      <c r="J105" s="26" t="n">
        <v>0</v>
      </c>
      <c r="K105" s="43" t="n">
        <v>0.315</v>
      </c>
      <c r="L105" s="43" t="n">
        <v>0.5826</v>
      </c>
      <c r="M105" s="43" t="n">
        <v>0.4695</v>
      </c>
      <c r="N105" s="43" t="n">
        <v>0.3791</v>
      </c>
      <c r="O105" s="43" t="n">
        <v>0.315</v>
      </c>
      <c r="P105" s="26" t="n">
        <v>7</v>
      </c>
      <c r="Q105" s="26" t="n">
        <v>22</v>
      </c>
    </row>
    <row r="106" customFormat="false" ht="15" hidden="false" customHeight="false" outlineLevel="0" collapsed="false">
      <c r="A106" s="8" t="s">
        <v>23</v>
      </c>
      <c r="B106" s="8" t="s">
        <v>341</v>
      </c>
      <c r="C106" s="26" t="n">
        <v>7425</v>
      </c>
      <c r="D106" s="26" t="n">
        <v>3865</v>
      </c>
      <c r="E106" s="39" t="n">
        <v>-2646.194</v>
      </c>
      <c r="F106" s="29" t="n">
        <f aca="false">IF(D106=0,"",E106/D106)</f>
        <v>-0.684655627425615</v>
      </c>
      <c r="G106" s="26" t="n">
        <v>3560</v>
      </c>
      <c r="H106" s="39" t="n">
        <v>-761.02</v>
      </c>
      <c r="I106" s="29" t="n">
        <f aca="false">IF(G106=0,"",H106/G106)</f>
        <v>-0.213769662921348</v>
      </c>
      <c r="J106" s="26" t="n">
        <v>0</v>
      </c>
      <c r="K106" s="43" t="n">
        <v>0.3154</v>
      </c>
      <c r="L106" s="43" t="n">
        <v>0.5828</v>
      </c>
      <c r="M106" s="43" t="n">
        <v>0.4698</v>
      </c>
      <c r="N106" s="43" t="n">
        <v>0.3794</v>
      </c>
      <c r="O106" s="43" t="n">
        <v>0.3154</v>
      </c>
      <c r="P106" s="26" t="n">
        <v>7</v>
      </c>
      <c r="Q106" s="26" t="n">
        <v>22</v>
      </c>
    </row>
    <row r="107" customFormat="false" ht="15" hidden="false" customHeight="false" outlineLevel="0" collapsed="false">
      <c r="A107" s="8" t="s">
        <v>23</v>
      </c>
      <c r="B107" s="8" t="s">
        <v>342</v>
      </c>
      <c r="C107" s="26" t="n">
        <v>7425</v>
      </c>
      <c r="D107" s="26" t="n">
        <v>3865</v>
      </c>
      <c r="E107" s="39" t="n">
        <v>-2646.202</v>
      </c>
      <c r="F107" s="29" t="n">
        <f aca="false">IF(D107=0,"",E107/D107)</f>
        <v>-0.684657697283312</v>
      </c>
      <c r="G107" s="26" t="n">
        <v>3560</v>
      </c>
      <c r="H107" s="39" t="n">
        <v>-758.395</v>
      </c>
      <c r="I107" s="29" t="n">
        <f aca="false">IF(G107=0,"",H107/G107)</f>
        <v>-0.213032303370787</v>
      </c>
      <c r="J107" s="26" t="n">
        <v>0</v>
      </c>
      <c r="K107" s="43" t="n">
        <v>0.3156</v>
      </c>
      <c r="L107" s="43" t="n">
        <v>0.5833</v>
      </c>
      <c r="M107" s="43" t="n">
        <v>0.4704</v>
      </c>
      <c r="N107" s="43" t="n">
        <v>0.3795</v>
      </c>
      <c r="O107" s="43" t="n">
        <v>0.3156</v>
      </c>
      <c r="P107" s="26" t="n">
        <v>7</v>
      </c>
      <c r="Q107" s="26" t="n">
        <v>22</v>
      </c>
    </row>
    <row r="108" customFormat="false" ht="15" hidden="false" customHeight="false" outlineLevel="0" collapsed="false">
      <c r="A108" s="8" t="s">
        <v>23</v>
      </c>
      <c r="B108" s="8" t="s">
        <v>343</v>
      </c>
      <c r="C108" s="26" t="n">
        <v>7425</v>
      </c>
      <c r="D108" s="26" t="n">
        <v>3865</v>
      </c>
      <c r="E108" s="39" t="n">
        <v>-2646.568</v>
      </c>
      <c r="F108" s="29" t="n">
        <f aca="false">IF(D108=0,"",E108/D108)</f>
        <v>-0.684752393272963</v>
      </c>
      <c r="G108" s="26" t="n">
        <v>3560</v>
      </c>
      <c r="H108" s="39" t="n">
        <v>-757.795</v>
      </c>
      <c r="I108" s="29" t="n">
        <f aca="false">IF(G108=0,"",H108/G108)</f>
        <v>-0.212863764044944</v>
      </c>
      <c r="J108" s="26" t="n">
        <v>0</v>
      </c>
      <c r="K108" s="43" t="n">
        <v>0.3162</v>
      </c>
      <c r="L108" s="43" t="n">
        <v>0.5826</v>
      </c>
      <c r="M108" s="43" t="n">
        <v>0.4699</v>
      </c>
      <c r="N108" s="43" t="n">
        <v>0.3797</v>
      </c>
      <c r="O108" s="43" t="n">
        <v>0.3162</v>
      </c>
      <c r="P108" s="26" t="n">
        <v>7</v>
      </c>
      <c r="Q108" s="26" t="n">
        <v>22</v>
      </c>
    </row>
    <row r="109" customFormat="false" ht="15" hidden="false" customHeight="false" outlineLevel="0" collapsed="false">
      <c r="A109" s="8" t="s">
        <v>23</v>
      </c>
      <c r="B109" s="8" t="s">
        <v>344</v>
      </c>
      <c r="C109" s="26" t="n">
        <v>7425</v>
      </c>
      <c r="D109" s="26" t="n">
        <v>3865</v>
      </c>
      <c r="E109" s="39" t="n">
        <v>-2649.638</v>
      </c>
      <c r="F109" s="29" t="n">
        <f aca="false">IF(D109=0,"",E109/D109)</f>
        <v>-0.685546701164295</v>
      </c>
      <c r="G109" s="26" t="n">
        <v>3560</v>
      </c>
      <c r="H109" s="39" t="n">
        <v>-764.282</v>
      </c>
      <c r="I109" s="29" t="n">
        <f aca="false">IF(G109=0,"",H109/G109)</f>
        <v>-0.21468595505618</v>
      </c>
      <c r="J109" s="26" t="n">
        <v>0</v>
      </c>
      <c r="K109" s="43" t="n">
        <v>0.3147</v>
      </c>
      <c r="L109" s="43" t="n">
        <v>0.583</v>
      </c>
      <c r="M109" s="43" t="n">
        <v>0.4703</v>
      </c>
      <c r="N109" s="43" t="n">
        <v>0.3785</v>
      </c>
      <c r="O109" s="43" t="n">
        <v>0.3147</v>
      </c>
      <c r="P109" s="26" t="n">
        <v>7</v>
      </c>
      <c r="Q109" s="26" t="n">
        <v>22</v>
      </c>
    </row>
    <row r="110" customFormat="false" ht="15" hidden="false" customHeight="false" outlineLevel="0" collapsed="false">
      <c r="A110" s="8" t="s">
        <v>23</v>
      </c>
      <c r="B110" s="8" t="s">
        <v>345</v>
      </c>
      <c r="C110" s="26" t="n">
        <v>7425</v>
      </c>
      <c r="D110" s="26" t="n">
        <v>3865</v>
      </c>
      <c r="E110" s="39" t="n">
        <v>-2654.63</v>
      </c>
      <c r="F110" s="29" t="n">
        <f aca="false">IF(D110=0,"",E110/D110)</f>
        <v>-0.6868382923674</v>
      </c>
      <c r="G110" s="26" t="n">
        <v>3560</v>
      </c>
      <c r="H110" s="39" t="n">
        <v>-768.658</v>
      </c>
      <c r="I110" s="29" t="n">
        <f aca="false">IF(G110=0,"",H110/G110)</f>
        <v>-0.215915168539326</v>
      </c>
      <c r="J110" s="26" t="n">
        <v>0</v>
      </c>
      <c r="K110" s="43" t="n">
        <v>0.3147</v>
      </c>
      <c r="L110" s="43" t="n">
        <v>0.5821</v>
      </c>
      <c r="M110" s="43" t="n">
        <v>0.4688</v>
      </c>
      <c r="N110" s="43" t="n">
        <v>0.3785</v>
      </c>
      <c r="O110" s="43" t="n">
        <v>0.3147</v>
      </c>
      <c r="P110" s="26" t="n">
        <v>7</v>
      </c>
      <c r="Q110" s="26" t="n">
        <v>22</v>
      </c>
    </row>
    <row r="111" customFormat="false" ht="15" hidden="false" customHeight="false" outlineLevel="0" collapsed="false">
      <c r="A111" s="8" t="s">
        <v>23</v>
      </c>
      <c r="B111" s="8" t="s">
        <v>346</v>
      </c>
      <c r="C111" s="26" t="n">
        <v>7425</v>
      </c>
      <c r="D111" s="26" t="n">
        <v>3865</v>
      </c>
      <c r="E111" s="39" t="n">
        <v>-2654.839</v>
      </c>
      <c r="F111" s="29" t="n">
        <f aca="false">IF(D111=0,"",E111/D111)</f>
        <v>-0.686892367399741</v>
      </c>
      <c r="G111" s="26" t="n">
        <v>3560</v>
      </c>
      <c r="H111" s="39" t="n">
        <v>-768.658</v>
      </c>
      <c r="I111" s="29" t="n">
        <f aca="false">IF(G111=0,"",H111/G111)</f>
        <v>-0.215915168539326</v>
      </c>
      <c r="J111" s="26" t="n">
        <v>0</v>
      </c>
      <c r="K111" s="43" t="n">
        <v>0.3147</v>
      </c>
      <c r="L111" s="43" t="n">
        <v>0.5821</v>
      </c>
      <c r="M111" s="43" t="n">
        <v>0.4688</v>
      </c>
      <c r="N111" s="43" t="n">
        <v>0.3785</v>
      </c>
      <c r="O111" s="43" t="n">
        <v>0.3147</v>
      </c>
      <c r="P111" s="26" t="n">
        <v>7</v>
      </c>
      <c r="Q111" s="26" t="n">
        <v>22</v>
      </c>
    </row>
    <row r="112" customFormat="false" ht="15" hidden="false" customHeight="false" outlineLevel="0" collapsed="false">
      <c r="A112" s="8" t="s">
        <v>23</v>
      </c>
      <c r="B112" s="8" t="s">
        <v>347</v>
      </c>
      <c r="C112" s="26" t="n">
        <v>7425</v>
      </c>
      <c r="D112" s="26" t="n">
        <v>3865</v>
      </c>
      <c r="E112" s="39" t="n">
        <v>-2655.894</v>
      </c>
      <c r="F112" s="29" t="n">
        <f aca="false">IF(D112=0,"",E112/D112)</f>
        <v>-0.687165329883571</v>
      </c>
      <c r="G112" s="26" t="n">
        <v>3560</v>
      </c>
      <c r="H112" s="39" t="n">
        <v>-785.461</v>
      </c>
      <c r="I112" s="29" t="n">
        <f aca="false">IF(G112=0,"",H112/G112)</f>
        <v>-0.220635112359551</v>
      </c>
      <c r="J112" s="26" t="n">
        <v>0</v>
      </c>
      <c r="K112" s="43" t="n">
        <v>0.3137</v>
      </c>
      <c r="L112" s="43" t="n">
        <v>0.5789</v>
      </c>
      <c r="M112" s="43" t="n">
        <v>0.4671</v>
      </c>
      <c r="N112" s="43" t="n">
        <v>0.3767</v>
      </c>
      <c r="O112" s="43" t="n">
        <v>0.3137</v>
      </c>
      <c r="P112" s="26" t="n">
        <v>8</v>
      </c>
      <c r="Q112" s="26" t="n">
        <v>22</v>
      </c>
    </row>
    <row r="113" customFormat="false" ht="15" hidden="false" customHeight="false" outlineLevel="0" collapsed="false">
      <c r="A113" s="8" t="s">
        <v>23</v>
      </c>
      <c r="B113" s="8" t="s">
        <v>348</v>
      </c>
      <c r="C113" s="26" t="n">
        <v>7425</v>
      </c>
      <c r="D113" s="26" t="n">
        <v>3865</v>
      </c>
      <c r="E113" s="39" t="n">
        <v>-2656.263</v>
      </c>
      <c r="F113" s="29" t="n">
        <f aca="false">IF(D113=0,"",E113/D113)</f>
        <v>-0.687260802069858</v>
      </c>
      <c r="G113" s="26" t="n">
        <v>3560</v>
      </c>
      <c r="H113" s="39" t="n">
        <v>-733.216</v>
      </c>
      <c r="I113" s="29" t="n">
        <f aca="false">IF(G113=0,"",H113/G113)</f>
        <v>-0.205959550561798</v>
      </c>
      <c r="J113" s="26" t="n">
        <v>0</v>
      </c>
      <c r="K113" s="43" t="n">
        <v>0.3146</v>
      </c>
      <c r="L113" s="43" t="n">
        <v>0.5841</v>
      </c>
      <c r="M113" s="43" t="n">
        <v>0.4704</v>
      </c>
      <c r="N113" s="43" t="n">
        <v>0.3776</v>
      </c>
      <c r="O113" s="43" t="n">
        <v>0.3146</v>
      </c>
      <c r="P113" s="26" t="n">
        <v>7</v>
      </c>
      <c r="Q113" s="26" t="n">
        <v>22</v>
      </c>
    </row>
    <row r="114" customFormat="false" ht="15" hidden="false" customHeight="false" outlineLevel="0" collapsed="false">
      <c r="A114" s="8" t="s">
        <v>23</v>
      </c>
      <c r="B114" s="8" t="s">
        <v>349</v>
      </c>
      <c r="C114" s="26" t="n">
        <v>7425</v>
      </c>
      <c r="D114" s="26" t="n">
        <v>3865</v>
      </c>
      <c r="E114" s="39" t="n">
        <v>-2659.652</v>
      </c>
      <c r="F114" s="29" t="n">
        <f aca="false">IF(D114=0,"",E114/D114)</f>
        <v>-0.688137645536869</v>
      </c>
      <c r="G114" s="26" t="n">
        <v>3560</v>
      </c>
      <c r="H114" s="39" t="n">
        <v>-768.093</v>
      </c>
      <c r="I114" s="29" t="n">
        <f aca="false">IF(G114=0,"",H114/G114)</f>
        <v>-0.215756460674157</v>
      </c>
      <c r="J114" s="26" t="n">
        <v>0</v>
      </c>
      <c r="K114" s="43" t="n">
        <v>0.3139</v>
      </c>
      <c r="L114" s="43" t="n">
        <v>0.5809</v>
      </c>
      <c r="M114" s="43" t="n">
        <v>0.4671</v>
      </c>
      <c r="N114" s="43" t="n">
        <v>0.3778</v>
      </c>
      <c r="O114" s="43" t="n">
        <v>0.3139</v>
      </c>
      <c r="P114" s="26" t="n">
        <v>7</v>
      </c>
      <c r="Q114" s="26" t="n">
        <v>22</v>
      </c>
    </row>
    <row r="115" customFormat="false" ht="15" hidden="false" customHeight="false" outlineLevel="0" collapsed="false">
      <c r="A115" s="8" t="s">
        <v>23</v>
      </c>
      <c r="B115" s="8" t="s">
        <v>350</v>
      </c>
      <c r="C115" s="26" t="n">
        <v>7425</v>
      </c>
      <c r="D115" s="26" t="n">
        <v>3865</v>
      </c>
      <c r="E115" s="39" t="n">
        <v>-2663.761</v>
      </c>
      <c r="F115" s="29" t="n">
        <f aca="false">IF(D115=0,"",E115/D115)</f>
        <v>-0.689200776196636</v>
      </c>
      <c r="G115" s="26" t="n">
        <v>3560</v>
      </c>
      <c r="H115" s="39" t="n">
        <v>-761.185</v>
      </c>
      <c r="I115" s="29" t="n">
        <f aca="false">IF(G115=0,"",H115/G115)</f>
        <v>-0.213816011235955</v>
      </c>
      <c r="J115" s="26" t="n">
        <v>0</v>
      </c>
      <c r="K115" s="43" t="n">
        <v>0.3161</v>
      </c>
      <c r="L115" s="43" t="n">
        <v>0.5824</v>
      </c>
      <c r="M115" s="43" t="n">
        <v>0.4699</v>
      </c>
      <c r="N115" s="43" t="n">
        <v>0.3813</v>
      </c>
      <c r="O115" s="43" t="n">
        <v>0.3161</v>
      </c>
      <c r="P115" s="26" t="n">
        <v>7</v>
      </c>
      <c r="Q115" s="26" t="n">
        <v>20</v>
      </c>
    </row>
    <row r="116" customFormat="false" ht="15" hidden="false" customHeight="false" outlineLevel="0" collapsed="false">
      <c r="A116" s="8" t="s">
        <v>23</v>
      </c>
      <c r="B116" s="8" t="s">
        <v>351</v>
      </c>
      <c r="C116" s="26" t="n">
        <v>7425</v>
      </c>
      <c r="D116" s="26" t="n">
        <v>3865</v>
      </c>
      <c r="E116" s="39" t="n">
        <v>-2664.056</v>
      </c>
      <c r="F116" s="29" t="n">
        <f aca="false">IF(D116=0,"",E116/D116)</f>
        <v>-0.689277102199224</v>
      </c>
      <c r="G116" s="26" t="n">
        <v>3560</v>
      </c>
      <c r="H116" s="39" t="n">
        <v>-760.398</v>
      </c>
      <c r="I116" s="29" t="n">
        <f aca="false">IF(G116=0,"",H116/G116)</f>
        <v>-0.213594943820225</v>
      </c>
      <c r="J116" s="26" t="n">
        <v>0</v>
      </c>
      <c r="K116" s="43" t="n">
        <v>0.3147</v>
      </c>
      <c r="L116" s="43" t="n">
        <v>0.5837</v>
      </c>
      <c r="M116" s="43" t="n">
        <v>0.4708</v>
      </c>
      <c r="N116" s="43" t="n">
        <v>0.3783</v>
      </c>
      <c r="O116" s="43" t="n">
        <v>0.3147</v>
      </c>
      <c r="P116" s="26" t="n">
        <v>7</v>
      </c>
      <c r="Q116" s="26" t="n">
        <v>22</v>
      </c>
    </row>
    <row r="117" customFormat="false" ht="15" hidden="false" customHeight="false" outlineLevel="0" collapsed="false">
      <c r="A117" s="8" t="s">
        <v>23</v>
      </c>
      <c r="B117" s="8" t="s">
        <v>352</v>
      </c>
      <c r="C117" s="26" t="n">
        <v>7425</v>
      </c>
      <c r="D117" s="26" t="n">
        <v>3865</v>
      </c>
      <c r="E117" s="39" t="n">
        <v>-2664.313</v>
      </c>
      <c r="F117" s="29" t="n">
        <f aca="false">IF(D117=0,"",E117/D117)</f>
        <v>-0.689343596377749</v>
      </c>
      <c r="G117" s="26" t="n">
        <v>3560</v>
      </c>
      <c r="H117" s="39" t="n">
        <v>-754.893</v>
      </c>
      <c r="I117" s="29" t="n">
        <f aca="false">IF(G117=0,"",H117/G117)</f>
        <v>-0.212048595505618</v>
      </c>
      <c r="J117" s="26" t="n">
        <v>0</v>
      </c>
      <c r="K117" s="43" t="n">
        <v>0.3164</v>
      </c>
      <c r="L117" s="43" t="n">
        <v>0.5825</v>
      </c>
      <c r="M117" s="43" t="n">
        <v>0.47</v>
      </c>
      <c r="N117" s="43" t="n">
        <v>0.3814</v>
      </c>
      <c r="O117" s="43" t="n">
        <v>0.3164</v>
      </c>
      <c r="P117" s="26" t="n">
        <v>7</v>
      </c>
      <c r="Q117" s="26" t="n">
        <v>20</v>
      </c>
    </row>
    <row r="118" customFormat="false" ht="15" hidden="false" customHeight="false" outlineLevel="0" collapsed="false">
      <c r="A118" s="8" t="s">
        <v>23</v>
      </c>
      <c r="B118" s="8" t="s">
        <v>353</v>
      </c>
      <c r="C118" s="26" t="n">
        <v>7425</v>
      </c>
      <c r="D118" s="26" t="n">
        <v>3865</v>
      </c>
      <c r="E118" s="39" t="n">
        <v>-2668.687</v>
      </c>
      <c r="F118" s="29" t="n">
        <f aca="false">IF(D118=0,"",E118/D118)</f>
        <v>-0.690475291073739</v>
      </c>
      <c r="G118" s="26" t="n">
        <v>3560</v>
      </c>
      <c r="H118" s="39" t="n">
        <v>-841.65</v>
      </c>
      <c r="I118" s="29" t="n">
        <f aca="false">IF(G118=0,"",H118/G118)</f>
        <v>-0.236418539325843</v>
      </c>
      <c r="J118" s="26" t="n">
        <v>0</v>
      </c>
      <c r="K118" s="43" t="n">
        <v>0.3106</v>
      </c>
      <c r="L118" s="43" t="n">
        <v>0.576</v>
      </c>
      <c r="M118" s="43" t="n">
        <v>0.4638</v>
      </c>
      <c r="N118" s="43" t="n">
        <v>0.3729</v>
      </c>
      <c r="O118" s="43" t="n">
        <v>0.3106</v>
      </c>
      <c r="P118" s="26" t="n">
        <v>6</v>
      </c>
      <c r="Q118" s="26" t="n">
        <v>22</v>
      </c>
    </row>
    <row r="119" customFormat="false" ht="15" hidden="false" customHeight="false" outlineLevel="0" collapsed="false">
      <c r="A119" s="8" t="s">
        <v>23</v>
      </c>
      <c r="B119" s="8" t="s">
        <v>354</v>
      </c>
      <c r="C119" s="26" t="n">
        <v>7425</v>
      </c>
      <c r="D119" s="26" t="n">
        <v>3865</v>
      </c>
      <c r="E119" s="39" t="n">
        <v>-2674.328</v>
      </c>
      <c r="F119" s="29" t="n">
        <f aca="false">IF(D119=0,"",E119/D119)</f>
        <v>-0.691934799482536</v>
      </c>
      <c r="G119" s="26" t="n">
        <v>3560</v>
      </c>
      <c r="H119" s="39" t="n">
        <v>-760.532</v>
      </c>
      <c r="I119" s="29" t="n">
        <f aca="false">IF(G119=0,"",H119/G119)</f>
        <v>-0.213632584269663</v>
      </c>
      <c r="J119" s="26" t="n">
        <v>0</v>
      </c>
      <c r="K119" s="43" t="n">
        <v>0.3143</v>
      </c>
      <c r="L119" s="43" t="n">
        <v>0.5825</v>
      </c>
      <c r="M119" s="43" t="n">
        <v>0.469</v>
      </c>
      <c r="N119" s="43" t="n">
        <v>0.3787</v>
      </c>
      <c r="O119" s="43" t="n">
        <v>0.3143</v>
      </c>
      <c r="P119" s="26" t="n">
        <v>7</v>
      </c>
      <c r="Q119" s="26" t="n">
        <v>23</v>
      </c>
    </row>
    <row r="120" customFormat="false" ht="15" hidden="false" customHeight="false" outlineLevel="0" collapsed="false">
      <c r="A120" s="8" t="s">
        <v>23</v>
      </c>
      <c r="B120" s="8" t="s">
        <v>355</v>
      </c>
      <c r="C120" s="26" t="n">
        <v>7425</v>
      </c>
      <c r="D120" s="26" t="n">
        <v>3865</v>
      </c>
      <c r="E120" s="39" t="n">
        <v>-2675.535</v>
      </c>
      <c r="F120" s="29" t="n">
        <f aca="false">IF(D120=0,"",E120/D120)</f>
        <v>-0.692247089262613</v>
      </c>
      <c r="G120" s="26" t="n">
        <v>3560</v>
      </c>
      <c r="H120" s="39" t="n">
        <v>-850.487</v>
      </c>
      <c r="I120" s="29" t="n">
        <f aca="false">IF(G120=0,"",H120/G120)</f>
        <v>-0.238900842696629</v>
      </c>
      <c r="J120" s="26" t="n">
        <v>0</v>
      </c>
      <c r="K120" s="43" t="n">
        <v>0.3114</v>
      </c>
      <c r="L120" s="43" t="n">
        <v>0.5775</v>
      </c>
      <c r="M120" s="43" t="n">
        <v>0.4652</v>
      </c>
      <c r="N120" s="43" t="n">
        <v>0.3755</v>
      </c>
      <c r="O120" s="43" t="n">
        <v>0.3114</v>
      </c>
      <c r="P120" s="26" t="n">
        <v>7</v>
      </c>
      <c r="Q120" s="26" t="n">
        <v>25</v>
      </c>
    </row>
    <row r="121" customFormat="false" ht="15" hidden="false" customHeight="false" outlineLevel="0" collapsed="false">
      <c r="A121" s="8" t="s">
        <v>23</v>
      </c>
      <c r="B121" s="8" t="s">
        <v>356</v>
      </c>
      <c r="C121" s="26" t="n">
        <v>7425</v>
      </c>
      <c r="D121" s="26" t="n">
        <v>3865</v>
      </c>
      <c r="E121" s="39" t="n">
        <v>-2675.857</v>
      </c>
      <c r="F121" s="29" t="n">
        <f aca="false">IF(D121=0,"",E121/D121)</f>
        <v>-0.692330401034929</v>
      </c>
      <c r="G121" s="26" t="n">
        <v>3560</v>
      </c>
      <c r="H121" s="39" t="n">
        <v>-780.336</v>
      </c>
      <c r="I121" s="29" t="n">
        <f aca="false">IF(G121=0,"",H121/G121)</f>
        <v>-0.219195505617978</v>
      </c>
      <c r="J121" s="26" t="n">
        <v>0</v>
      </c>
      <c r="K121" s="43" t="n">
        <v>0.3137</v>
      </c>
      <c r="L121" s="43" t="n">
        <v>0.5785</v>
      </c>
      <c r="M121" s="43" t="n">
        <v>0.4659</v>
      </c>
      <c r="N121" s="43" t="n">
        <v>0.3763</v>
      </c>
      <c r="O121" s="43" t="n">
        <v>0.3137</v>
      </c>
      <c r="P121" s="26" t="n">
        <v>7</v>
      </c>
      <c r="Q121" s="26" t="n">
        <v>23</v>
      </c>
    </row>
    <row r="122" customFormat="false" ht="15" hidden="false" customHeight="false" outlineLevel="0" collapsed="false">
      <c r="A122" s="8" t="s">
        <v>23</v>
      </c>
      <c r="B122" s="8" t="s">
        <v>357</v>
      </c>
      <c r="C122" s="26" t="n">
        <v>7425</v>
      </c>
      <c r="D122" s="26" t="n">
        <v>3865</v>
      </c>
      <c r="E122" s="39" t="n">
        <v>-2676.854</v>
      </c>
      <c r="F122" s="29" t="n">
        <f aca="false">IF(D122=0,"",E122/D122)</f>
        <v>-0.692588357050453</v>
      </c>
      <c r="G122" s="26" t="n">
        <v>3560</v>
      </c>
      <c r="H122" s="39" t="n">
        <v>-779.657</v>
      </c>
      <c r="I122" s="29" t="n">
        <f aca="false">IF(G122=0,"",H122/G122)</f>
        <v>-0.219004775280899</v>
      </c>
      <c r="J122" s="26" t="n">
        <v>0</v>
      </c>
      <c r="K122" s="43" t="n">
        <v>0.3145</v>
      </c>
      <c r="L122" s="43" t="n">
        <v>0.5829</v>
      </c>
      <c r="M122" s="43" t="n">
        <v>0.47</v>
      </c>
      <c r="N122" s="43" t="n">
        <v>0.3793</v>
      </c>
      <c r="O122" s="43" t="n">
        <v>0.3145</v>
      </c>
      <c r="P122" s="26" t="n">
        <v>7</v>
      </c>
      <c r="Q122" s="26" t="n">
        <v>23</v>
      </c>
    </row>
    <row r="123" customFormat="false" ht="15" hidden="false" customHeight="false" outlineLevel="0" collapsed="false">
      <c r="A123" s="8" t="s">
        <v>23</v>
      </c>
      <c r="B123" s="8" t="s">
        <v>358</v>
      </c>
      <c r="C123" s="26" t="n">
        <v>7425</v>
      </c>
      <c r="D123" s="26" t="n">
        <v>3865</v>
      </c>
      <c r="E123" s="39" t="n">
        <v>-2688.669</v>
      </c>
      <c r="F123" s="29" t="n">
        <f aca="false">IF(D123=0,"",E123/D123)</f>
        <v>-0.695645278137128</v>
      </c>
      <c r="G123" s="26" t="n">
        <v>3560</v>
      </c>
      <c r="H123" s="39" t="n">
        <v>-681.85</v>
      </c>
      <c r="I123" s="29" t="n">
        <f aca="false">IF(G123=0,"",H123/G123)</f>
        <v>-0.191530898876405</v>
      </c>
      <c r="J123" s="26" t="n">
        <v>0</v>
      </c>
      <c r="K123" s="43" t="n">
        <v>0.3162</v>
      </c>
      <c r="L123" s="43" t="n">
        <v>0.5802</v>
      </c>
      <c r="M123" s="43" t="n">
        <v>0.47</v>
      </c>
      <c r="N123" s="43" t="n">
        <v>0.3818</v>
      </c>
      <c r="O123" s="43" t="n">
        <v>0.3162</v>
      </c>
      <c r="P123" s="26" t="n">
        <v>7</v>
      </c>
      <c r="Q123" s="26" t="n">
        <v>26</v>
      </c>
    </row>
    <row r="124" customFormat="false" ht="15" hidden="false" customHeight="false" outlineLevel="0" collapsed="false">
      <c r="A124" s="8" t="s">
        <v>23</v>
      </c>
      <c r="B124" s="8" t="s">
        <v>359</v>
      </c>
      <c r="C124" s="26" t="n">
        <v>7425</v>
      </c>
      <c r="D124" s="26" t="n">
        <v>3865</v>
      </c>
      <c r="E124" s="39" t="n">
        <v>-2689.459</v>
      </c>
      <c r="F124" s="29" t="n">
        <f aca="false">IF(D124=0,"",E124/D124)</f>
        <v>-0.695849676584735</v>
      </c>
      <c r="G124" s="26" t="n">
        <v>3560</v>
      </c>
      <c r="H124" s="39" t="n">
        <v>-770.548</v>
      </c>
      <c r="I124" s="29" t="n">
        <f aca="false">IF(G124=0,"",H124/G124)</f>
        <v>-0.21644606741573</v>
      </c>
      <c r="J124" s="26" t="n">
        <v>0</v>
      </c>
      <c r="K124" s="43" t="n">
        <v>0.3119</v>
      </c>
      <c r="L124" s="43" t="n">
        <v>0.581</v>
      </c>
      <c r="M124" s="43" t="n">
        <v>0.4671</v>
      </c>
      <c r="N124" s="43" t="n">
        <v>0.3764</v>
      </c>
      <c r="O124" s="43" t="n">
        <v>0.3119</v>
      </c>
      <c r="P124" s="26" t="n">
        <v>7</v>
      </c>
      <c r="Q124" s="26" t="n">
        <v>22</v>
      </c>
    </row>
    <row r="125" customFormat="false" ht="15" hidden="false" customHeight="false" outlineLevel="0" collapsed="false">
      <c r="A125" s="8" t="s">
        <v>23</v>
      </c>
      <c r="B125" s="8" t="s">
        <v>360</v>
      </c>
      <c r="C125" s="26" t="n">
        <v>7425</v>
      </c>
      <c r="D125" s="26" t="n">
        <v>3865</v>
      </c>
      <c r="E125" s="39" t="n">
        <v>-2694.199</v>
      </c>
      <c r="F125" s="29" t="n">
        <f aca="false">IF(D125=0,"",E125/D125)</f>
        <v>-0.697076067270375</v>
      </c>
      <c r="G125" s="26" t="n">
        <v>3560</v>
      </c>
      <c r="H125" s="39" t="n">
        <v>-716.084</v>
      </c>
      <c r="I125" s="29" t="n">
        <f aca="false">IF(G125=0,"",H125/G125)</f>
        <v>-0.201147191011236</v>
      </c>
      <c r="J125" s="26" t="n">
        <v>0</v>
      </c>
      <c r="K125" s="43" t="n">
        <v>0.317</v>
      </c>
      <c r="L125" s="43" t="n">
        <v>0.5836</v>
      </c>
      <c r="M125" s="43" t="n">
        <v>0.4723</v>
      </c>
      <c r="N125" s="43" t="n">
        <v>0.3795</v>
      </c>
      <c r="O125" s="43" t="n">
        <v>0.317</v>
      </c>
      <c r="P125" s="26" t="n">
        <v>7</v>
      </c>
      <c r="Q125" s="26" t="n">
        <v>21</v>
      </c>
    </row>
    <row r="126" customFormat="false" ht="15" hidden="false" customHeight="false" outlineLevel="0" collapsed="false">
      <c r="A126" s="8" t="s">
        <v>23</v>
      </c>
      <c r="B126" s="8" t="s">
        <v>361</v>
      </c>
      <c r="C126" s="26" t="n">
        <v>7425</v>
      </c>
      <c r="D126" s="26" t="n">
        <v>3865</v>
      </c>
      <c r="E126" s="39" t="n">
        <v>-2697.368</v>
      </c>
      <c r="F126" s="29" t="n">
        <f aca="false">IF(D126=0,"",E126/D126)</f>
        <v>-0.697895989650712</v>
      </c>
      <c r="G126" s="26" t="n">
        <v>3560</v>
      </c>
      <c r="H126" s="39" t="n">
        <v>-800.239</v>
      </c>
      <c r="I126" s="29" t="n">
        <f aca="false">IF(G126=0,"",H126/G126)</f>
        <v>-0.224786235955056</v>
      </c>
      <c r="J126" s="26" t="n">
        <v>0</v>
      </c>
      <c r="K126" s="43" t="n">
        <v>0.3129</v>
      </c>
      <c r="L126" s="43" t="n">
        <v>0.5771</v>
      </c>
      <c r="M126" s="43" t="n">
        <v>0.464</v>
      </c>
      <c r="N126" s="43" t="n">
        <v>0.3747</v>
      </c>
      <c r="O126" s="43" t="n">
        <v>0.3129</v>
      </c>
      <c r="P126" s="26" t="n">
        <v>7</v>
      </c>
      <c r="Q126" s="26" t="n">
        <v>22</v>
      </c>
    </row>
    <row r="127" customFormat="false" ht="15" hidden="false" customHeight="false" outlineLevel="0" collapsed="false">
      <c r="A127" s="8" t="s">
        <v>23</v>
      </c>
      <c r="B127" s="8" t="s">
        <v>362</v>
      </c>
      <c r="C127" s="26" t="n">
        <v>7425</v>
      </c>
      <c r="D127" s="26" t="n">
        <v>3865</v>
      </c>
      <c r="E127" s="39" t="n">
        <v>-2699.216</v>
      </c>
      <c r="F127" s="29" t="n">
        <f aca="false">IF(D127=0,"",E127/D127)</f>
        <v>-0.698374126778784</v>
      </c>
      <c r="G127" s="26" t="n">
        <v>3560</v>
      </c>
      <c r="H127" s="39" t="n">
        <v>-757.924</v>
      </c>
      <c r="I127" s="29" t="n">
        <f aca="false">IF(G127=0,"",H127/G127)</f>
        <v>-0.2129</v>
      </c>
      <c r="J127" s="26" t="n">
        <v>0</v>
      </c>
      <c r="K127" s="43" t="n">
        <v>0.3146</v>
      </c>
      <c r="L127" s="43" t="n">
        <v>0.5818</v>
      </c>
      <c r="M127" s="43" t="n">
        <v>0.4688</v>
      </c>
      <c r="N127" s="43" t="n">
        <v>0.3791</v>
      </c>
      <c r="O127" s="43" t="n">
        <v>0.3146</v>
      </c>
      <c r="P127" s="26" t="n">
        <v>6</v>
      </c>
      <c r="Q127" s="26" t="n">
        <v>20</v>
      </c>
    </row>
    <row r="128" customFormat="false" ht="15" hidden="false" customHeight="false" outlineLevel="0" collapsed="false">
      <c r="A128" s="8" t="s">
        <v>23</v>
      </c>
      <c r="B128" s="8" t="s">
        <v>363</v>
      </c>
      <c r="C128" s="26" t="n">
        <v>7425</v>
      </c>
      <c r="D128" s="26" t="n">
        <v>3865</v>
      </c>
      <c r="E128" s="39" t="n">
        <v>-2708.247</v>
      </c>
      <c r="F128" s="29" t="n">
        <f aca="false">IF(D128=0,"",E128/D128)</f>
        <v>-0.700710737386805</v>
      </c>
      <c r="G128" s="26" t="n">
        <v>3560</v>
      </c>
      <c r="H128" s="39" t="n">
        <v>-760.535</v>
      </c>
      <c r="I128" s="29" t="n">
        <f aca="false">IF(G128=0,"",H128/G128)</f>
        <v>-0.213633426966292</v>
      </c>
      <c r="J128" s="26" t="n">
        <v>0</v>
      </c>
      <c r="K128" s="43" t="n">
        <v>0.3146</v>
      </c>
      <c r="L128" s="43" t="n">
        <v>0.5806</v>
      </c>
      <c r="M128" s="43" t="n">
        <v>0.4687</v>
      </c>
      <c r="N128" s="43" t="n">
        <v>0.3783</v>
      </c>
      <c r="O128" s="43" t="n">
        <v>0.3146</v>
      </c>
      <c r="P128" s="26" t="n">
        <v>6</v>
      </c>
      <c r="Q128" s="26" t="n">
        <v>20</v>
      </c>
    </row>
    <row r="129" customFormat="false" ht="15" hidden="false" customHeight="false" outlineLevel="0" collapsed="false">
      <c r="A129" s="8" t="s">
        <v>23</v>
      </c>
      <c r="B129" s="8" t="s">
        <v>364</v>
      </c>
      <c r="C129" s="26" t="n">
        <v>7425</v>
      </c>
      <c r="D129" s="26" t="n">
        <v>3865</v>
      </c>
      <c r="E129" s="39" t="n">
        <v>-2709.8</v>
      </c>
      <c r="F129" s="29" t="n">
        <f aca="false">IF(D129=0,"",E129/D129)</f>
        <v>-0.70111254851229</v>
      </c>
      <c r="G129" s="26" t="n">
        <v>3560</v>
      </c>
      <c r="H129" s="39" t="n">
        <v>-770.23</v>
      </c>
      <c r="I129" s="29" t="n">
        <f aca="false">IF(G129=0,"",H129/G129)</f>
        <v>-0.216356741573034</v>
      </c>
      <c r="J129" s="26" t="n">
        <v>0</v>
      </c>
      <c r="K129" s="43" t="n">
        <v>0.3127</v>
      </c>
      <c r="L129" s="43" t="n">
        <v>0.5774</v>
      </c>
      <c r="M129" s="43" t="n">
        <v>0.4675</v>
      </c>
      <c r="N129" s="43" t="n">
        <v>0.3771</v>
      </c>
      <c r="O129" s="43" t="n">
        <v>0.3127</v>
      </c>
      <c r="P129" s="26" t="n">
        <v>7</v>
      </c>
      <c r="Q129" s="26" t="n">
        <v>24</v>
      </c>
    </row>
    <row r="130" customFormat="false" ht="15" hidden="false" customHeight="false" outlineLevel="0" collapsed="false">
      <c r="A130" s="8" t="s">
        <v>23</v>
      </c>
      <c r="B130" s="8" t="s">
        <v>365</v>
      </c>
      <c r="C130" s="26" t="n">
        <v>7425</v>
      </c>
      <c r="D130" s="26" t="n">
        <v>3865</v>
      </c>
      <c r="E130" s="39" t="n">
        <v>-2712.461</v>
      </c>
      <c r="F130" s="29" t="n">
        <f aca="false">IF(D130=0,"",E130/D130)</f>
        <v>-0.701801034928849</v>
      </c>
      <c r="G130" s="26" t="n">
        <v>3560</v>
      </c>
      <c r="H130" s="39" t="n">
        <v>-792.364</v>
      </c>
      <c r="I130" s="29" t="n">
        <f aca="false">IF(G130=0,"",H130/G130)</f>
        <v>-0.222574157303371</v>
      </c>
      <c r="J130" s="26" t="n">
        <v>0</v>
      </c>
      <c r="K130" s="43" t="n">
        <v>0.3134</v>
      </c>
      <c r="L130" s="43" t="n">
        <v>0.5759</v>
      </c>
      <c r="M130" s="43" t="n">
        <v>0.4653</v>
      </c>
      <c r="N130" s="43" t="n">
        <v>0.3745</v>
      </c>
      <c r="O130" s="43" t="n">
        <v>0.3134</v>
      </c>
      <c r="P130" s="26" t="n">
        <v>10</v>
      </c>
      <c r="Q130" s="26" t="n">
        <v>20</v>
      </c>
    </row>
    <row r="131" customFormat="false" ht="15" hidden="false" customHeight="false" outlineLevel="0" collapsed="false">
      <c r="A131" s="8" t="s">
        <v>23</v>
      </c>
      <c r="B131" s="8" t="s">
        <v>366</v>
      </c>
      <c r="C131" s="26" t="n">
        <v>6562</v>
      </c>
      <c r="D131" s="26" t="n">
        <v>3391</v>
      </c>
      <c r="E131" s="39" t="n">
        <v>-2383.421</v>
      </c>
      <c r="F131" s="29" t="n">
        <f aca="false">IF(D131=0,"",E131/D131)</f>
        <v>-0.702866705986435</v>
      </c>
      <c r="G131" s="26" t="n">
        <v>3171</v>
      </c>
      <c r="H131" s="39" t="n">
        <v>-686.123</v>
      </c>
      <c r="I131" s="29" t="n">
        <f aca="false">IF(G131=0,"",H131/G131)</f>
        <v>-0.216374329864396</v>
      </c>
      <c r="J131" s="26" t="n">
        <v>0</v>
      </c>
      <c r="K131" s="43" t="n">
        <v>0.3144</v>
      </c>
      <c r="L131" s="43" t="n">
        <v>0.5808</v>
      </c>
      <c r="M131" s="43" t="n">
        <v>0.4697</v>
      </c>
      <c r="N131" s="43" t="n">
        <v>0.379</v>
      </c>
      <c r="O131" s="43" t="n">
        <v>0.3144</v>
      </c>
      <c r="P131" s="26" t="n">
        <v>7</v>
      </c>
      <c r="Q131" s="26" t="n">
        <v>22</v>
      </c>
    </row>
    <row r="132" customFormat="false" ht="15" hidden="false" customHeight="false" outlineLevel="0" collapsed="false">
      <c r="A132" s="8" t="s">
        <v>23</v>
      </c>
      <c r="B132" s="8" t="s">
        <v>367</v>
      </c>
      <c r="C132" s="26" t="n">
        <v>7425</v>
      </c>
      <c r="D132" s="26" t="n">
        <v>3865</v>
      </c>
      <c r="E132" s="39" t="n">
        <v>-2716.747</v>
      </c>
      <c r="F132" s="29" t="n">
        <f aca="false">IF(D132=0,"",E132/D132)</f>
        <v>-0.702909961190168</v>
      </c>
      <c r="G132" s="26" t="n">
        <v>3560</v>
      </c>
      <c r="H132" s="39" t="n">
        <v>-781.181</v>
      </c>
      <c r="I132" s="29" t="n">
        <f aca="false">IF(G132=0,"",H132/G132)</f>
        <v>-0.219432865168539</v>
      </c>
      <c r="J132" s="26" t="n">
        <v>0</v>
      </c>
      <c r="K132" s="43" t="n">
        <v>0.3156</v>
      </c>
      <c r="L132" s="43" t="n">
        <v>0.5795</v>
      </c>
      <c r="M132" s="43" t="n">
        <v>0.4677</v>
      </c>
      <c r="N132" s="43" t="n">
        <v>0.379</v>
      </c>
      <c r="O132" s="43" t="n">
        <v>0.3156</v>
      </c>
      <c r="P132" s="26" t="n">
        <v>7</v>
      </c>
      <c r="Q132" s="26" t="n">
        <v>20</v>
      </c>
    </row>
    <row r="133" customFormat="false" ht="15" hidden="false" customHeight="false" outlineLevel="0" collapsed="false">
      <c r="A133" s="8" t="s">
        <v>23</v>
      </c>
      <c r="B133" s="8" t="s">
        <v>368</v>
      </c>
      <c r="C133" s="26" t="n">
        <v>7425</v>
      </c>
      <c r="D133" s="26" t="n">
        <v>3865</v>
      </c>
      <c r="E133" s="39" t="n">
        <v>-2728.686</v>
      </c>
      <c r="F133" s="29" t="n">
        <f aca="false">IF(D133=0,"",E133/D133)</f>
        <v>-0.705998965071152</v>
      </c>
      <c r="G133" s="26" t="n">
        <v>3560</v>
      </c>
      <c r="H133" s="39" t="n">
        <v>-707.154</v>
      </c>
      <c r="I133" s="29" t="n">
        <f aca="false">IF(G133=0,"",H133/G133)</f>
        <v>-0.198638764044944</v>
      </c>
      <c r="J133" s="26" t="n">
        <v>0</v>
      </c>
      <c r="K133" s="43" t="n">
        <v>0.3195</v>
      </c>
      <c r="L133" s="43" t="n">
        <v>0.5783</v>
      </c>
      <c r="M133" s="43" t="n">
        <v>0.4757</v>
      </c>
      <c r="N133" s="43" t="n">
        <v>0.3829</v>
      </c>
      <c r="O133" s="43" t="n">
        <v>0.3195</v>
      </c>
      <c r="P133" s="26" t="n">
        <v>7</v>
      </c>
      <c r="Q133" s="26" t="n">
        <v>20</v>
      </c>
    </row>
    <row r="134" customFormat="false" ht="15" hidden="false" customHeight="false" outlineLevel="0" collapsed="false">
      <c r="A134" s="8" t="s">
        <v>23</v>
      </c>
      <c r="B134" s="8" t="s">
        <v>369</v>
      </c>
      <c r="C134" s="26" t="n">
        <v>7425</v>
      </c>
      <c r="D134" s="26" t="n">
        <v>3865</v>
      </c>
      <c r="E134" s="39" t="n">
        <v>-2730.548</v>
      </c>
      <c r="F134" s="29" t="n">
        <f aca="false">IF(D134=0,"",E134/D134)</f>
        <v>-0.706480724450194</v>
      </c>
      <c r="G134" s="26" t="n">
        <v>3560</v>
      </c>
      <c r="H134" s="39" t="n">
        <v>-759.076</v>
      </c>
      <c r="I134" s="29" t="n">
        <f aca="false">IF(G134=0,"",H134/G134)</f>
        <v>-0.213223595505618</v>
      </c>
      <c r="J134" s="26" t="n">
        <v>0</v>
      </c>
      <c r="K134" s="43" t="n">
        <v>0.3775</v>
      </c>
      <c r="L134" s="43" t="n">
        <v>0.5813</v>
      </c>
      <c r="M134" s="43" t="n">
        <v>0.468</v>
      </c>
      <c r="N134" s="43" t="n">
        <v>0.3775</v>
      </c>
      <c r="O134" s="43" t="n">
        <v>0.3775</v>
      </c>
      <c r="P134" s="26" t="n">
        <v>10</v>
      </c>
      <c r="Q134" s="26" t="n">
        <v>18</v>
      </c>
    </row>
    <row r="135" customFormat="false" ht="15" hidden="false" customHeight="false" outlineLevel="0" collapsed="false">
      <c r="A135" s="8" t="s">
        <v>23</v>
      </c>
      <c r="B135" s="8" t="s">
        <v>370</v>
      </c>
      <c r="C135" s="26" t="n">
        <v>7425</v>
      </c>
      <c r="D135" s="26" t="n">
        <v>3865</v>
      </c>
      <c r="E135" s="39" t="n">
        <v>-2730.548</v>
      </c>
      <c r="F135" s="29" t="n">
        <f aca="false">IF(D135=0,"",E135/D135)</f>
        <v>-0.706480724450194</v>
      </c>
      <c r="G135" s="26" t="n">
        <v>3560</v>
      </c>
      <c r="H135" s="39" t="n">
        <v>-759.076</v>
      </c>
      <c r="I135" s="29" t="n">
        <f aca="false">IF(G135=0,"",H135/G135)</f>
        <v>-0.213223595505618</v>
      </c>
      <c r="J135" s="26" t="n">
        <v>0</v>
      </c>
      <c r="K135" s="43" t="n">
        <v>0.3775</v>
      </c>
      <c r="L135" s="43" t="n">
        <v>0.5813</v>
      </c>
      <c r="M135" s="43" t="n">
        <v>0.468</v>
      </c>
      <c r="N135" s="43" t="n">
        <v>0.3775</v>
      </c>
      <c r="O135" s="43" t="n">
        <v>0</v>
      </c>
      <c r="P135" s="26" t="n">
        <v>10</v>
      </c>
      <c r="Q135" s="26" t="n">
        <v>18</v>
      </c>
    </row>
    <row r="136" customFormat="false" ht="15" hidden="false" customHeight="false" outlineLevel="0" collapsed="false">
      <c r="A136" s="8" t="s">
        <v>23</v>
      </c>
      <c r="B136" s="8" t="s">
        <v>371</v>
      </c>
      <c r="C136" s="26" t="n">
        <v>7425</v>
      </c>
      <c r="D136" s="26" t="n">
        <v>3865</v>
      </c>
      <c r="E136" s="39" t="n">
        <v>-2732.67</v>
      </c>
      <c r="F136" s="29" t="n">
        <f aca="false">IF(D136=0,"",E136/D136)</f>
        <v>-0.707029754204399</v>
      </c>
      <c r="G136" s="26" t="n">
        <v>3560</v>
      </c>
      <c r="H136" s="39" t="n">
        <v>-788.031</v>
      </c>
      <c r="I136" s="29" t="n">
        <f aca="false">IF(G136=0,"",H136/G136)</f>
        <v>-0.22135702247191</v>
      </c>
      <c r="J136" s="26" t="n">
        <v>0</v>
      </c>
      <c r="K136" s="43" t="n">
        <v>0.3131</v>
      </c>
      <c r="L136" s="43" t="n">
        <v>0.5807</v>
      </c>
      <c r="M136" s="43" t="n">
        <v>0.4692</v>
      </c>
      <c r="N136" s="43" t="n">
        <v>0.3785</v>
      </c>
      <c r="O136" s="43" t="n">
        <v>0.3131</v>
      </c>
      <c r="P136" s="26" t="n">
        <v>7</v>
      </c>
      <c r="Q136" s="26" t="n">
        <v>23</v>
      </c>
    </row>
    <row r="137" customFormat="false" ht="15" hidden="false" customHeight="false" outlineLevel="0" collapsed="false">
      <c r="A137" s="8" t="s">
        <v>23</v>
      </c>
      <c r="B137" s="8" t="s">
        <v>372</v>
      </c>
      <c r="C137" s="26" t="n">
        <v>7425</v>
      </c>
      <c r="D137" s="26" t="n">
        <v>3865</v>
      </c>
      <c r="E137" s="39" t="n">
        <v>-2738.316</v>
      </c>
      <c r="F137" s="29" t="n">
        <f aca="false">IF(D137=0,"",E137/D137)</f>
        <v>-0.708490556274256</v>
      </c>
      <c r="G137" s="26" t="n">
        <v>3560</v>
      </c>
      <c r="H137" s="39" t="n">
        <v>-661.983</v>
      </c>
      <c r="I137" s="29" t="n">
        <f aca="false">IF(G137=0,"",H137/G137)</f>
        <v>-0.185950280898876</v>
      </c>
      <c r="J137" s="26" t="n">
        <v>0</v>
      </c>
      <c r="K137" s="43" t="n">
        <v>0.3191</v>
      </c>
      <c r="L137" s="43" t="n">
        <v>0.5818</v>
      </c>
      <c r="M137" s="43" t="n">
        <v>0.4719</v>
      </c>
      <c r="N137" s="43" t="n">
        <v>0.382</v>
      </c>
      <c r="O137" s="43" t="n">
        <v>0.3191</v>
      </c>
      <c r="P137" s="26" t="n">
        <v>10</v>
      </c>
      <c r="Q137" s="26" t="n">
        <v>21</v>
      </c>
    </row>
    <row r="138" customFormat="false" ht="15" hidden="false" customHeight="false" outlineLevel="0" collapsed="false">
      <c r="A138" s="8" t="s">
        <v>23</v>
      </c>
      <c r="B138" s="8" t="s">
        <v>373</v>
      </c>
      <c r="C138" s="26" t="n">
        <v>5469</v>
      </c>
      <c r="D138" s="26" t="n">
        <v>2807</v>
      </c>
      <c r="E138" s="39" t="n">
        <v>-2007.779</v>
      </c>
      <c r="F138" s="29" t="n">
        <f aca="false">IF(D138=0,"",E138/D138)</f>
        <v>-0.71527573922337</v>
      </c>
      <c r="G138" s="26" t="n">
        <v>2662</v>
      </c>
      <c r="H138" s="39" t="n">
        <v>-569.61</v>
      </c>
      <c r="I138" s="29" t="n">
        <f aca="false">IF(G138=0,"",H138/G138)</f>
        <v>-0.213978211870774</v>
      </c>
      <c r="J138" s="26" t="n">
        <v>0</v>
      </c>
      <c r="K138" s="43" t="n">
        <v>0.315</v>
      </c>
      <c r="L138" s="43" t="n">
        <v>0.5794</v>
      </c>
      <c r="M138" s="43" t="n">
        <v>0.4723</v>
      </c>
      <c r="N138" s="43" t="n">
        <v>0.3814</v>
      </c>
      <c r="O138" s="43" t="n">
        <v>0.315</v>
      </c>
      <c r="P138" s="26" t="n">
        <v>7</v>
      </c>
      <c r="Q138" s="26" t="n">
        <v>21</v>
      </c>
    </row>
    <row r="139" customFormat="false" ht="15" hidden="false" customHeight="false" outlineLevel="0" collapsed="false">
      <c r="A139" s="8" t="s">
        <v>23</v>
      </c>
      <c r="B139" s="8" t="s">
        <v>374</v>
      </c>
      <c r="C139" s="26" t="n">
        <v>7425</v>
      </c>
      <c r="D139" s="26" t="n">
        <v>3865</v>
      </c>
      <c r="E139" s="39" t="n">
        <v>-2770.262</v>
      </c>
      <c r="F139" s="29" t="n">
        <f aca="false">IF(D139=0,"",E139/D139)</f>
        <v>-0.716756015523933</v>
      </c>
      <c r="G139" s="26" t="n">
        <v>3560</v>
      </c>
      <c r="H139" s="39" t="n">
        <v>-858.898</v>
      </c>
      <c r="I139" s="29" t="n">
        <f aca="false">IF(G139=0,"",H139/G139)</f>
        <v>-0.241263483146067</v>
      </c>
      <c r="J139" s="26" t="n">
        <v>0</v>
      </c>
      <c r="K139" s="43" t="n">
        <v>0.3084</v>
      </c>
      <c r="L139" s="43" t="n">
        <v>0.5763</v>
      </c>
      <c r="M139" s="43" t="n">
        <v>0.4633</v>
      </c>
      <c r="N139" s="43" t="n">
        <v>0.3736</v>
      </c>
      <c r="O139" s="43" t="n">
        <v>0.3084</v>
      </c>
      <c r="P139" s="26" t="n">
        <v>6</v>
      </c>
      <c r="Q139" s="26" t="n">
        <v>22</v>
      </c>
    </row>
    <row r="140" customFormat="false" ht="15" hidden="false" customHeight="false" outlineLevel="0" collapsed="false">
      <c r="A140" s="8" t="s">
        <v>23</v>
      </c>
      <c r="B140" s="8" t="s">
        <v>375</v>
      </c>
      <c r="C140" s="26" t="n">
        <v>5292</v>
      </c>
      <c r="D140" s="26" t="n">
        <v>2719</v>
      </c>
      <c r="E140" s="39" t="n">
        <v>-1949.795</v>
      </c>
      <c r="F140" s="29" t="n">
        <f aca="false">IF(D140=0,"",E140/D140)</f>
        <v>-0.717100036778227</v>
      </c>
      <c r="G140" s="26" t="n">
        <v>2573</v>
      </c>
      <c r="H140" s="39" t="n">
        <v>-531.598</v>
      </c>
      <c r="I140" s="29" t="n">
        <f aca="false">IF(G140=0,"",H140/G140)</f>
        <v>-0.206606296152351</v>
      </c>
      <c r="J140" s="26" t="n">
        <v>0</v>
      </c>
      <c r="K140" s="43" t="n">
        <v>0.3163</v>
      </c>
      <c r="L140" s="43" t="n">
        <v>0.5786</v>
      </c>
      <c r="M140" s="43" t="n">
        <v>0.473</v>
      </c>
      <c r="N140" s="43" t="n">
        <v>0.3808</v>
      </c>
      <c r="O140" s="43" t="n">
        <v>0.3163</v>
      </c>
      <c r="P140" s="26" t="n">
        <v>7</v>
      </c>
      <c r="Q140" s="26" t="n">
        <v>19</v>
      </c>
    </row>
    <row r="141" customFormat="false" ht="15" hidden="false" customHeight="false" outlineLevel="0" collapsed="false">
      <c r="A141" s="8" t="s">
        <v>23</v>
      </c>
      <c r="B141" s="8" t="s">
        <v>376</v>
      </c>
      <c r="C141" s="26" t="n">
        <v>7425</v>
      </c>
      <c r="D141" s="26" t="n">
        <v>3865</v>
      </c>
      <c r="E141" s="39" t="n">
        <v>-2800.387</v>
      </c>
      <c r="F141" s="29" t="n">
        <f aca="false">IF(D141=0,"",E141/D141)</f>
        <v>-0.724550323415265</v>
      </c>
      <c r="G141" s="26" t="n">
        <v>3560</v>
      </c>
      <c r="H141" s="39" t="n">
        <v>-856.533</v>
      </c>
      <c r="I141" s="29" t="n">
        <f aca="false">IF(G141=0,"",H141/G141)</f>
        <v>-0.240599157303371</v>
      </c>
      <c r="J141" s="26" t="n">
        <v>0</v>
      </c>
      <c r="K141" s="43" t="n">
        <v>0.3068</v>
      </c>
      <c r="L141" s="43" t="n">
        <v>0.5682</v>
      </c>
      <c r="M141" s="43" t="n">
        <v>0.4566</v>
      </c>
      <c r="N141" s="43" t="n">
        <v>0.3678</v>
      </c>
      <c r="O141" s="43" t="n">
        <v>0.3068</v>
      </c>
      <c r="P141" s="26" t="n">
        <v>7</v>
      </c>
      <c r="Q141" s="26" t="n">
        <v>22</v>
      </c>
    </row>
    <row r="142" customFormat="false" ht="15" hidden="false" customHeight="false" outlineLevel="0" collapsed="false">
      <c r="A142" s="8" t="s">
        <v>23</v>
      </c>
      <c r="B142" s="8" t="s">
        <v>377</v>
      </c>
      <c r="C142" s="26" t="n">
        <v>7425</v>
      </c>
      <c r="D142" s="26" t="n">
        <v>3865</v>
      </c>
      <c r="E142" s="39" t="n">
        <v>-2818.365</v>
      </c>
      <c r="F142" s="29" t="n">
        <f aca="false">IF(D142=0,"",E142/D142)</f>
        <v>-0.729201811125485</v>
      </c>
      <c r="G142" s="26" t="n">
        <v>3560</v>
      </c>
      <c r="H142" s="39" t="n">
        <v>-928.74</v>
      </c>
      <c r="I142" s="29" t="n">
        <f aca="false">IF(G142=0,"",H142/G142)</f>
        <v>-0.26088202247191</v>
      </c>
      <c r="J142" s="26" t="n">
        <v>0</v>
      </c>
      <c r="K142" s="43" t="n">
        <v>0.5791</v>
      </c>
      <c r="L142" s="43" t="n">
        <v>0.5791</v>
      </c>
      <c r="M142" s="43" t="n">
        <v>0</v>
      </c>
      <c r="N142" s="43" t="n">
        <v>0</v>
      </c>
      <c r="O142" s="43" t="n">
        <v>0</v>
      </c>
      <c r="P142" s="26" t="n">
        <v>15</v>
      </c>
      <c r="Q142" s="26" t="n">
        <v>13</v>
      </c>
    </row>
    <row r="143" customFormat="false" ht="15" hidden="false" customHeight="false" outlineLevel="0" collapsed="false">
      <c r="A143" s="8" t="s">
        <v>23</v>
      </c>
      <c r="B143" s="8" t="s">
        <v>378</v>
      </c>
      <c r="C143" s="26" t="n">
        <v>7425</v>
      </c>
      <c r="D143" s="26" t="n">
        <v>3865</v>
      </c>
      <c r="E143" s="39" t="n">
        <v>-2819.932</v>
      </c>
      <c r="F143" s="29" t="n">
        <f aca="false">IF(D143=0,"",E143/D143)</f>
        <v>-0.729607244501941</v>
      </c>
      <c r="G143" s="26" t="n">
        <v>3560</v>
      </c>
      <c r="H143" s="39" t="n">
        <v>-831.867</v>
      </c>
      <c r="I143" s="29" t="n">
        <f aca="false">IF(G143=0,"",H143/G143)</f>
        <v>-0.233670505617978</v>
      </c>
      <c r="J143" s="26" t="n">
        <v>0</v>
      </c>
      <c r="K143" s="43" t="n">
        <v>0.4656</v>
      </c>
      <c r="L143" s="43" t="n">
        <v>0.5763</v>
      </c>
      <c r="M143" s="43" t="n">
        <v>0.4656</v>
      </c>
      <c r="N143" s="43" t="n">
        <v>0</v>
      </c>
      <c r="O143" s="43" t="n">
        <v>0</v>
      </c>
      <c r="P143" s="26" t="n">
        <v>13</v>
      </c>
      <c r="Q143" s="26" t="n">
        <v>18</v>
      </c>
    </row>
    <row r="144" customFormat="false" ht="15" hidden="false" customHeight="false" outlineLevel="0" collapsed="false">
      <c r="A144" s="8" t="s">
        <v>23</v>
      </c>
      <c r="B144" s="8" t="s">
        <v>379</v>
      </c>
      <c r="C144" s="26" t="n">
        <v>6765</v>
      </c>
      <c r="D144" s="26" t="n">
        <v>3518</v>
      </c>
      <c r="E144" s="39" t="n">
        <v>-2635.935</v>
      </c>
      <c r="F144" s="29" t="n">
        <f aca="false">IF(D144=0,"",E144/D144)</f>
        <v>-0.749270892552587</v>
      </c>
      <c r="G144" s="26" t="n">
        <v>3247</v>
      </c>
      <c r="H144" s="39" t="n">
        <v>-840.397</v>
      </c>
      <c r="I144" s="29" t="n">
        <f aca="false">IF(G144=0,"",H144/G144)</f>
        <v>-0.258822605481983</v>
      </c>
      <c r="J144" s="26" t="n">
        <v>0</v>
      </c>
      <c r="K144" s="43" t="n">
        <v>0.3051</v>
      </c>
      <c r="L144" s="43" t="n">
        <v>0.5772</v>
      </c>
      <c r="M144" s="43" t="n">
        <v>0.4615</v>
      </c>
      <c r="N144" s="43" t="n">
        <v>0.3715</v>
      </c>
      <c r="O144" s="43" t="n">
        <v>0.3051</v>
      </c>
      <c r="P144" s="26" t="n">
        <v>6</v>
      </c>
      <c r="Q144" s="26" t="n">
        <v>29</v>
      </c>
    </row>
    <row r="145" customFormat="false" ht="15" hidden="false" customHeight="false" outlineLevel="0" collapsed="false">
      <c r="A145" s="8" t="s">
        <v>23</v>
      </c>
      <c r="B145" s="8" t="s">
        <v>380</v>
      </c>
      <c r="C145" s="26" t="n">
        <v>3342</v>
      </c>
      <c r="D145" s="26" t="n">
        <v>1668</v>
      </c>
      <c r="E145" s="39" t="n">
        <v>-1261.469</v>
      </c>
      <c r="F145" s="29" t="n">
        <f aca="false">IF(D145=0,"",E145/D145)</f>
        <v>-0.756276378896883</v>
      </c>
      <c r="G145" s="26" t="n">
        <v>1674</v>
      </c>
      <c r="H145" s="39" t="n">
        <v>-360.736</v>
      </c>
      <c r="I145" s="29" t="n">
        <f aca="false">IF(G145=0,"",H145/G145)</f>
        <v>-0.215493428912784</v>
      </c>
      <c r="J145" s="26" t="n">
        <v>0</v>
      </c>
      <c r="K145" s="43" t="n">
        <v>0.3133</v>
      </c>
      <c r="L145" s="43" t="n">
        <v>0.5724</v>
      </c>
      <c r="M145" s="43" t="n">
        <v>0.4722</v>
      </c>
      <c r="N145" s="43" t="n">
        <v>0.3776</v>
      </c>
      <c r="O145" s="43" t="n">
        <v>0.3133</v>
      </c>
      <c r="P145" s="26" t="n">
        <v>6</v>
      </c>
      <c r="Q145" s="26" t="n">
        <v>21</v>
      </c>
    </row>
    <row r="146" customFormat="false" ht="15" hidden="false" customHeight="false" outlineLevel="0" collapsed="false">
      <c r="A146" s="8" t="s">
        <v>23</v>
      </c>
      <c r="B146" s="8" t="s">
        <v>381</v>
      </c>
      <c r="C146" s="26" t="n">
        <v>4455</v>
      </c>
      <c r="D146" s="26" t="n">
        <v>2319</v>
      </c>
      <c r="E146" s="39" t="n">
        <v>-1868.462</v>
      </c>
      <c r="F146" s="29" t="n">
        <f aca="false">IF(D146=0,"",E146/D146)</f>
        <v>-0.805718844329452</v>
      </c>
      <c r="G146" s="26" t="n">
        <v>2136</v>
      </c>
      <c r="H146" s="39" t="n">
        <v>-542.925</v>
      </c>
      <c r="I146" s="29" t="n">
        <f aca="false">IF(G146=0,"",H146/G146)</f>
        <v>-0.254178370786517</v>
      </c>
      <c r="J146" s="26" t="n">
        <v>0</v>
      </c>
      <c r="K146" s="43" t="n">
        <v>0.3068</v>
      </c>
      <c r="L146" s="43" t="n">
        <v>0.5731</v>
      </c>
      <c r="M146" s="43" t="n">
        <v>0.4655</v>
      </c>
      <c r="N146" s="43" t="n">
        <v>0.3737</v>
      </c>
      <c r="O146" s="43" t="n">
        <v>0.3068</v>
      </c>
      <c r="P146" s="26" t="n">
        <v>7</v>
      </c>
      <c r="Q146" s="26" t="n">
        <v>19</v>
      </c>
    </row>
    <row r="147" customFormat="false" ht="15" hidden="false" customHeight="false" outlineLevel="0" collapsed="false">
      <c r="A147" s="8" t="s">
        <v>23</v>
      </c>
      <c r="B147" s="8" t="s">
        <v>382</v>
      </c>
      <c r="C147" s="26" t="n">
        <v>7425</v>
      </c>
      <c r="D147" s="26" t="n">
        <v>3865</v>
      </c>
      <c r="E147" s="39" t="n">
        <v>-3178.26</v>
      </c>
      <c r="F147" s="29" t="n">
        <f aca="false">IF(D147=0,"",E147/D147)</f>
        <v>-0.822318240620957</v>
      </c>
      <c r="G147" s="26" t="n">
        <v>3560</v>
      </c>
      <c r="H147" s="39" t="n">
        <v>-950.583</v>
      </c>
      <c r="I147" s="29" t="n">
        <f aca="false">IF(G147=0,"",H147/G147)</f>
        <v>-0.267017696629214</v>
      </c>
      <c r="J147" s="26" t="n">
        <v>0</v>
      </c>
      <c r="K147" s="43" t="n">
        <v>0.3096</v>
      </c>
      <c r="L147" s="43" t="n">
        <v>0.567</v>
      </c>
      <c r="M147" s="43" t="n">
        <v>0.4615</v>
      </c>
      <c r="N147" s="43" t="n">
        <v>0.3712</v>
      </c>
      <c r="O147" s="43" t="n">
        <v>0.3096</v>
      </c>
      <c r="P147" s="26" t="n">
        <v>6</v>
      </c>
      <c r="Q147" s="26" t="n">
        <v>20</v>
      </c>
    </row>
    <row r="148" customFormat="false" ht="15" hidden="false" customHeight="false" outlineLevel="0" collapsed="false">
      <c r="A148" s="8" t="s">
        <v>23</v>
      </c>
      <c r="B148" s="8" t="s">
        <v>383</v>
      </c>
      <c r="C148" s="26" t="n">
        <v>2970</v>
      </c>
      <c r="D148" s="26" t="n">
        <v>1546</v>
      </c>
      <c r="E148" s="39" t="n">
        <v>-1290.754</v>
      </c>
      <c r="F148" s="29" t="n">
        <f aca="false">IF(D148=0,"",E148/D148)</f>
        <v>-0.834899094437257</v>
      </c>
      <c r="G148" s="26" t="n">
        <v>1424</v>
      </c>
      <c r="H148" s="39" t="n">
        <v>-362.496</v>
      </c>
      <c r="I148" s="29" t="n">
        <f aca="false">IF(G148=0,"",H148/G148)</f>
        <v>-0.254561797752809</v>
      </c>
      <c r="J148" s="26" t="n">
        <v>0</v>
      </c>
      <c r="K148" s="43" t="n">
        <v>0.3128</v>
      </c>
      <c r="L148" s="43" t="n">
        <v>0.5741</v>
      </c>
      <c r="M148" s="43" t="n">
        <v>0.471</v>
      </c>
      <c r="N148" s="43" t="n">
        <v>0.3785</v>
      </c>
      <c r="O148" s="43" t="n">
        <v>0.3128</v>
      </c>
      <c r="P148" s="26" t="n">
        <v>9</v>
      </c>
      <c r="Q148" s="26" t="n">
        <v>19</v>
      </c>
    </row>
    <row r="149" customFormat="false" ht="15" hidden="false" customHeight="false" outlineLevel="0" collapsed="false">
      <c r="A149" s="8" t="s">
        <v>23</v>
      </c>
      <c r="B149" s="8" t="s">
        <v>384</v>
      </c>
      <c r="C149" s="26" t="n">
        <v>1485</v>
      </c>
      <c r="D149" s="26" t="n">
        <v>773</v>
      </c>
      <c r="E149" s="39" t="n">
        <v>-705.037</v>
      </c>
      <c r="F149" s="29" t="n">
        <f aca="false">IF(D149=0,"",E149/D149)</f>
        <v>-0.912078913324709</v>
      </c>
      <c r="G149" s="26" t="n">
        <v>712</v>
      </c>
      <c r="H149" s="39" t="n">
        <v>-216.062</v>
      </c>
      <c r="I149" s="29" t="n">
        <f aca="false">IF(G149=0,"",H149/G149)</f>
        <v>-0.303457865168539</v>
      </c>
      <c r="J149" s="26" t="n">
        <v>0</v>
      </c>
      <c r="K149" s="43" t="n">
        <v>0.3024</v>
      </c>
      <c r="L149" s="43" t="n">
        <v>0.5771</v>
      </c>
      <c r="M149" s="43" t="n">
        <v>0.4646</v>
      </c>
      <c r="N149" s="43" t="n">
        <v>0.3657</v>
      </c>
      <c r="O149" s="43" t="n">
        <v>0.3024</v>
      </c>
      <c r="P149" s="26" t="n">
        <v>6</v>
      </c>
      <c r="Q149" s="26" t="n">
        <v>19</v>
      </c>
    </row>
    <row r="150" customFormat="false" ht="15" hidden="false" customHeight="false" outlineLevel="0" collapsed="false">
      <c r="A150" s="8" t="s">
        <v>23</v>
      </c>
      <c r="B150" s="8" t="s">
        <v>385</v>
      </c>
      <c r="C150" s="26" t="n">
        <v>7425</v>
      </c>
      <c r="D150" s="26" t="n">
        <v>3865</v>
      </c>
      <c r="E150" s="39" t="n">
        <v>-3864.801</v>
      </c>
      <c r="F150" s="29" t="n">
        <f aca="false">IF(D150=0,"",E150/D150)</f>
        <v>-0.99994851228978</v>
      </c>
      <c r="G150" s="26" t="n">
        <v>3560</v>
      </c>
      <c r="H150" s="39" t="n">
        <v>-1100.366</v>
      </c>
      <c r="I150" s="29" t="n">
        <f aca="false">IF(G150=0,"",H150/G150)</f>
        <v>-0.309091573033708</v>
      </c>
      <c r="J150" s="26" t="n">
        <v>0</v>
      </c>
      <c r="K150" s="43" t="n">
        <v>0.3123</v>
      </c>
      <c r="L150" s="43" t="n">
        <v>0.5537</v>
      </c>
      <c r="M150" s="43" t="n">
        <v>0.4622</v>
      </c>
      <c r="N150" s="43" t="n">
        <v>0.3704</v>
      </c>
      <c r="O150" s="43" t="n">
        <v>0.3123</v>
      </c>
      <c r="P150" s="26" t="n">
        <v>8</v>
      </c>
      <c r="Q150" s="26" t="n">
        <v>25</v>
      </c>
    </row>
    <row r="152" customFormat="false" ht="15" hidden="false" customHeight="false" outlineLevel="0" collapsed="false">
      <c r="A152" s="5" t="s">
        <v>62</v>
      </c>
      <c r="B152" s="5" t="s">
        <v>240</v>
      </c>
      <c r="C152" s="35" t="n">
        <v>6958</v>
      </c>
      <c r="D152" s="35" t="n">
        <v>3608</v>
      </c>
      <c r="E152" s="41" t="n">
        <v>-687.837</v>
      </c>
      <c r="F152" s="37" t="n">
        <f aca="false">IF(D152=0,"",E152/D152)</f>
        <v>-0.190642184035477</v>
      </c>
      <c r="G152" s="35" t="n">
        <v>3350</v>
      </c>
      <c r="H152" s="41" t="n">
        <v>-76.301</v>
      </c>
      <c r="I152" s="37" t="n">
        <f aca="false">IF(G152=0,"",H152/G152)</f>
        <v>-0.0227764179104478</v>
      </c>
      <c r="J152" s="35" t="n">
        <v>1</v>
      </c>
      <c r="K152" s="42" t="n">
        <v>0.3326</v>
      </c>
      <c r="L152" s="42" t="n">
        <v>0.6087</v>
      </c>
      <c r="M152" s="42" t="n">
        <v>0.4974</v>
      </c>
      <c r="N152" s="42" t="n">
        <v>0.398</v>
      </c>
      <c r="O152" s="42" t="n">
        <v>0.3326</v>
      </c>
      <c r="P152" s="35" t="n">
        <v>7</v>
      </c>
      <c r="Q152" s="35" t="n">
        <v>19</v>
      </c>
    </row>
    <row r="153" customFormat="false" ht="15" hidden="false" customHeight="false" outlineLevel="0" collapsed="false">
      <c r="A153" s="8" t="s">
        <v>62</v>
      </c>
      <c r="B153" s="8" t="s">
        <v>242</v>
      </c>
      <c r="C153" s="26" t="n">
        <v>1679</v>
      </c>
      <c r="D153" s="26" t="n">
        <v>821</v>
      </c>
      <c r="E153" s="39" t="n">
        <v>0.229</v>
      </c>
      <c r="F153" s="29" t="n">
        <f aca="false">IF(D153=0,"",E153/D153)</f>
        <v>0.000278928136419001</v>
      </c>
      <c r="G153" s="26" t="n">
        <v>858</v>
      </c>
      <c r="H153" s="39" t="n">
        <v>7.92</v>
      </c>
      <c r="I153" s="29" t="n">
        <f aca="false">IF(G153=0,"",H153/G153)</f>
        <v>0.00923076923076923</v>
      </c>
      <c r="J153" s="26" t="n">
        <v>3</v>
      </c>
      <c r="K153" s="43" t="n">
        <v>0.3496</v>
      </c>
      <c r="L153" s="43" t="n">
        <v>0.617</v>
      </c>
      <c r="M153" s="43" t="n">
        <v>0.5086</v>
      </c>
      <c r="N153" s="43" t="n">
        <v>0.4199</v>
      </c>
      <c r="O153" s="43" t="n">
        <v>0.3496</v>
      </c>
      <c r="P153" s="26" t="n">
        <v>6</v>
      </c>
      <c r="Q153" s="26" t="n">
        <v>17</v>
      </c>
    </row>
    <row r="154" customFormat="false" ht="15" hidden="false" customHeight="false" outlineLevel="0" collapsed="false">
      <c r="A154" s="8" t="s">
        <v>62</v>
      </c>
      <c r="B154" s="8" t="s">
        <v>241</v>
      </c>
      <c r="C154" s="26" t="n">
        <v>887</v>
      </c>
      <c r="D154" s="26" t="n">
        <v>437</v>
      </c>
      <c r="E154" s="39" t="n">
        <v>-47.807</v>
      </c>
      <c r="F154" s="29" t="n">
        <f aca="false">IF(D154=0,"",E154/D154)</f>
        <v>-0.109398169336384</v>
      </c>
      <c r="G154" s="26" t="n">
        <v>450</v>
      </c>
      <c r="H154" s="39" t="n">
        <v>7.356</v>
      </c>
      <c r="I154" s="29" t="n">
        <f aca="false">IF(G154=0,"",H154/G154)</f>
        <v>0.0163466666666667</v>
      </c>
      <c r="J154" s="26" t="n">
        <v>3</v>
      </c>
      <c r="K154" s="43" t="n">
        <v>0.3315</v>
      </c>
      <c r="L154" s="43" t="n">
        <v>0.5986</v>
      </c>
      <c r="M154" s="43" t="n">
        <v>0.4825</v>
      </c>
      <c r="N154" s="43" t="n">
        <v>0.3957</v>
      </c>
      <c r="O154" s="43" t="n">
        <v>0.3315</v>
      </c>
      <c r="P154" s="26" t="n">
        <v>5</v>
      </c>
      <c r="Q154" s="26" t="n">
        <v>12</v>
      </c>
    </row>
    <row r="155" customFormat="false" ht="15" hidden="false" customHeight="false" outlineLevel="0" collapsed="false">
      <c r="A155" s="8" t="s">
        <v>62</v>
      </c>
      <c r="B155" s="8" t="s">
        <v>243</v>
      </c>
      <c r="C155" s="26" t="n">
        <v>1646</v>
      </c>
      <c r="D155" s="26" t="n">
        <v>870</v>
      </c>
      <c r="E155" s="39" t="n">
        <v>-108.599</v>
      </c>
      <c r="F155" s="29" t="n">
        <f aca="false">IF(D155=0,"",E155/D155)</f>
        <v>-0.124826436781609</v>
      </c>
      <c r="G155" s="26" t="n">
        <v>776</v>
      </c>
      <c r="H155" s="39" t="n">
        <v>-45.061</v>
      </c>
      <c r="I155" s="29" t="n">
        <f aca="false">IF(G155=0,"",H155/G155)</f>
        <v>-0.0580682989690722</v>
      </c>
      <c r="J155" s="26" t="n">
        <v>1</v>
      </c>
      <c r="K155" s="43" t="n">
        <v>0.3238</v>
      </c>
      <c r="L155" s="43" t="n">
        <v>0.593</v>
      </c>
      <c r="M155" s="43" t="n">
        <v>0.4854</v>
      </c>
      <c r="N155" s="43" t="n">
        <v>0.3827</v>
      </c>
      <c r="O155" s="43" t="n">
        <v>0.3238</v>
      </c>
      <c r="P155" s="26" t="n">
        <v>5</v>
      </c>
      <c r="Q155" s="26" t="n">
        <v>18</v>
      </c>
    </row>
    <row r="156" customFormat="false" ht="15" hidden="false" customHeight="false" outlineLevel="0" collapsed="false">
      <c r="A156" s="8" t="s">
        <v>62</v>
      </c>
      <c r="B156" s="8" t="s">
        <v>256</v>
      </c>
      <c r="C156" s="26" t="n">
        <v>2353</v>
      </c>
      <c r="D156" s="26" t="n">
        <v>1243</v>
      </c>
      <c r="E156" s="39" t="n">
        <v>-157.518</v>
      </c>
      <c r="F156" s="29" t="n">
        <f aca="false">IF(D156=0,"",E156/D156)</f>
        <v>-0.126724054706356</v>
      </c>
      <c r="G156" s="26" t="n">
        <v>1110</v>
      </c>
      <c r="H156" s="39" t="n">
        <v>-4.993</v>
      </c>
      <c r="I156" s="29" t="n">
        <f aca="false">IF(G156=0,"",H156/G156)</f>
        <v>-0.0044981981981982</v>
      </c>
      <c r="J156" s="26" t="n">
        <v>2</v>
      </c>
      <c r="K156" s="43" t="n">
        <v>0.3561</v>
      </c>
      <c r="L156" s="43" t="n">
        <v>0.632</v>
      </c>
      <c r="M156" s="43" t="n">
        <v>0.5223</v>
      </c>
      <c r="N156" s="43" t="n">
        <v>0.4348</v>
      </c>
      <c r="O156" s="43" t="n">
        <v>0.3561</v>
      </c>
      <c r="P156" s="26" t="n">
        <v>6</v>
      </c>
      <c r="Q156" s="26" t="n">
        <v>14</v>
      </c>
    </row>
    <row r="157" customFormat="false" ht="15" hidden="false" customHeight="false" outlineLevel="0" collapsed="false">
      <c r="A157" s="8" t="s">
        <v>62</v>
      </c>
      <c r="B157" s="8" t="s">
        <v>255</v>
      </c>
      <c r="C157" s="26" t="n">
        <v>3947</v>
      </c>
      <c r="D157" s="26" t="n">
        <v>2087</v>
      </c>
      <c r="E157" s="39" t="n">
        <v>-265.824</v>
      </c>
      <c r="F157" s="29" t="n">
        <f aca="false">IF(D157=0,"",E157/D157)</f>
        <v>-0.127371346430283</v>
      </c>
      <c r="G157" s="26" t="n">
        <v>1860</v>
      </c>
      <c r="H157" s="39" t="n">
        <v>-49.932</v>
      </c>
      <c r="I157" s="29" t="n">
        <f aca="false">IF(G157=0,"",H157/G157)</f>
        <v>-0.0268451612903226</v>
      </c>
      <c r="J157" s="26" t="n">
        <v>1</v>
      </c>
      <c r="K157" s="43" t="n">
        <v>0.3425</v>
      </c>
      <c r="L157" s="43" t="n">
        <v>0.6154</v>
      </c>
      <c r="M157" s="43" t="n">
        <v>0.5062</v>
      </c>
      <c r="N157" s="43" t="n">
        <v>0.4127</v>
      </c>
      <c r="O157" s="43" t="n">
        <v>0.3425</v>
      </c>
      <c r="P157" s="26" t="n">
        <v>8</v>
      </c>
      <c r="Q157" s="26" t="n">
        <v>17</v>
      </c>
    </row>
    <row r="158" customFormat="false" ht="15" hidden="false" customHeight="false" outlineLevel="0" collapsed="false">
      <c r="A158" s="8" t="s">
        <v>62</v>
      </c>
      <c r="B158" s="8" t="s">
        <v>271</v>
      </c>
      <c r="C158" s="26" t="n">
        <v>4083</v>
      </c>
      <c r="D158" s="26" t="n">
        <v>2079</v>
      </c>
      <c r="E158" s="39" t="n">
        <v>-265.349</v>
      </c>
      <c r="F158" s="29" t="n">
        <f aca="false">IF(D158=0,"",E158/D158)</f>
        <v>-0.127632996632997</v>
      </c>
      <c r="G158" s="26" t="n">
        <v>2004</v>
      </c>
      <c r="H158" s="39" t="n">
        <v>-11.481</v>
      </c>
      <c r="I158" s="29" t="n">
        <f aca="false">IF(G158=0,"",H158/G158)</f>
        <v>-0.00572904191616767</v>
      </c>
      <c r="J158" s="26" t="n">
        <v>2</v>
      </c>
      <c r="K158" s="43" t="n">
        <v>0.3424</v>
      </c>
      <c r="L158" s="43" t="n">
        <v>0.6106</v>
      </c>
      <c r="M158" s="43" t="n">
        <v>0.5053</v>
      </c>
      <c r="N158" s="43" t="n">
        <v>0.4053</v>
      </c>
      <c r="O158" s="43" t="n">
        <v>0.3424</v>
      </c>
      <c r="P158" s="26" t="n">
        <v>8</v>
      </c>
      <c r="Q158" s="26" t="n">
        <v>19</v>
      </c>
    </row>
    <row r="159" customFormat="false" ht="15" hidden="false" customHeight="false" outlineLevel="0" collapsed="false">
      <c r="A159" s="8" t="s">
        <v>62</v>
      </c>
      <c r="B159" s="8" t="s">
        <v>248</v>
      </c>
      <c r="C159" s="26" t="n">
        <v>4154</v>
      </c>
      <c r="D159" s="26" t="n">
        <v>2160</v>
      </c>
      <c r="E159" s="39" t="n">
        <v>-284.245</v>
      </c>
      <c r="F159" s="29" t="n">
        <f aca="false">IF(D159=0,"",E159/D159)</f>
        <v>-0.131594907407407</v>
      </c>
      <c r="G159" s="26" t="n">
        <v>1994</v>
      </c>
      <c r="H159" s="39" t="n">
        <v>-59.573</v>
      </c>
      <c r="I159" s="29" t="n">
        <f aca="false">IF(G159=0,"",H159/G159)</f>
        <v>-0.0298761283851555</v>
      </c>
      <c r="J159" s="26" t="n">
        <v>0</v>
      </c>
      <c r="K159" s="43" t="n">
        <v>0.3267</v>
      </c>
      <c r="L159" s="43" t="n">
        <v>0.6093</v>
      </c>
      <c r="M159" s="43" t="n">
        <v>0.4928</v>
      </c>
      <c r="N159" s="43" t="n">
        <v>0.3919</v>
      </c>
      <c r="O159" s="43" t="n">
        <v>0.3267</v>
      </c>
      <c r="P159" s="26" t="n">
        <v>7</v>
      </c>
      <c r="Q159" s="26" t="n">
        <v>19</v>
      </c>
    </row>
    <row r="160" customFormat="false" ht="15" hidden="false" customHeight="false" outlineLevel="0" collapsed="false">
      <c r="A160" s="8" t="s">
        <v>62</v>
      </c>
      <c r="B160" s="8" t="s">
        <v>250</v>
      </c>
      <c r="C160" s="26" t="n">
        <v>4770</v>
      </c>
      <c r="D160" s="26" t="n">
        <v>2407</v>
      </c>
      <c r="E160" s="39" t="n">
        <v>-321.637</v>
      </c>
      <c r="F160" s="29" t="n">
        <f aca="false">IF(D160=0,"",E160/D160)</f>
        <v>-0.13362567511425</v>
      </c>
      <c r="G160" s="26" t="n">
        <v>2363</v>
      </c>
      <c r="H160" s="39" t="n">
        <v>44.796</v>
      </c>
      <c r="I160" s="29" t="n">
        <f aca="false">IF(G160=0,"",H160/G160)</f>
        <v>0.0189572577232332</v>
      </c>
      <c r="J160" s="26" t="n">
        <v>2</v>
      </c>
      <c r="K160" s="43" t="n">
        <v>0.3327</v>
      </c>
      <c r="L160" s="43" t="n">
        <v>0.6143</v>
      </c>
      <c r="M160" s="43" t="n">
        <v>0.4956</v>
      </c>
      <c r="N160" s="43" t="n">
        <v>0.3931</v>
      </c>
      <c r="O160" s="43" t="n">
        <v>0.3327</v>
      </c>
      <c r="P160" s="26" t="n">
        <v>6</v>
      </c>
      <c r="Q160" s="26" t="n">
        <v>18</v>
      </c>
    </row>
    <row r="161" customFormat="false" ht="15" hidden="false" customHeight="false" outlineLevel="0" collapsed="false">
      <c r="A161" s="8" t="s">
        <v>62</v>
      </c>
      <c r="B161" s="8" t="s">
        <v>254</v>
      </c>
      <c r="C161" s="26" t="n">
        <v>5127</v>
      </c>
      <c r="D161" s="26" t="n">
        <v>2629</v>
      </c>
      <c r="E161" s="39" t="n">
        <v>-354.198</v>
      </c>
      <c r="F161" s="29" t="n">
        <f aca="false">IF(D161=0,"",E161/D161)</f>
        <v>-0.134727272727273</v>
      </c>
      <c r="G161" s="26" t="n">
        <v>2498</v>
      </c>
      <c r="H161" s="39" t="n">
        <v>14.002</v>
      </c>
      <c r="I161" s="29" t="n">
        <f aca="false">IF(G161=0,"",H161/G161)</f>
        <v>0.00560528422738191</v>
      </c>
      <c r="J161" s="26" t="n">
        <v>1</v>
      </c>
      <c r="K161" s="43" t="n">
        <v>0.3378</v>
      </c>
      <c r="L161" s="43" t="n">
        <v>0.6161</v>
      </c>
      <c r="M161" s="43" t="n">
        <v>0.4993</v>
      </c>
      <c r="N161" s="43" t="n">
        <v>0.4057</v>
      </c>
      <c r="O161" s="43" t="n">
        <v>0.3378</v>
      </c>
      <c r="P161" s="26" t="n">
        <v>8</v>
      </c>
      <c r="Q161" s="26" t="n">
        <v>18</v>
      </c>
    </row>
    <row r="162" customFormat="false" ht="15" hidden="false" customHeight="false" outlineLevel="0" collapsed="false">
      <c r="A162" s="8" t="s">
        <v>62</v>
      </c>
      <c r="B162" s="8" t="s">
        <v>257</v>
      </c>
      <c r="C162" s="26" t="n">
        <v>5783</v>
      </c>
      <c r="D162" s="26" t="n">
        <v>2932</v>
      </c>
      <c r="E162" s="39" t="n">
        <v>-419.224</v>
      </c>
      <c r="F162" s="29" t="n">
        <f aca="false">IF(D162=0,"",E162/D162)</f>
        <v>-0.142982264665757</v>
      </c>
      <c r="G162" s="26" t="n">
        <v>2851</v>
      </c>
      <c r="H162" s="39" t="n">
        <v>-13.033</v>
      </c>
      <c r="I162" s="29" t="n">
        <f aca="false">IF(G162=0,"",H162/G162)</f>
        <v>-0.00457137846369695</v>
      </c>
      <c r="J162" s="26" t="n">
        <v>1</v>
      </c>
      <c r="K162" s="43" t="n">
        <v>0.3322</v>
      </c>
      <c r="L162" s="43" t="n">
        <v>0.6197</v>
      </c>
      <c r="M162" s="43" t="n">
        <v>0.498</v>
      </c>
      <c r="N162" s="43" t="n">
        <v>0.3972</v>
      </c>
      <c r="O162" s="43" t="n">
        <v>0.3322</v>
      </c>
      <c r="P162" s="26" t="n">
        <v>7</v>
      </c>
      <c r="Q162" s="26" t="n">
        <v>30</v>
      </c>
    </row>
    <row r="163" customFormat="false" ht="15" hidden="false" customHeight="false" outlineLevel="0" collapsed="false">
      <c r="A163" s="8" t="s">
        <v>62</v>
      </c>
      <c r="B163" s="8" t="s">
        <v>253</v>
      </c>
      <c r="C163" s="26" t="n">
        <v>5664</v>
      </c>
      <c r="D163" s="26" t="n">
        <v>2935</v>
      </c>
      <c r="E163" s="39" t="n">
        <v>-441.626</v>
      </c>
      <c r="F163" s="29" t="n">
        <f aca="false">IF(D163=0,"",E163/D163)</f>
        <v>-0.150468824531516</v>
      </c>
      <c r="G163" s="26" t="n">
        <v>2729</v>
      </c>
      <c r="H163" s="39" t="n">
        <v>14.647</v>
      </c>
      <c r="I163" s="29" t="n">
        <f aca="false">IF(G163=0,"",H163/G163)</f>
        <v>0.00536716746060828</v>
      </c>
      <c r="J163" s="26" t="n">
        <v>1</v>
      </c>
      <c r="K163" s="43" t="n">
        <v>0.3393</v>
      </c>
      <c r="L163" s="43" t="n">
        <v>0.6194</v>
      </c>
      <c r="M163" s="43" t="n">
        <v>0.5037</v>
      </c>
      <c r="N163" s="43" t="n">
        <v>0.4084</v>
      </c>
      <c r="O163" s="43" t="n">
        <v>0.3393</v>
      </c>
      <c r="P163" s="26" t="n">
        <v>6</v>
      </c>
      <c r="Q163" s="26" t="n">
        <v>20</v>
      </c>
    </row>
    <row r="164" customFormat="false" ht="15" hidden="false" customHeight="false" outlineLevel="0" collapsed="false">
      <c r="A164" s="8" t="s">
        <v>62</v>
      </c>
      <c r="B164" s="8" t="s">
        <v>249</v>
      </c>
      <c r="C164" s="26" t="n">
        <v>4984</v>
      </c>
      <c r="D164" s="26" t="n">
        <v>2580</v>
      </c>
      <c r="E164" s="39" t="n">
        <v>-388.417</v>
      </c>
      <c r="F164" s="29" t="n">
        <f aca="false">IF(D164=0,"",E164/D164)</f>
        <v>-0.150549224806202</v>
      </c>
      <c r="G164" s="26" t="n">
        <v>2404</v>
      </c>
      <c r="H164" s="39" t="n">
        <v>-114.698</v>
      </c>
      <c r="I164" s="29" t="n">
        <f aca="false">IF(G164=0,"",H164/G164)</f>
        <v>-0.0477113144758735</v>
      </c>
      <c r="J164" s="26" t="n">
        <v>0</v>
      </c>
      <c r="K164" s="43" t="n">
        <v>0.322</v>
      </c>
      <c r="L164" s="43" t="n">
        <v>0.6059</v>
      </c>
      <c r="M164" s="43" t="n">
        <v>0.488</v>
      </c>
      <c r="N164" s="43" t="n">
        <v>0.3864</v>
      </c>
      <c r="O164" s="43" t="n">
        <v>0.322</v>
      </c>
      <c r="P164" s="26" t="n">
        <v>8</v>
      </c>
      <c r="Q164" s="26" t="n">
        <v>19</v>
      </c>
    </row>
    <row r="165" customFormat="false" ht="15" hidden="false" customHeight="false" outlineLevel="0" collapsed="false">
      <c r="A165" s="8" t="s">
        <v>62</v>
      </c>
      <c r="B165" s="8" t="s">
        <v>246</v>
      </c>
      <c r="C165" s="26" t="n">
        <v>3829</v>
      </c>
      <c r="D165" s="26" t="n">
        <v>1980</v>
      </c>
      <c r="E165" s="39" t="n">
        <v>-300.226</v>
      </c>
      <c r="F165" s="29" t="n">
        <f aca="false">IF(D165=0,"",E165/D165)</f>
        <v>-0.151629292929293</v>
      </c>
      <c r="G165" s="26" t="n">
        <v>1849</v>
      </c>
      <c r="H165" s="39" t="n">
        <v>14.787</v>
      </c>
      <c r="I165" s="29" t="n">
        <f aca="false">IF(G165=0,"",H165/G165)</f>
        <v>0.0079972958355868</v>
      </c>
      <c r="J165" s="26" t="n">
        <v>1</v>
      </c>
      <c r="K165" s="43" t="n">
        <v>0.3304</v>
      </c>
      <c r="L165" s="43" t="n">
        <v>0.6114</v>
      </c>
      <c r="M165" s="43" t="n">
        <v>0.4926</v>
      </c>
      <c r="N165" s="43" t="n">
        <v>0.3938</v>
      </c>
      <c r="O165" s="43" t="n">
        <v>0.3304</v>
      </c>
      <c r="P165" s="26" t="n">
        <v>6</v>
      </c>
      <c r="Q165" s="26" t="n">
        <v>18</v>
      </c>
    </row>
    <row r="166" customFormat="false" ht="15" hidden="false" customHeight="false" outlineLevel="0" collapsed="false">
      <c r="A166" s="8" t="s">
        <v>62</v>
      </c>
      <c r="B166" s="8" t="s">
        <v>280</v>
      </c>
      <c r="C166" s="26" t="n">
        <v>5701</v>
      </c>
      <c r="D166" s="26" t="n">
        <v>2928</v>
      </c>
      <c r="E166" s="39" t="n">
        <v>-462.929</v>
      </c>
      <c r="F166" s="29" t="n">
        <f aca="false">IF(D166=0,"",E166/D166)</f>
        <v>-0.158104166666667</v>
      </c>
      <c r="G166" s="26" t="n">
        <v>2773</v>
      </c>
      <c r="H166" s="39" t="n">
        <v>-28.989</v>
      </c>
      <c r="I166" s="29" t="n">
        <f aca="false">IF(G166=0,"",H166/G166)</f>
        <v>-0.0104540209159755</v>
      </c>
      <c r="J166" s="26" t="n">
        <v>2</v>
      </c>
      <c r="K166" s="43" t="n">
        <v>0.3377</v>
      </c>
      <c r="L166" s="43" t="n">
        <v>0.6104</v>
      </c>
      <c r="M166" s="43" t="n">
        <v>0.5013</v>
      </c>
      <c r="N166" s="43" t="n">
        <v>0.4012</v>
      </c>
      <c r="O166" s="43" t="n">
        <v>0.3377</v>
      </c>
      <c r="P166" s="26" t="n">
        <v>6</v>
      </c>
      <c r="Q166" s="26" t="n">
        <v>17</v>
      </c>
    </row>
    <row r="167" customFormat="false" ht="15" hidden="false" customHeight="false" outlineLevel="0" collapsed="false">
      <c r="A167" s="8" t="s">
        <v>62</v>
      </c>
      <c r="B167" s="8" t="s">
        <v>252</v>
      </c>
      <c r="C167" s="26" t="n">
        <v>5239</v>
      </c>
      <c r="D167" s="26" t="n">
        <v>2763</v>
      </c>
      <c r="E167" s="39" t="n">
        <v>-437.579</v>
      </c>
      <c r="F167" s="29" t="n">
        <f aca="false">IF(D167=0,"",E167/D167)</f>
        <v>-0.158370973579443</v>
      </c>
      <c r="G167" s="26" t="n">
        <v>2476</v>
      </c>
      <c r="H167" s="39" t="n">
        <v>-5.04</v>
      </c>
      <c r="I167" s="29" t="n">
        <f aca="false">IF(G167=0,"",H167/G167)</f>
        <v>-0.00203554119547658</v>
      </c>
      <c r="J167" s="26" t="n">
        <v>2</v>
      </c>
      <c r="K167" s="43" t="n">
        <v>0.3392</v>
      </c>
      <c r="L167" s="43" t="n">
        <v>0.6203</v>
      </c>
      <c r="M167" s="43" t="n">
        <v>0.5051</v>
      </c>
      <c r="N167" s="43" t="n">
        <v>0.4085</v>
      </c>
      <c r="O167" s="43" t="n">
        <v>0.3392</v>
      </c>
      <c r="P167" s="26" t="n">
        <v>6</v>
      </c>
      <c r="Q167" s="26" t="n">
        <v>18</v>
      </c>
    </row>
    <row r="168" customFormat="false" ht="15" hidden="false" customHeight="false" outlineLevel="0" collapsed="false">
      <c r="A168" s="8" t="s">
        <v>62</v>
      </c>
      <c r="B168" s="8" t="s">
        <v>258</v>
      </c>
      <c r="C168" s="26" t="n">
        <v>4436</v>
      </c>
      <c r="D168" s="26" t="n">
        <v>2248</v>
      </c>
      <c r="E168" s="39" t="n">
        <v>-362.122</v>
      </c>
      <c r="F168" s="29" t="n">
        <f aca="false">IF(D168=0,"",E168/D168)</f>
        <v>-0.161086298932384</v>
      </c>
      <c r="G168" s="26" t="n">
        <v>2188</v>
      </c>
      <c r="H168" s="39" t="n">
        <v>-21.34</v>
      </c>
      <c r="I168" s="29" t="n">
        <f aca="false">IF(G168=0,"",H168/G168)</f>
        <v>-0.00975319926873857</v>
      </c>
      <c r="J168" s="26" t="n">
        <v>2</v>
      </c>
      <c r="K168" s="43" t="n">
        <v>0.3379</v>
      </c>
      <c r="L168" s="43" t="n">
        <v>0.605</v>
      </c>
      <c r="M168" s="43" t="n">
        <v>0.4968</v>
      </c>
      <c r="N168" s="43" t="n">
        <v>0.4044</v>
      </c>
      <c r="O168" s="43" t="n">
        <v>0.3379</v>
      </c>
      <c r="P168" s="26" t="n">
        <v>6</v>
      </c>
      <c r="Q168" s="26" t="n">
        <v>16</v>
      </c>
    </row>
    <row r="169" customFormat="false" ht="15" hidden="false" customHeight="false" outlineLevel="0" collapsed="false">
      <c r="A169" s="8" t="s">
        <v>62</v>
      </c>
      <c r="B169" s="8" t="s">
        <v>268</v>
      </c>
      <c r="C169" s="26" t="n">
        <v>5669</v>
      </c>
      <c r="D169" s="26" t="n">
        <v>2941</v>
      </c>
      <c r="E169" s="39" t="n">
        <v>-478.265</v>
      </c>
      <c r="F169" s="29" t="n">
        <f aca="false">IF(D169=0,"",E169/D169)</f>
        <v>-0.162619857191432</v>
      </c>
      <c r="G169" s="26" t="n">
        <v>2728</v>
      </c>
      <c r="H169" s="39" t="n">
        <v>-29.511</v>
      </c>
      <c r="I169" s="29" t="n">
        <f aca="false">IF(G169=0,"",H169/G169)</f>
        <v>-0.0108178152492669</v>
      </c>
      <c r="J169" s="26" t="n">
        <v>2</v>
      </c>
      <c r="K169" s="43" t="n">
        <v>0.3383</v>
      </c>
      <c r="L169" s="43" t="n">
        <v>0.6098</v>
      </c>
      <c r="M169" s="43" t="n">
        <v>0.502</v>
      </c>
      <c r="N169" s="43" t="n">
        <v>0.4031</v>
      </c>
      <c r="O169" s="43" t="n">
        <v>0.3383</v>
      </c>
      <c r="P169" s="26" t="n">
        <v>7</v>
      </c>
      <c r="Q169" s="26" t="n">
        <v>20</v>
      </c>
    </row>
    <row r="170" customFormat="false" ht="15" hidden="false" customHeight="false" outlineLevel="0" collapsed="false">
      <c r="A170" s="8" t="s">
        <v>62</v>
      </c>
      <c r="B170" s="8" t="s">
        <v>251</v>
      </c>
      <c r="C170" s="26" t="n">
        <v>3848</v>
      </c>
      <c r="D170" s="26" t="n">
        <v>2033</v>
      </c>
      <c r="E170" s="39" t="n">
        <v>-337.277</v>
      </c>
      <c r="F170" s="29" t="n">
        <f aca="false">IF(D170=0,"",E170/D170)</f>
        <v>-0.165901131333005</v>
      </c>
      <c r="G170" s="26" t="n">
        <v>1815</v>
      </c>
      <c r="H170" s="39" t="n">
        <v>53.643</v>
      </c>
      <c r="I170" s="29" t="n">
        <f aca="false">IF(G170=0,"",H170/G170)</f>
        <v>0.0295553719008264</v>
      </c>
      <c r="J170" s="26" t="n">
        <v>2</v>
      </c>
      <c r="K170" s="43" t="n">
        <v>0.3475</v>
      </c>
      <c r="L170" s="43" t="n">
        <v>0.6299</v>
      </c>
      <c r="M170" s="43" t="n">
        <v>0.5146</v>
      </c>
      <c r="N170" s="43" t="n">
        <v>0.4205</v>
      </c>
      <c r="O170" s="43" t="n">
        <v>0.3475</v>
      </c>
      <c r="P170" s="26" t="n">
        <v>7</v>
      </c>
      <c r="Q170" s="26" t="n">
        <v>18</v>
      </c>
    </row>
    <row r="171" customFormat="false" ht="15" hidden="false" customHeight="false" outlineLevel="0" collapsed="false">
      <c r="A171" s="8" t="s">
        <v>62</v>
      </c>
      <c r="B171" s="8" t="s">
        <v>275</v>
      </c>
      <c r="C171" s="26" t="n">
        <v>6066</v>
      </c>
      <c r="D171" s="26" t="n">
        <v>3116</v>
      </c>
      <c r="E171" s="39" t="n">
        <v>-517.259</v>
      </c>
      <c r="F171" s="29" t="n">
        <f aca="false">IF(D171=0,"",E171/D171)</f>
        <v>-0.166000962772786</v>
      </c>
      <c r="G171" s="26" t="n">
        <v>2950</v>
      </c>
      <c r="H171" s="39" t="n">
        <v>-105.841</v>
      </c>
      <c r="I171" s="29" t="n">
        <f aca="false">IF(G171=0,"",H171/G171)</f>
        <v>-0.0358783050847458</v>
      </c>
      <c r="J171" s="26" t="n">
        <v>1</v>
      </c>
      <c r="K171" s="43" t="n">
        <v>0.3333</v>
      </c>
      <c r="L171" s="43" t="n">
        <v>0.6035</v>
      </c>
      <c r="M171" s="43" t="n">
        <v>0.4918</v>
      </c>
      <c r="N171" s="43" t="n">
        <v>0.3953</v>
      </c>
      <c r="O171" s="43" t="n">
        <v>0.3333</v>
      </c>
      <c r="P171" s="26" t="n">
        <v>6</v>
      </c>
      <c r="Q171" s="26" t="n">
        <v>19</v>
      </c>
    </row>
    <row r="172" customFormat="false" ht="15" hidden="false" customHeight="false" outlineLevel="0" collapsed="false">
      <c r="A172" s="8" t="s">
        <v>62</v>
      </c>
      <c r="B172" s="8" t="s">
        <v>259</v>
      </c>
      <c r="C172" s="26" t="n">
        <v>6442</v>
      </c>
      <c r="D172" s="26" t="n">
        <v>3321</v>
      </c>
      <c r="E172" s="39" t="n">
        <v>-556.907</v>
      </c>
      <c r="F172" s="29" t="n">
        <f aca="false">IF(D172=0,"",E172/D172)</f>
        <v>-0.16769256248118</v>
      </c>
      <c r="G172" s="26" t="n">
        <v>3121</v>
      </c>
      <c r="H172" s="39" t="n">
        <v>-58.194</v>
      </c>
      <c r="I172" s="29" t="n">
        <f aca="false">IF(G172=0,"",H172/G172)</f>
        <v>-0.0186459468119193</v>
      </c>
      <c r="J172" s="26" t="n">
        <v>1</v>
      </c>
      <c r="K172" s="43" t="n">
        <v>0.3297</v>
      </c>
      <c r="L172" s="43" t="n">
        <v>0.6138</v>
      </c>
      <c r="M172" s="43" t="n">
        <v>0.4975</v>
      </c>
      <c r="N172" s="43" t="n">
        <v>0.3957</v>
      </c>
      <c r="O172" s="43" t="n">
        <v>0.3297</v>
      </c>
      <c r="P172" s="26" t="n">
        <v>8</v>
      </c>
      <c r="Q172" s="26" t="n">
        <v>30</v>
      </c>
    </row>
    <row r="173" customFormat="false" ht="15" hidden="false" customHeight="false" outlineLevel="0" collapsed="false">
      <c r="A173" s="8" t="s">
        <v>62</v>
      </c>
      <c r="B173" s="8" t="s">
        <v>247</v>
      </c>
      <c r="C173" s="26" t="n">
        <v>3142</v>
      </c>
      <c r="D173" s="26" t="n">
        <v>1659</v>
      </c>
      <c r="E173" s="39" t="n">
        <v>-278.755</v>
      </c>
      <c r="F173" s="29" t="n">
        <f aca="false">IF(D173=0,"",E173/D173)</f>
        <v>-0.168025919228451</v>
      </c>
      <c r="G173" s="26" t="n">
        <v>1483</v>
      </c>
      <c r="H173" s="39" t="n">
        <v>-4.092</v>
      </c>
      <c r="I173" s="29" t="n">
        <f aca="false">IF(G173=0,"",H173/G173)</f>
        <v>-0.00275927174645988</v>
      </c>
      <c r="J173" s="26" t="n">
        <v>2</v>
      </c>
      <c r="K173" s="43" t="n">
        <v>0.3278</v>
      </c>
      <c r="L173" s="43" t="n">
        <v>0.6111</v>
      </c>
      <c r="M173" s="43" t="n">
        <v>0.4924</v>
      </c>
      <c r="N173" s="43" t="n">
        <v>0.3889</v>
      </c>
      <c r="O173" s="43" t="n">
        <v>0.3278</v>
      </c>
      <c r="P173" s="26" t="n">
        <v>6</v>
      </c>
      <c r="Q173" s="26" t="n">
        <v>16</v>
      </c>
    </row>
    <row r="174" customFormat="false" ht="15" hidden="false" customHeight="false" outlineLevel="0" collapsed="false">
      <c r="A174" s="8" t="s">
        <v>62</v>
      </c>
      <c r="B174" s="8" t="s">
        <v>279</v>
      </c>
      <c r="C174" s="26" t="n">
        <v>6564</v>
      </c>
      <c r="D174" s="26" t="n">
        <v>3387</v>
      </c>
      <c r="E174" s="39" t="n">
        <v>-569.632</v>
      </c>
      <c r="F174" s="29" t="n">
        <f aca="false">IF(D174=0,"",E174/D174)</f>
        <v>-0.168181871863006</v>
      </c>
      <c r="G174" s="26" t="n">
        <v>3177</v>
      </c>
      <c r="H174" s="39" t="n">
        <v>-102.858</v>
      </c>
      <c r="I174" s="29" t="n">
        <f aca="false">IF(G174=0,"",H174/G174)</f>
        <v>-0.0323758262511804</v>
      </c>
      <c r="J174" s="26" t="n">
        <v>1</v>
      </c>
      <c r="K174" s="43" t="n">
        <v>0.3327</v>
      </c>
      <c r="L174" s="43" t="n">
        <v>0.6091</v>
      </c>
      <c r="M174" s="43" t="n">
        <v>0.4956</v>
      </c>
      <c r="N174" s="43" t="n">
        <v>0.3982</v>
      </c>
      <c r="O174" s="43" t="n">
        <v>0.3327</v>
      </c>
      <c r="P174" s="26" t="n">
        <v>7</v>
      </c>
      <c r="Q174" s="26" t="n">
        <v>17</v>
      </c>
    </row>
    <row r="175" customFormat="false" ht="15" hidden="false" customHeight="false" outlineLevel="0" collapsed="false">
      <c r="A175" s="8" t="s">
        <v>62</v>
      </c>
      <c r="B175" s="8" t="s">
        <v>373</v>
      </c>
      <c r="C175" s="26" t="n">
        <v>5307</v>
      </c>
      <c r="D175" s="26" t="n">
        <v>2747</v>
      </c>
      <c r="E175" s="39" t="n">
        <v>-464.044</v>
      </c>
      <c r="F175" s="29" t="n">
        <f aca="false">IF(D175=0,"",E175/D175)</f>
        <v>-0.168927557335275</v>
      </c>
      <c r="G175" s="26" t="n">
        <v>2560</v>
      </c>
      <c r="H175" s="39" t="n">
        <v>-81.025</v>
      </c>
      <c r="I175" s="29" t="n">
        <f aca="false">IF(G175=0,"",H175/G175)</f>
        <v>-0.031650390625</v>
      </c>
      <c r="J175" s="26" t="n">
        <v>0</v>
      </c>
      <c r="K175" s="43" t="n">
        <v>0.338</v>
      </c>
      <c r="L175" s="43" t="n">
        <v>0.6058</v>
      </c>
      <c r="M175" s="43" t="n">
        <v>0.4943</v>
      </c>
      <c r="N175" s="43" t="n">
        <v>0.401</v>
      </c>
      <c r="O175" s="43" t="n">
        <v>0.338</v>
      </c>
      <c r="P175" s="26" t="n">
        <v>7</v>
      </c>
      <c r="Q175" s="26" t="n">
        <v>19</v>
      </c>
    </row>
    <row r="176" customFormat="false" ht="15" hidden="false" customHeight="false" outlineLevel="0" collapsed="false">
      <c r="A176" s="8" t="s">
        <v>62</v>
      </c>
      <c r="B176" s="8" t="s">
        <v>299</v>
      </c>
      <c r="C176" s="26" t="n">
        <v>6365</v>
      </c>
      <c r="D176" s="26" t="n">
        <v>3298</v>
      </c>
      <c r="E176" s="39" t="n">
        <v>-560.04</v>
      </c>
      <c r="F176" s="29" t="n">
        <f aca="false">IF(D176=0,"",E176/D176)</f>
        <v>-0.169812007277138</v>
      </c>
      <c r="G176" s="26" t="n">
        <v>3067</v>
      </c>
      <c r="H176" s="39" t="n">
        <v>-53.265</v>
      </c>
      <c r="I176" s="29" t="n">
        <f aca="false">IF(G176=0,"",H176/G176)</f>
        <v>-0.0173671340071731</v>
      </c>
      <c r="J176" s="26" t="n">
        <v>1</v>
      </c>
      <c r="K176" s="43" t="n">
        <v>0.3356</v>
      </c>
      <c r="L176" s="43" t="n">
        <v>0.6113</v>
      </c>
      <c r="M176" s="43" t="n">
        <v>0.4999</v>
      </c>
      <c r="N176" s="43" t="n">
        <v>0.4002</v>
      </c>
      <c r="O176" s="43" t="n">
        <v>0.3356</v>
      </c>
      <c r="P176" s="26" t="n">
        <v>7</v>
      </c>
      <c r="Q176" s="26" t="n">
        <v>19</v>
      </c>
    </row>
    <row r="177" customFormat="false" ht="15" hidden="false" customHeight="false" outlineLevel="0" collapsed="false">
      <c r="A177" s="8" t="s">
        <v>62</v>
      </c>
      <c r="B177" s="8" t="s">
        <v>375</v>
      </c>
      <c r="C177" s="26" t="n">
        <v>5201</v>
      </c>
      <c r="D177" s="26" t="n">
        <v>2694</v>
      </c>
      <c r="E177" s="39" t="n">
        <v>-458.815</v>
      </c>
      <c r="F177" s="29" t="n">
        <f aca="false">IF(D177=0,"",E177/D177)</f>
        <v>-0.170309948032665</v>
      </c>
      <c r="G177" s="26" t="n">
        <v>2507</v>
      </c>
      <c r="H177" s="39" t="n">
        <v>-92.271</v>
      </c>
      <c r="I177" s="29" t="n">
        <f aca="false">IF(G177=0,"",H177/G177)</f>
        <v>-0.0368053450339051</v>
      </c>
      <c r="J177" s="26" t="n">
        <v>0</v>
      </c>
      <c r="K177" s="43" t="n">
        <v>0.3372</v>
      </c>
      <c r="L177" s="43" t="n">
        <v>0.6051</v>
      </c>
      <c r="M177" s="43" t="n">
        <v>0.4941</v>
      </c>
      <c r="N177" s="43" t="n">
        <v>0.4005</v>
      </c>
      <c r="O177" s="43" t="n">
        <v>0.3372</v>
      </c>
      <c r="P177" s="26" t="n">
        <v>7</v>
      </c>
      <c r="Q177" s="26" t="n">
        <v>19</v>
      </c>
    </row>
    <row r="178" customFormat="false" ht="15" hidden="false" customHeight="false" outlineLevel="0" collapsed="false">
      <c r="A178" s="8" t="s">
        <v>62</v>
      </c>
      <c r="B178" s="8" t="s">
        <v>285</v>
      </c>
      <c r="C178" s="26" t="n">
        <v>6459</v>
      </c>
      <c r="D178" s="26" t="n">
        <v>3319</v>
      </c>
      <c r="E178" s="39" t="n">
        <v>-565.885</v>
      </c>
      <c r="F178" s="29" t="n">
        <f aca="false">IF(D178=0,"",E178/D178)</f>
        <v>-0.170498644169931</v>
      </c>
      <c r="G178" s="26" t="n">
        <v>3140</v>
      </c>
      <c r="H178" s="39" t="n">
        <v>-121.303</v>
      </c>
      <c r="I178" s="29" t="n">
        <f aca="false">IF(G178=0,"",H178/G178)</f>
        <v>-0.0386315286624204</v>
      </c>
      <c r="J178" s="26" t="n">
        <v>1</v>
      </c>
      <c r="K178" s="43" t="n">
        <v>0.3295</v>
      </c>
      <c r="L178" s="43" t="n">
        <v>0.6071</v>
      </c>
      <c r="M178" s="43" t="n">
        <v>0.495</v>
      </c>
      <c r="N178" s="43" t="n">
        <v>0.3971</v>
      </c>
      <c r="O178" s="43" t="n">
        <v>0.3295</v>
      </c>
      <c r="P178" s="26" t="n">
        <v>7</v>
      </c>
      <c r="Q178" s="26" t="n">
        <v>20</v>
      </c>
    </row>
    <row r="179" customFormat="false" ht="15" hidden="false" customHeight="false" outlineLevel="0" collapsed="false">
      <c r="A179" s="8" t="s">
        <v>62</v>
      </c>
      <c r="B179" s="8" t="s">
        <v>266</v>
      </c>
      <c r="C179" s="26" t="n">
        <v>4119</v>
      </c>
      <c r="D179" s="26" t="n">
        <v>2131</v>
      </c>
      <c r="E179" s="39" t="n">
        <v>-364.21</v>
      </c>
      <c r="F179" s="29" t="n">
        <f aca="false">IF(D179=0,"",E179/D179)</f>
        <v>-0.170910370717973</v>
      </c>
      <c r="G179" s="26" t="n">
        <v>1988</v>
      </c>
      <c r="H179" s="39" t="n">
        <v>-4.822</v>
      </c>
      <c r="I179" s="29" t="n">
        <f aca="false">IF(G179=0,"",H179/G179)</f>
        <v>-0.00242555331991952</v>
      </c>
      <c r="J179" s="26" t="n">
        <v>1</v>
      </c>
      <c r="K179" s="43" t="n">
        <v>0.3355</v>
      </c>
      <c r="L179" s="43" t="n">
        <v>0.614</v>
      </c>
      <c r="M179" s="43" t="n">
        <v>0.5028</v>
      </c>
      <c r="N179" s="43" t="n">
        <v>0.4011</v>
      </c>
      <c r="O179" s="43" t="n">
        <v>0.3355</v>
      </c>
      <c r="P179" s="26" t="n">
        <v>8</v>
      </c>
      <c r="Q179" s="26" t="n">
        <v>15</v>
      </c>
    </row>
    <row r="180" customFormat="false" ht="15" hidden="false" customHeight="false" outlineLevel="0" collapsed="false">
      <c r="A180" s="8" t="s">
        <v>62</v>
      </c>
      <c r="B180" s="8" t="s">
        <v>286</v>
      </c>
      <c r="C180" s="26" t="n">
        <v>6126</v>
      </c>
      <c r="D180" s="26" t="n">
        <v>3166</v>
      </c>
      <c r="E180" s="39" t="n">
        <v>-543.394</v>
      </c>
      <c r="F180" s="29" t="n">
        <f aca="false">IF(D180=0,"",E180/D180)</f>
        <v>-0.171634238787113</v>
      </c>
      <c r="G180" s="26" t="n">
        <v>2960</v>
      </c>
      <c r="H180" s="39" t="n">
        <v>-54.044</v>
      </c>
      <c r="I180" s="29" t="n">
        <f aca="false">IF(G180=0,"",H180/G180)</f>
        <v>-0.0182581081081081</v>
      </c>
      <c r="J180" s="26" t="n">
        <v>1</v>
      </c>
      <c r="K180" s="43" t="n">
        <v>0.3335</v>
      </c>
      <c r="L180" s="43" t="n">
        <v>0.6077</v>
      </c>
      <c r="M180" s="43" t="n">
        <v>0.4943</v>
      </c>
      <c r="N180" s="43" t="n">
        <v>0.3954</v>
      </c>
      <c r="O180" s="43" t="n">
        <v>0.3335</v>
      </c>
      <c r="P180" s="26" t="n">
        <v>10</v>
      </c>
      <c r="Q180" s="26" t="n">
        <v>17</v>
      </c>
    </row>
    <row r="181" customFormat="false" ht="15" hidden="false" customHeight="false" outlineLevel="0" collapsed="false">
      <c r="A181" s="8" t="s">
        <v>62</v>
      </c>
      <c r="B181" s="8" t="s">
        <v>306</v>
      </c>
      <c r="C181" s="26" t="n">
        <v>6671</v>
      </c>
      <c r="D181" s="26" t="n">
        <v>3455</v>
      </c>
      <c r="E181" s="39" t="n">
        <v>-599.958</v>
      </c>
      <c r="F181" s="29" t="n">
        <f aca="false">IF(D181=0,"",E181/D181)</f>
        <v>-0.173649204052098</v>
      </c>
      <c r="G181" s="26" t="n">
        <v>3216</v>
      </c>
      <c r="H181" s="39" t="n">
        <v>-62.723</v>
      </c>
      <c r="I181" s="29" t="n">
        <f aca="false">IF(G181=0,"",H181/G181)</f>
        <v>-0.01950342039801</v>
      </c>
      <c r="J181" s="26" t="n">
        <v>0</v>
      </c>
      <c r="K181" s="43" t="n">
        <v>0.3346</v>
      </c>
      <c r="L181" s="43" t="n">
        <v>0.6098</v>
      </c>
      <c r="M181" s="43" t="n">
        <v>0.4993</v>
      </c>
      <c r="N181" s="43" t="n">
        <v>0.4011</v>
      </c>
      <c r="O181" s="43" t="n">
        <v>0.3346</v>
      </c>
      <c r="P181" s="26" t="n">
        <v>7</v>
      </c>
      <c r="Q181" s="26" t="n">
        <v>18</v>
      </c>
    </row>
    <row r="182" customFormat="false" ht="15" hidden="false" customHeight="false" outlineLevel="0" collapsed="false">
      <c r="A182" s="8" t="s">
        <v>62</v>
      </c>
      <c r="B182" s="8" t="s">
        <v>355</v>
      </c>
      <c r="C182" s="26" t="n">
        <v>7114</v>
      </c>
      <c r="D182" s="26" t="n">
        <v>3697</v>
      </c>
      <c r="E182" s="39" t="n">
        <v>-644.653</v>
      </c>
      <c r="F182" s="29" t="n">
        <f aca="false">IF(D182=0,"",E182/D182)</f>
        <v>-0.174371923180958</v>
      </c>
      <c r="G182" s="26" t="n">
        <v>3417</v>
      </c>
      <c r="H182" s="39" t="n">
        <v>-92.234</v>
      </c>
      <c r="I182" s="29" t="n">
        <f aca="false">IF(G182=0,"",H182/G182)</f>
        <v>-0.0269926836406204</v>
      </c>
      <c r="J182" s="26" t="n">
        <v>1</v>
      </c>
      <c r="K182" s="43" t="n">
        <v>0.3355</v>
      </c>
      <c r="L182" s="43" t="n">
        <v>0.6087</v>
      </c>
      <c r="M182" s="43" t="n">
        <v>0.4965</v>
      </c>
      <c r="N182" s="43" t="n">
        <v>0.3988</v>
      </c>
      <c r="O182" s="43" t="n">
        <v>0.3355</v>
      </c>
      <c r="P182" s="26" t="n">
        <v>8</v>
      </c>
      <c r="Q182" s="26" t="n">
        <v>19</v>
      </c>
    </row>
    <row r="183" customFormat="false" ht="15" hidden="false" customHeight="false" outlineLevel="0" collapsed="false">
      <c r="A183" s="8" t="s">
        <v>62</v>
      </c>
      <c r="B183" s="8" t="s">
        <v>291</v>
      </c>
      <c r="C183" s="26" t="n">
        <v>5147</v>
      </c>
      <c r="D183" s="26" t="n">
        <v>2665</v>
      </c>
      <c r="E183" s="39" t="n">
        <v>-471.43</v>
      </c>
      <c r="F183" s="29" t="n">
        <f aca="false">IF(D183=0,"",E183/D183)</f>
        <v>-0.176896810506567</v>
      </c>
      <c r="G183" s="26" t="n">
        <v>2482</v>
      </c>
      <c r="H183" s="39" t="n">
        <v>-120.963</v>
      </c>
      <c r="I183" s="29" t="n">
        <f aca="false">IF(G183=0,"",H183/G183)</f>
        <v>-0.0487360999194198</v>
      </c>
      <c r="J183" s="26" t="n">
        <v>0</v>
      </c>
      <c r="K183" s="43" t="n">
        <v>0.3299</v>
      </c>
      <c r="L183" s="43" t="n">
        <v>0.6122</v>
      </c>
      <c r="M183" s="43" t="n">
        <v>0.4989</v>
      </c>
      <c r="N183" s="43" t="n">
        <v>0.3952</v>
      </c>
      <c r="O183" s="43" t="n">
        <v>0.3299</v>
      </c>
      <c r="P183" s="26" t="n">
        <v>6</v>
      </c>
      <c r="Q183" s="26" t="n">
        <v>17</v>
      </c>
    </row>
    <row r="184" customFormat="false" ht="15" hidden="false" customHeight="false" outlineLevel="0" collapsed="false">
      <c r="A184" s="8" t="s">
        <v>62</v>
      </c>
      <c r="B184" s="8" t="s">
        <v>320</v>
      </c>
      <c r="C184" s="26" t="n">
        <v>7226</v>
      </c>
      <c r="D184" s="26" t="n">
        <v>3765</v>
      </c>
      <c r="E184" s="39" t="n">
        <v>-668.14</v>
      </c>
      <c r="F184" s="29" t="n">
        <f aca="false">IF(D184=0,"",E184/D184)</f>
        <v>-0.177460823373174</v>
      </c>
      <c r="G184" s="26" t="n">
        <v>3461</v>
      </c>
      <c r="H184" s="39" t="n">
        <v>-16.9</v>
      </c>
      <c r="I184" s="29" t="n">
        <f aca="false">IF(G184=0,"",H184/G184)</f>
        <v>-0.00488298179716845</v>
      </c>
      <c r="J184" s="26" t="n">
        <v>2</v>
      </c>
      <c r="K184" s="43" t="n">
        <v>0.4992</v>
      </c>
      <c r="L184" s="43" t="n">
        <v>0.6104</v>
      </c>
      <c r="M184" s="43" t="n">
        <v>0.4992</v>
      </c>
      <c r="N184" s="43" t="n">
        <v>0.243</v>
      </c>
      <c r="O184" s="43" t="n">
        <v>0.1573</v>
      </c>
      <c r="P184" s="26" t="n">
        <v>10</v>
      </c>
      <c r="Q184" s="26" t="n">
        <v>11</v>
      </c>
    </row>
    <row r="185" customFormat="false" ht="15" hidden="false" customHeight="false" outlineLevel="0" collapsed="false">
      <c r="A185" s="8" t="s">
        <v>62</v>
      </c>
      <c r="B185" s="8" t="s">
        <v>300</v>
      </c>
      <c r="C185" s="26" t="n">
        <v>6889</v>
      </c>
      <c r="D185" s="26" t="n">
        <v>3579</v>
      </c>
      <c r="E185" s="39" t="n">
        <v>-644.744</v>
      </c>
      <c r="F185" s="29" t="n">
        <f aca="false">IF(D185=0,"",E185/D185)</f>
        <v>-0.180146409611623</v>
      </c>
      <c r="G185" s="26" t="n">
        <v>3310</v>
      </c>
      <c r="H185" s="39" t="n">
        <v>-29.67</v>
      </c>
      <c r="I185" s="29" t="n">
        <f aca="false">IF(G185=0,"",H185/G185)</f>
        <v>-0.00896374622356496</v>
      </c>
      <c r="J185" s="26" t="n">
        <v>1</v>
      </c>
      <c r="K185" s="43" t="n">
        <v>0.3352</v>
      </c>
      <c r="L185" s="43" t="n">
        <v>0.6132</v>
      </c>
      <c r="M185" s="43" t="n">
        <v>0.5007</v>
      </c>
      <c r="N185" s="43" t="n">
        <v>0.4014</v>
      </c>
      <c r="O185" s="43" t="n">
        <v>0.3352</v>
      </c>
      <c r="P185" s="26" t="n">
        <v>7</v>
      </c>
      <c r="Q185" s="26" t="n">
        <v>19</v>
      </c>
    </row>
    <row r="186" customFormat="false" ht="15" hidden="false" customHeight="false" outlineLevel="0" collapsed="false">
      <c r="A186" s="8" t="s">
        <v>62</v>
      </c>
      <c r="B186" s="8" t="s">
        <v>267</v>
      </c>
      <c r="C186" s="26" t="n">
        <v>6120</v>
      </c>
      <c r="D186" s="26" t="n">
        <v>3140</v>
      </c>
      <c r="E186" s="39" t="n">
        <v>-565.7</v>
      </c>
      <c r="F186" s="29" t="n">
        <f aca="false">IF(D186=0,"",E186/D186)</f>
        <v>-0.18015923566879</v>
      </c>
      <c r="G186" s="26" t="n">
        <v>2980</v>
      </c>
      <c r="H186" s="39" t="n">
        <v>-92.678</v>
      </c>
      <c r="I186" s="29" t="n">
        <f aca="false">IF(G186=0,"",H186/G186)</f>
        <v>-0.0311</v>
      </c>
      <c r="J186" s="26" t="n">
        <v>1</v>
      </c>
      <c r="K186" s="43" t="n">
        <v>0.3281</v>
      </c>
      <c r="L186" s="43" t="n">
        <v>0.6078</v>
      </c>
      <c r="M186" s="43" t="n">
        <v>0.4933</v>
      </c>
      <c r="N186" s="43" t="n">
        <v>0.3977</v>
      </c>
      <c r="O186" s="43" t="n">
        <v>0.3281</v>
      </c>
      <c r="P186" s="26" t="n">
        <v>7</v>
      </c>
      <c r="Q186" s="26" t="n">
        <v>17</v>
      </c>
    </row>
    <row r="187" customFormat="false" ht="15" hidden="false" customHeight="false" outlineLevel="0" collapsed="false">
      <c r="A187" s="8" t="s">
        <v>62</v>
      </c>
      <c r="B187" s="8" t="s">
        <v>369</v>
      </c>
      <c r="C187" s="26" t="n">
        <v>7120</v>
      </c>
      <c r="D187" s="26" t="n">
        <v>3702</v>
      </c>
      <c r="E187" s="39" t="n">
        <v>-670.7</v>
      </c>
      <c r="F187" s="29" t="n">
        <f aca="false">IF(D187=0,"",E187/D187)</f>
        <v>-0.181172339276067</v>
      </c>
      <c r="G187" s="26" t="n">
        <v>3418</v>
      </c>
      <c r="H187" s="39" t="n">
        <v>-59.639</v>
      </c>
      <c r="I187" s="29" t="n">
        <f aca="false">IF(G187=0,"",H187/G187)</f>
        <v>-0.0174485078993564</v>
      </c>
      <c r="J187" s="26" t="n">
        <v>1</v>
      </c>
      <c r="K187" s="43" t="n">
        <v>0.4032</v>
      </c>
      <c r="L187" s="43" t="n">
        <v>0.6105</v>
      </c>
      <c r="M187" s="43" t="n">
        <v>0.4996</v>
      </c>
      <c r="N187" s="43" t="n">
        <v>0.4032</v>
      </c>
      <c r="O187" s="43" t="n">
        <v>0.4032</v>
      </c>
      <c r="P187" s="26" t="n">
        <v>7</v>
      </c>
      <c r="Q187" s="26" t="n">
        <v>15</v>
      </c>
    </row>
    <row r="188" customFormat="false" ht="15" hidden="false" customHeight="false" outlineLevel="0" collapsed="false">
      <c r="A188" s="8" t="s">
        <v>62</v>
      </c>
      <c r="B188" s="8" t="s">
        <v>370</v>
      </c>
      <c r="C188" s="26" t="n">
        <v>7120</v>
      </c>
      <c r="D188" s="26" t="n">
        <v>3702</v>
      </c>
      <c r="E188" s="39" t="n">
        <v>-670.7</v>
      </c>
      <c r="F188" s="29" t="n">
        <f aca="false">IF(D188=0,"",E188/D188)</f>
        <v>-0.181172339276067</v>
      </c>
      <c r="G188" s="26" t="n">
        <v>3418</v>
      </c>
      <c r="H188" s="39" t="n">
        <v>-59.639</v>
      </c>
      <c r="I188" s="29" t="n">
        <f aca="false">IF(G188=0,"",H188/G188)</f>
        <v>-0.0174485078993564</v>
      </c>
      <c r="J188" s="26" t="n">
        <v>1</v>
      </c>
      <c r="K188" s="43" t="n">
        <v>0.4032</v>
      </c>
      <c r="L188" s="43" t="n">
        <v>0.6105</v>
      </c>
      <c r="M188" s="43" t="n">
        <v>0.4996</v>
      </c>
      <c r="N188" s="43" t="n">
        <v>0.4032</v>
      </c>
      <c r="O188" s="43" t="n">
        <v>0</v>
      </c>
      <c r="P188" s="26" t="n">
        <v>7</v>
      </c>
      <c r="Q188" s="26" t="n">
        <v>15</v>
      </c>
    </row>
    <row r="189" customFormat="false" ht="15" hidden="false" customHeight="false" outlineLevel="0" collapsed="false">
      <c r="A189" s="8" t="s">
        <v>62</v>
      </c>
      <c r="B189" s="8" t="s">
        <v>366</v>
      </c>
      <c r="C189" s="26" t="n">
        <v>6208</v>
      </c>
      <c r="D189" s="26" t="n">
        <v>3187</v>
      </c>
      <c r="E189" s="39" t="n">
        <v>-578.812</v>
      </c>
      <c r="F189" s="29" t="n">
        <f aca="false">IF(D189=0,"",E189/D189)</f>
        <v>-0.181616567304675</v>
      </c>
      <c r="G189" s="26" t="n">
        <v>3021</v>
      </c>
      <c r="H189" s="39" t="n">
        <v>-86.752</v>
      </c>
      <c r="I189" s="29" t="n">
        <f aca="false">IF(G189=0,"",H189/G189)</f>
        <v>-0.0287163190996359</v>
      </c>
      <c r="J189" s="26" t="n">
        <v>1</v>
      </c>
      <c r="K189" s="43" t="n">
        <v>0.3349</v>
      </c>
      <c r="L189" s="43" t="n">
        <v>0.6095</v>
      </c>
      <c r="M189" s="43" t="n">
        <v>0.4974</v>
      </c>
      <c r="N189" s="43" t="n">
        <v>0.3995</v>
      </c>
      <c r="O189" s="43" t="n">
        <v>0.3349</v>
      </c>
      <c r="P189" s="26" t="n">
        <v>7</v>
      </c>
      <c r="Q189" s="26" t="n">
        <v>18</v>
      </c>
    </row>
    <row r="190" customFormat="false" ht="15" hidden="false" customHeight="false" outlineLevel="0" collapsed="false">
      <c r="A190" s="8" t="s">
        <v>62</v>
      </c>
      <c r="B190" s="8" t="s">
        <v>314</v>
      </c>
      <c r="C190" s="26" t="n">
        <v>6761</v>
      </c>
      <c r="D190" s="26" t="n">
        <v>3516</v>
      </c>
      <c r="E190" s="39" t="n">
        <v>-639.595</v>
      </c>
      <c r="F190" s="29" t="n">
        <f aca="false">IF(D190=0,"",E190/D190)</f>
        <v>-0.1819098407281</v>
      </c>
      <c r="G190" s="26" t="n">
        <v>3245</v>
      </c>
      <c r="H190" s="39" t="n">
        <v>-63.738</v>
      </c>
      <c r="I190" s="29" t="n">
        <f aca="false">IF(G190=0,"",H190/G190)</f>
        <v>-0.0196419106317411</v>
      </c>
      <c r="J190" s="26" t="n">
        <v>1</v>
      </c>
      <c r="K190" s="43" t="n">
        <v>0.334</v>
      </c>
      <c r="L190" s="43" t="n">
        <v>0.6049</v>
      </c>
      <c r="M190" s="43" t="n">
        <v>0.494</v>
      </c>
      <c r="N190" s="43" t="n">
        <v>0.3971</v>
      </c>
      <c r="O190" s="43" t="n">
        <v>0.334</v>
      </c>
      <c r="P190" s="26" t="n">
        <v>6</v>
      </c>
      <c r="Q190" s="26" t="n">
        <v>19</v>
      </c>
    </row>
    <row r="191" customFormat="false" ht="15" hidden="false" customHeight="false" outlineLevel="0" collapsed="false">
      <c r="A191" s="8" t="s">
        <v>62</v>
      </c>
      <c r="B191" s="8" t="s">
        <v>310</v>
      </c>
      <c r="C191" s="26" t="n">
        <v>6984</v>
      </c>
      <c r="D191" s="26" t="n">
        <v>3632</v>
      </c>
      <c r="E191" s="39" t="n">
        <v>-661.612</v>
      </c>
      <c r="F191" s="29" t="n">
        <f aca="false">IF(D191=0,"",E191/D191)</f>
        <v>-0.182161894273128</v>
      </c>
      <c r="G191" s="26" t="n">
        <v>3352</v>
      </c>
      <c r="H191" s="39" t="n">
        <v>-86.04</v>
      </c>
      <c r="I191" s="29" t="n">
        <f aca="false">IF(G191=0,"",H191/G191)</f>
        <v>-0.0256682577565632</v>
      </c>
      <c r="J191" s="26" t="n">
        <v>1</v>
      </c>
      <c r="K191" s="43" t="n">
        <v>0.3338</v>
      </c>
      <c r="L191" s="43" t="n">
        <v>0.6121</v>
      </c>
      <c r="M191" s="43" t="n">
        <v>0.4989</v>
      </c>
      <c r="N191" s="43" t="n">
        <v>0.3986</v>
      </c>
      <c r="O191" s="43" t="n">
        <v>0.3338</v>
      </c>
      <c r="P191" s="26" t="n">
        <v>7</v>
      </c>
      <c r="Q191" s="26" t="n">
        <v>18</v>
      </c>
    </row>
    <row r="192" customFormat="false" ht="15" hidden="false" customHeight="false" outlineLevel="0" collapsed="false">
      <c r="A192" s="8" t="s">
        <v>62</v>
      </c>
      <c r="B192" s="8" t="s">
        <v>270</v>
      </c>
      <c r="C192" s="26" t="n">
        <v>6387</v>
      </c>
      <c r="D192" s="26" t="n">
        <v>3301</v>
      </c>
      <c r="E192" s="39" t="n">
        <v>-601.396</v>
      </c>
      <c r="F192" s="29" t="n">
        <f aca="false">IF(D192=0,"",E192/D192)</f>
        <v>-0.182186004241139</v>
      </c>
      <c r="G192" s="26" t="n">
        <v>3086</v>
      </c>
      <c r="H192" s="39" t="n">
        <v>-36.798</v>
      </c>
      <c r="I192" s="29" t="n">
        <f aca="false">IF(G192=0,"",H192/G192)</f>
        <v>-0.0119241736876215</v>
      </c>
      <c r="J192" s="26" t="n">
        <v>2</v>
      </c>
      <c r="K192" s="43" t="n">
        <v>0.3329</v>
      </c>
      <c r="L192" s="43" t="n">
        <v>0.6142</v>
      </c>
      <c r="M192" s="43" t="n">
        <v>0.502</v>
      </c>
      <c r="N192" s="43" t="n">
        <v>0.3996</v>
      </c>
      <c r="O192" s="43" t="n">
        <v>0.3329</v>
      </c>
      <c r="P192" s="26" t="n">
        <v>6</v>
      </c>
      <c r="Q192" s="26" t="n">
        <v>19</v>
      </c>
    </row>
    <row r="193" customFormat="false" ht="15" hidden="false" customHeight="false" outlineLevel="0" collapsed="false">
      <c r="A193" s="8" t="s">
        <v>62</v>
      </c>
      <c r="B193" s="8" t="s">
        <v>359</v>
      </c>
      <c r="C193" s="26" t="n">
        <v>6894</v>
      </c>
      <c r="D193" s="26" t="n">
        <v>3575</v>
      </c>
      <c r="E193" s="39" t="n">
        <v>-654.976</v>
      </c>
      <c r="F193" s="29" t="n">
        <f aca="false">IF(D193=0,"",E193/D193)</f>
        <v>-0.18321006993007</v>
      </c>
      <c r="G193" s="26" t="n">
        <v>3319</v>
      </c>
      <c r="H193" s="39" t="n">
        <v>-92.96</v>
      </c>
      <c r="I193" s="29" t="n">
        <f aca="false">IF(G193=0,"",H193/G193)</f>
        <v>-0.0280084362759867</v>
      </c>
      <c r="J193" s="26" t="n">
        <v>0</v>
      </c>
      <c r="K193" s="43" t="n">
        <v>0.3326</v>
      </c>
      <c r="L193" s="43" t="n">
        <v>0.6091</v>
      </c>
      <c r="M193" s="43" t="n">
        <v>0.4994</v>
      </c>
      <c r="N193" s="43" t="n">
        <v>0.3989</v>
      </c>
      <c r="O193" s="43" t="n">
        <v>0.3326</v>
      </c>
      <c r="P193" s="26" t="n">
        <v>7</v>
      </c>
      <c r="Q193" s="26" t="n">
        <v>19</v>
      </c>
    </row>
    <row r="194" customFormat="false" ht="15" hidden="false" customHeight="false" outlineLevel="0" collapsed="false">
      <c r="A194" s="8" t="s">
        <v>62</v>
      </c>
      <c r="B194" s="8" t="s">
        <v>305</v>
      </c>
      <c r="C194" s="26" t="n">
        <v>6667</v>
      </c>
      <c r="D194" s="26" t="n">
        <v>3457</v>
      </c>
      <c r="E194" s="39" t="n">
        <v>-633.59</v>
      </c>
      <c r="F194" s="29" t="n">
        <f aca="false">IF(D194=0,"",E194/D194)</f>
        <v>-0.183277408157362</v>
      </c>
      <c r="G194" s="26" t="n">
        <v>3210</v>
      </c>
      <c r="H194" s="39" t="n">
        <v>-51.478</v>
      </c>
      <c r="I194" s="29" t="n">
        <f aca="false">IF(G194=0,"",H194/G194)</f>
        <v>-0.0160367601246106</v>
      </c>
      <c r="J194" s="26" t="n">
        <v>1</v>
      </c>
      <c r="K194" s="43" t="n">
        <v>0.3336</v>
      </c>
      <c r="L194" s="43" t="n">
        <v>0.607</v>
      </c>
      <c r="M194" s="43" t="n">
        <v>0.4954</v>
      </c>
      <c r="N194" s="43" t="n">
        <v>0.3969</v>
      </c>
      <c r="O194" s="43" t="n">
        <v>0.3336</v>
      </c>
      <c r="P194" s="26" t="n">
        <v>9</v>
      </c>
      <c r="Q194" s="26" t="n">
        <v>20</v>
      </c>
    </row>
    <row r="195" customFormat="false" ht="15" hidden="false" customHeight="false" outlineLevel="0" collapsed="false">
      <c r="A195" s="8" t="s">
        <v>62</v>
      </c>
      <c r="B195" s="8" t="s">
        <v>315</v>
      </c>
      <c r="C195" s="26" t="n">
        <v>7286</v>
      </c>
      <c r="D195" s="26" t="n">
        <v>3801</v>
      </c>
      <c r="E195" s="39" t="n">
        <v>-697.151</v>
      </c>
      <c r="F195" s="29" t="n">
        <f aca="false">IF(D195=0,"",E195/D195)</f>
        <v>-0.183412523020258</v>
      </c>
      <c r="G195" s="26" t="n">
        <v>3485</v>
      </c>
      <c r="H195" s="39" t="n">
        <v>-46.829</v>
      </c>
      <c r="I195" s="29" t="n">
        <f aca="false">IF(G195=0,"",H195/G195)</f>
        <v>-0.0134373027259684</v>
      </c>
      <c r="J195" s="26" t="n">
        <v>1</v>
      </c>
      <c r="K195" s="43" t="n">
        <v>0.3835</v>
      </c>
      <c r="L195" s="43" t="n">
        <v>0.6119</v>
      </c>
      <c r="M195" s="43" t="n">
        <v>0.3835</v>
      </c>
      <c r="N195" s="43" t="n">
        <v>0.1842</v>
      </c>
      <c r="O195" s="43" t="n">
        <v>0.0985</v>
      </c>
      <c r="P195" s="26" t="n">
        <v>8</v>
      </c>
      <c r="Q195" s="26" t="n">
        <v>11</v>
      </c>
    </row>
    <row r="196" customFormat="false" ht="15" hidden="false" customHeight="false" outlineLevel="0" collapsed="false">
      <c r="A196" s="8" t="s">
        <v>62</v>
      </c>
      <c r="B196" s="8" t="s">
        <v>301</v>
      </c>
      <c r="C196" s="26" t="n">
        <v>6926</v>
      </c>
      <c r="D196" s="26" t="n">
        <v>3599</v>
      </c>
      <c r="E196" s="39" t="n">
        <v>-660.693</v>
      </c>
      <c r="F196" s="29" t="n">
        <f aca="false">IF(D196=0,"",E196/D196)</f>
        <v>-0.18357682689636</v>
      </c>
      <c r="G196" s="26" t="n">
        <v>3327</v>
      </c>
      <c r="H196" s="39" t="n">
        <v>-48.847</v>
      </c>
      <c r="I196" s="29" t="n">
        <f aca="false">IF(G196=0,"",H196/G196)</f>
        <v>-0.0146819957920048</v>
      </c>
      <c r="J196" s="26" t="n">
        <v>1</v>
      </c>
      <c r="K196" s="43" t="n">
        <v>0.3345</v>
      </c>
      <c r="L196" s="43" t="n">
        <v>0.6102</v>
      </c>
      <c r="M196" s="43" t="n">
        <v>0.4993</v>
      </c>
      <c r="N196" s="43" t="n">
        <v>0.4001</v>
      </c>
      <c r="O196" s="43" t="n">
        <v>0.3345</v>
      </c>
      <c r="P196" s="26" t="n">
        <v>7</v>
      </c>
      <c r="Q196" s="26" t="n">
        <v>19</v>
      </c>
    </row>
    <row r="197" customFormat="false" ht="15" hidden="false" customHeight="false" outlineLevel="0" collapsed="false">
      <c r="A197" s="8" t="s">
        <v>62</v>
      </c>
      <c r="B197" s="8" t="s">
        <v>295</v>
      </c>
      <c r="C197" s="26" t="n">
        <v>5765</v>
      </c>
      <c r="D197" s="26" t="n">
        <v>3009</v>
      </c>
      <c r="E197" s="39" t="n">
        <v>-552.536</v>
      </c>
      <c r="F197" s="29" t="n">
        <f aca="false">IF(D197=0,"",E197/D197)</f>
        <v>-0.183627783316717</v>
      </c>
      <c r="G197" s="26" t="n">
        <v>2756</v>
      </c>
      <c r="H197" s="39" t="n">
        <v>3.842</v>
      </c>
      <c r="I197" s="29" t="n">
        <f aca="false">IF(G197=0,"",H197/G197)</f>
        <v>0.00139404934687954</v>
      </c>
      <c r="J197" s="26" t="n">
        <v>2</v>
      </c>
      <c r="K197" s="43" t="n">
        <v>0.3353</v>
      </c>
      <c r="L197" s="43" t="n">
        <v>0.6076</v>
      </c>
      <c r="M197" s="43" t="n">
        <v>0.501</v>
      </c>
      <c r="N197" s="43" t="n">
        <v>0.4023</v>
      </c>
      <c r="O197" s="43" t="n">
        <v>0.3353</v>
      </c>
      <c r="P197" s="26" t="n">
        <v>7</v>
      </c>
      <c r="Q197" s="26" t="n">
        <v>21</v>
      </c>
    </row>
    <row r="198" customFormat="false" ht="15" hidden="false" customHeight="false" outlineLevel="0" collapsed="false">
      <c r="A198" s="8" t="s">
        <v>62</v>
      </c>
      <c r="B198" s="8" t="s">
        <v>297</v>
      </c>
      <c r="C198" s="26" t="n">
        <v>6381</v>
      </c>
      <c r="D198" s="26" t="n">
        <v>3313</v>
      </c>
      <c r="E198" s="39" t="n">
        <v>-610.866</v>
      </c>
      <c r="F198" s="29" t="n">
        <f aca="false">IF(D198=0,"",E198/D198)</f>
        <v>-0.184384545728947</v>
      </c>
      <c r="G198" s="26" t="n">
        <v>3068</v>
      </c>
      <c r="H198" s="39" t="n">
        <v>-150.196</v>
      </c>
      <c r="I198" s="29" t="n">
        <f aca="false">IF(G198=0,"",H198/G198)</f>
        <v>-0.0489556714471969</v>
      </c>
      <c r="J198" s="26" t="n">
        <v>0</v>
      </c>
      <c r="K198" s="43" t="n">
        <v>0.3277</v>
      </c>
      <c r="L198" s="43" t="n">
        <v>0.6073</v>
      </c>
      <c r="M198" s="43" t="n">
        <v>0.4922</v>
      </c>
      <c r="N198" s="43" t="n">
        <v>0.393</v>
      </c>
      <c r="O198" s="43" t="n">
        <v>0.3277</v>
      </c>
      <c r="P198" s="26" t="n">
        <v>6</v>
      </c>
      <c r="Q198" s="26" t="n">
        <v>24</v>
      </c>
    </row>
    <row r="199" customFormat="false" ht="15" hidden="false" customHeight="false" outlineLevel="0" collapsed="false">
      <c r="A199" s="8" t="s">
        <v>62</v>
      </c>
      <c r="B199" s="8" t="s">
        <v>322</v>
      </c>
      <c r="C199" s="26" t="n">
        <v>6993</v>
      </c>
      <c r="D199" s="26" t="n">
        <v>3629</v>
      </c>
      <c r="E199" s="39" t="n">
        <v>-669.975</v>
      </c>
      <c r="F199" s="29" t="n">
        <f aca="false">IF(D199=0,"",E199/D199)</f>
        <v>-0.184616974373106</v>
      </c>
      <c r="G199" s="26" t="n">
        <v>3364</v>
      </c>
      <c r="H199" s="39" t="n">
        <v>-80.3</v>
      </c>
      <c r="I199" s="29" t="n">
        <f aca="false">IF(G199=0,"",H199/G199)</f>
        <v>-0.0238703923900119</v>
      </c>
      <c r="J199" s="26" t="n">
        <v>1</v>
      </c>
      <c r="K199" s="43" t="n">
        <v>0.3338</v>
      </c>
      <c r="L199" s="43" t="n">
        <v>0.6116</v>
      </c>
      <c r="M199" s="43" t="n">
        <v>0.4999</v>
      </c>
      <c r="N199" s="43" t="n">
        <v>0.3973</v>
      </c>
      <c r="O199" s="43" t="n">
        <v>0.3338</v>
      </c>
      <c r="P199" s="26" t="n">
        <v>6</v>
      </c>
      <c r="Q199" s="26" t="n">
        <v>18</v>
      </c>
    </row>
    <row r="200" customFormat="false" ht="15" hidden="false" customHeight="false" outlineLevel="0" collapsed="false">
      <c r="A200" s="8" t="s">
        <v>62</v>
      </c>
      <c r="B200" s="8" t="s">
        <v>368</v>
      </c>
      <c r="C200" s="26" t="n">
        <v>7332</v>
      </c>
      <c r="D200" s="26" t="n">
        <v>3815</v>
      </c>
      <c r="E200" s="39" t="n">
        <v>-706.131</v>
      </c>
      <c r="F200" s="29" t="n">
        <f aca="false">IF(D200=0,"",E200/D200)</f>
        <v>-0.185093315858453</v>
      </c>
      <c r="G200" s="26" t="n">
        <v>3517</v>
      </c>
      <c r="H200" s="39" t="n">
        <v>31.437</v>
      </c>
      <c r="I200" s="29" t="n">
        <f aca="false">IF(G200=0,"",H200/G200)</f>
        <v>0.00893858402047199</v>
      </c>
      <c r="J200" s="26" t="n">
        <v>1</v>
      </c>
      <c r="K200" s="43" t="n">
        <v>0.3408</v>
      </c>
      <c r="L200" s="43" t="n">
        <v>0.6011</v>
      </c>
      <c r="M200" s="43" t="n">
        <v>0.4933</v>
      </c>
      <c r="N200" s="43" t="n">
        <v>0.4043</v>
      </c>
      <c r="O200" s="43" t="n">
        <v>0.3408</v>
      </c>
      <c r="P200" s="26" t="n">
        <v>6</v>
      </c>
      <c r="Q200" s="26" t="n">
        <v>21</v>
      </c>
    </row>
    <row r="201" customFormat="false" ht="15" hidden="false" customHeight="false" outlineLevel="0" collapsed="false">
      <c r="A201" s="8" t="s">
        <v>62</v>
      </c>
      <c r="B201" s="8" t="s">
        <v>308</v>
      </c>
      <c r="C201" s="26" t="n">
        <v>7080</v>
      </c>
      <c r="D201" s="26" t="n">
        <v>3677</v>
      </c>
      <c r="E201" s="39" t="n">
        <v>-682.15</v>
      </c>
      <c r="F201" s="29" t="n">
        <f aca="false">IF(D201=0,"",E201/D201)</f>
        <v>-0.185518085395703</v>
      </c>
      <c r="G201" s="26" t="n">
        <v>3403</v>
      </c>
      <c r="H201" s="39" t="n">
        <v>-78.711</v>
      </c>
      <c r="I201" s="29" t="n">
        <f aca="false">IF(G201=0,"",H201/G201)</f>
        <v>-0.0231298853952395</v>
      </c>
      <c r="J201" s="26" t="n">
        <v>1</v>
      </c>
      <c r="K201" s="43" t="n">
        <v>0.3987</v>
      </c>
      <c r="L201" s="43" t="n">
        <v>0.609</v>
      </c>
      <c r="M201" s="43" t="n">
        <v>0.4968</v>
      </c>
      <c r="N201" s="43" t="n">
        <v>0.3987</v>
      </c>
      <c r="O201" s="43" t="n">
        <v>0.2049</v>
      </c>
      <c r="P201" s="26" t="n">
        <v>7</v>
      </c>
      <c r="Q201" s="26" t="n">
        <v>15</v>
      </c>
    </row>
    <row r="202" customFormat="false" ht="15" hidden="false" customHeight="false" outlineLevel="0" collapsed="false">
      <c r="A202" s="8" t="s">
        <v>62</v>
      </c>
      <c r="B202" s="8" t="s">
        <v>349</v>
      </c>
      <c r="C202" s="26" t="n">
        <v>6915</v>
      </c>
      <c r="D202" s="26" t="n">
        <v>3582</v>
      </c>
      <c r="E202" s="39" t="n">
        <v>-665.838</v>
      </c>
      <c r="F202" s="29" t="n">
        <f aca="false">IF(D202=0,"",E202/D202)</f>
        <v>-0.185884422110553</v>
      </c>
      <c r="G202" s="26" t="n">
        <v>3333</v>
      </c>
      <c r="H202" s="39" t="n">
        <v>-87.185</v>
      </c>
      <c r="I202" s="29" t="n">
        <f aca="false">IF(G202=0,"",H202/G202)</f>
        <v>-0.0261581158115812</v>
      </c>
      <c r="J202" s="26" t="n">
        <v>0</v>
      </c>
      <c r="K202" s="43" t="n">
        <v>0.3326</v>
      </c>
      <c r="L202" s="43" t="n">
        <v>0.6085</v>
      </c>
      <c r="M202" s="43" t="n">
        <v>0.4978</v>
      </c>
      <c r="N202" s="43" t="n">
        <v>0.3981</v>
      </c>
      <c r="O202" s="43" t="n">
        <v>0.3326</v>
      </c>
      <c r="P202" s="26" t="n">
        <v>7</v>
      </c>
      <c r="Q202" s="26" t="n">
        <v>19</v>
      </c>
    </row>
    <row r="203" customFormat="false" ht="15" hidden="false" customHeight="false" outlineLevel="0" collapsed="false">
      <c r="A203" s="8" t="s">
        <v>62</v>
      </c>
      <c r="B203" s="8" t="s">
        <v>303</v>
      </c>
      <c r="C203" s="26" t="n">
        <v>6857</v>
      </c>
      <c r="D203" s="26" t="n">
        <v>3558</v>
      </c>
      <c r="E203" s="39" t="n">
        <v>-661.644</v>
      </c>
      <c r="F203" s="29" t="n">
        <f aca="false">IF(D203=0,"",E203/D203)</f>
        <v>-0.185959527824621</v>
      </c>
      <c r="G203" s="26" t="n">
        <v>3299</v>
      </c>
      <c r="H203" s="39" t="n">
        <v>-139.275</v>
      </c>
      <c r="I203" s="29" t="n">
        <f aca="false">IF(G203=0,"",H203/G203)</f>
        <v>-0.0422173385874507</v>
      </c>
      <c r="J203" s="26" t="n">
        <v>0</v>
      </c>
      <c r="K203" s="43" t="n">
        <v>0.3296</v>
      </c>
      <c r="L203" s="43" t="n">
        <v>0.608</v>
      </c>
      <c r="M203" s="43" t="n">
        <v>0.4938</v>
      </c>
      <c r="N203" s="43" t="n">
        <v>0.3954</v>
      </c>
      <c r="O203" s="43" t="n">
        <v>0.3296</v>
      </c>
      <c r="P203" s="26" t="n">
        <v>7</v>
      </c>
      <c r="Q203" s="26" t="n">
        <v>18</v>
      </c>
    </row>
    <row r="204" customFormat="false" ht="15" hidden="false" customHeight="false" outlineLevel="0" collapsed="false">
      <c r="A204" s="8" t="s">
        <v>62</v>
      </c>
      <c r="B204" s="8" t="s">
        <v>319</v>
      </c>
      <c r="C204" s="26" t="n">
        <v>6619</v>
      </c>
      <c r="D204" s="26" t="n">
        <v>3449</v>
      </c>
      <c r="E204" s="39" t="n">
        <v>-642.208</v>
      </c>
      <c r="F204" s="29" t="n">
        <f aca="false">IF(D204=0,"",E204/D204)</f>
        <v>-0.186201217744274</v>
      </c>
      <c r="G204" s="26" t="n">
        <v>3170</v>
      </c>
      <c r="H204" s="39" t="n">
        <v>-48.688</v>
      </c>
      <c r="I204" s="29" t="n">
        <f aca="false">IF(G204=0,"",H204/G204)</f>
        <v>-0.0153589905362776</v>
      </c>
      <c r="J204" s="26" t="n">
        <v>1</v>
      </c>
      <c r="K204" s="43" t="n">
        <v>0.3337</v>
      </c>
      <c r="L204" s="43" t="n">
        <v>0.6081</v>
      </c>
      <c r="M204" s="43" t="n">
        <v>0.498</v>
      </c>
      <c r="N204" s="43" t="n">
        <v>0.3992</v>
      </c>
      <c r="O204" s="43" t="n">
        <v>0.3337</v>
      </c>
      <c r="P204" s="26" t="n">
        <v>7</v>
      </c>
      <c r="Q204" s="26" t="n">
        <v>19</v>
      </c>
    </row>
    <row r="205" customFormat="false" ht="15" hidden="false" customHeight="false" outlineLevel="0" collapsed="false">
      <c r="A205" s="8" t="s">
        <v>62</v>
      </c>
      <c r="B205" s="8" t="s">
        <v>278</v>
      </c>
      <c r="C205" s="26" t="n">
        <v>5665</v>
      </c>
      <c r="D205" s="26" t="n">
        <v>2940</v>
      </c>
      <c r="E205" s="39" t="n">
        <v>-548.203</v>
      </c>
      <c r="F205" s="29" t="n">
        <f aca="false">IF(D205=0,"",E205/D205)</f>
        <v>-0.186463605442177</v>
      </c>
      <c r="G205" s="26" t="n">
        <v>2725</v>
      </c>
      <c r="H205" s="39" t="n">
        <v>-50</v>
      </c>
      <c r="I205" s="29" t="n">
        <f aca="false">IF(G205=0,"",H205/G205)</f>
        <v>-0.018348623853211</v>
      </c>
      <c r="J205" s="26" t="n">
        <v>1</v>
      </c>
      <c r="K205" s="43" t="n">
        <v>0.3335</v>
      </c>
      <c r="L205" s="43" t="n">
        <v>0.6097</v>
      </c>
      <c r="M205" s="43" t="n">
        <v>0.4971</v>
      </c>
      <c r="N205" s="43" t="n">
        <v>0.3993</v>
      </c>
      <c r="O205" s="43" t="n">
        <v>0.3335</v>
      </c>
      <c r="P205" s="26" t="n">
        <v>6</v>
      </c>
      <c r="Q205" s="26" t="n">
        <v>22</v>
      </c>
    </row>
    <row r="206" customFormat="false" ht="15" hidden="false" customHeight="false" outlineLevel="0" collapsed="false">
      <c r="A206" s="8" t="s">
        <v>62</v>
      </c>
      <c r="B206" s="8" t="s">
        <v>317</v>
      </c>
      <c r="C206" s="26" t="n">
        <v>6930</v>
      </c>
      <c r="D206" s="26" t="n">
        <v>3598</v>
      </c>
      <c r="E206" s="39" t="n">
        <v>-671.481</v>
      </c>
      <c r="F206" s="29" t="n">
        <f aca="false">IF(D206=0,"",E206/D206)</f>
        <v>-0.186626181211784</v>
      </c>
      <c r="G206" s="26" t="n">
        <v>3332</v>
      </c>
      <c r="H206" s="39" t="n">
        <v>-84.158</v>
      </c>
      <c r="I206" s="29" t="n">
        <f aca="false">IF(G206=0,"",H206/G206)</f>
        <v>-0.0252575030012005</v>
      </c>
      <c r="J206" s="26" t="n">
        <v>0</v>
      </c>
      <c r="K206" s="43" t="n">
        <v>0.3328</v>
      </c>
      <c r="L206" s="43" t="n">
        <v>0.6084</v>
      </c>
      <c r="M206" s="43" t="n">
        <v>0.4974</v>
      </c>
      <c r="N206" s="43" t="n">
        <v>0.3984</v>
      </c>
      <c r="O206" s="43" t="n">
        <v>0.3328</v>
      </c>
      <c r="P206" s="26" t="n">
        <v>7</v>
      </c>
      <c r="Q206" s="26" t="n">
        <v>19</v>
      </c>
    </row>
    <row r="207" customFormat="false" ht="15" hidden="false" customHeight="false" outlineLevel="0" collapsed="false">
      <c r="A207" s="8" t="s">
        <v>62</v>
      </c>
      <c r="B207" s="8" t="s">
        <v>323</v>
      </c>
      <c r="C207" s="26" t="n">
        <v>6959</v>
      </c>
      <c r="D207" s="26" t="n">
        <v>3609</v>
      </c>
      <c r="E207" s="39" t="n">
        <v>-673.634</v>
      </c>
      <c r="F207" s="29" t="n">
        <f aca="false">IF(D207=0,"",E207/D207)</f>
        <v>-0.186653920753671</v>
      </c>
      <c r="G207" s="26" t="n">
        <v>3350</v>
      </c>
      <c r="H207" s="39" t="n">
        <v>-76.754</v>
      </c>
      <c r="I207" s="29" t="n">
        <f aca="false">IF(G207=0,"",H207/G207)</f>
        <v>-0.0229116417910448</v>
      </c>
      <c r="J207" s="26" t="n">
        <v>1</v>
      </c>
      <c r="K207" s="43" t="n">
        <v>0.3328</v>
      </c>
      <c r="L207" s="43" t="n">
        <v>0.6087</v>
      </c>
      <c r="M207" s="43" t="n">
        <v>0.4982</v>
      </c>
      <c r="N207" s="43" t="n">
        <v>0.3979</v>
      </c>
      <c r="O207" s="43" t="n">
        <v>0.3328</v>
      </c>
      <c r="P207" s="26" t="n">
        <v>7</v>
      </c>
      <c r="Q207" s="26" t="n">
        <v>20</v>
      </c>
    </row>
    <row r="208" customFormat="false" ht="15" hidden="false" customHeight="false" outlineLevel="0" collapsed="false">
      <c r="A208" s="8" t="s">
        <v>62</v>
      </c>
      <c r="B208" s="8" t="s">
        <v>352</v>
      </c>
      <c r="C208" s="26" t="n">
        <v>7010</v>
      </c>
      <c r="D208" s="26" t="n">
        <v>3636</v>
      </c>
      <c r="E208" s="39" t="n">
        <v>-678.717</v>
      </c>
      <c r="F208" s="29" t="n">
        <f aca="false">IF(D208=0,"",E208/D208)</f>
        <v>-0.186665841584158</v>
      </c>
      <c r="G208" s="26" t="n">
        <v>3374</v>
      </c>
      <c r="H208" s="39" t="n">
        <v>-57.726</v>
      </c>
      <c r="I208" s="29" t="n">
        <f aca="false">IF(G208=0,"",H208/G208)</f>
        <v>-0.0171090693538826</v>
      </c>
      <c r="J208" s="26" t="n">
        <v>0</v>
      </c>
      <c r="K208" s="43" t="n">
        <v>0.3347</v>
      </c>
      <c r="L208" s="43" t="n">
        <v>0.609</v>
      </c>
      <c r="M208" s="43" t="n">
        <v>0.4971</v>
      </c>
      <c r="N208" s="43" t="n">
        <v>0.4009</v>
      </c>
      <c r="O208" s="43" t="n">
        <v>0.3347</v>
      </c>
      <c r="P208" s="26" t="n">
        <v>8</v>
      </c>
      <c r="Q208" s="26" t="n">
        <v>16</v>
      </c>
    </row>
    <row r="209" customFormat="false" ht="15" hidden="false" customHeight="false" outlineLevel="0" collapsed="false">
      <c r="A209" s="8" t="s">
        <v>62</v>
      </c>
      <c r="B209" s="8" t="s">
        <v>350</v>
      </c>
      <c r="C209" s="26" t="n">
        <v>7010</v>
      </c>
      <c r="D209" s="26" t="n">
        <v>3636</v>
      </c>
      <c r="E209" s="39" t="n">
        <v>-678.717</v>
      </c>
      <c r="F209" s="29" t="n">
        <f aca="false">IF(D209=0,"",E209/D209)</f>
        <v>-0.186665841584158</v>
      </c>
      <c r="G209" s="26" t="n">
        <v>3374</v>
      </c>
      <c r="H209" s="39" t="n">
        <v>-57.726</v>
      </c>
      <c r="I209" s="29" t="n">
        <f aca="false">IF(G209=0,"",H209/G209)</f>
        <v>-0.0171090693538826</v>
      </c>
      <c r="J209" s="26" t="n">
        <v>0</v>
      </c>
      <c r="K209" s="43" t="n">
        <v>0.3347</v>
      </c>
      <c r="L209" s="43" t="n">
        <v>0.609</v>
      </c>
      <c r="M209" s="43" t="n">
        <v>0.4971</v>
      </c>
      <c r="N209" s="43" t="n">
        <v>0.4009</v>
      </c>
      <c r="O209" s="43" t="n">
        <v>0.3347</v>
      </c>
      <c r="P209" s="26" t="n">
        <v>8</v>
      </c>
      <c r="Q209" s="26" t="n">
        <v>16</v>
      </c>
    </row>
    <row r="210" customFormat="false" ht="15" hidden="false" customHeight="false" outlineLevel="0" collapsed="false">
      <c r="A210" s="8" t="s">
        <v>62</v>
      </c>
      <c r="B210" s="8" t="s">
        <v>380</v>
      </c>
      <c r="C210" s="26" t="n">
        <v>3295</v>
      </c>
      <c r="D210" s="26" t="n">
        <v>1717</v>
      </c>
      <c r="E210" s="39" t="n">
        <v>-320.793</v>
      </c>
      <c r="F210" s="29" t="n">
        <f aca="false">IF(D210=0,"",E210/D210)</f>
        <v>-0.186833430401864</v>
      </c>
      <c r="G210" s="26" t="n">
        <v>1578</v>
      </c>
      <c r="H210" s="39" t="n">
        <v>-123.645</v>
      </c>
      <c r="I210" s="29" t="n">
        <f aca="false">IF(G210=0,"",H210/G210)</f>
        <v>-0.0783555133079848</v>
      </c>
      <c r="J210" s="26" t="n">
        <v>0</v>
      </c>
      <c r="K210" s="43" t="n">
        <v>0.3311</v>
      </c>
      <c r="L210" s="43" t="n">
        <v>0.6018</v>
      </c>
      <c r="M210" s="43" t="n">
        <v>0.4907</v>
      </c>
      <c r="N210" s="43" t="n">
        <v>0.3961</v>
      </c>
      <c r="O210" s="43" t="n">
        <v>0.3311</v>
      </c>
      <c r="P210" s="26" t="n">
        <v>7</v>
      </c>
      <c r="Q210" s="26" t="n">
        <v>21</v>
      </c>
    </row>
    <row r="211" customFormat="false" ht="15" hidden="false" customHeight="false" outlineLevel="0" collapsed="false">
      <c r="A211" s="8" t="s">
        <v>62</v>
      </c>
      <c r="B211" s="8" t="s">
        <v>333</v>
      </c>
      <c r="C211" s="26" t="n">
        <v>7021</v>
      </c>
      <c r="D211" s="26" t="n">
        <v>3641</v>
      </c>
      <c r="E211" s="39" t="n">
        <v>-681.156</v>
      </c>
      <c r="F211" s="29" t="n">
        <f aca="false">IF(D211=0,"",E211/D211)</f>
        <v>-0.187079373798407</v>
      </c>
      <c r="G211" s="26" t="n">
        <v>3380</v>
      </c>
      <c r="H211" s="39" t="n">
        <v>-163.359</v>
      </c>
      <c r="I211" s="29" t="n">
        <f aca="false">IF(G211=0,"",H211/G211)</f>
        <v>-0.0483310650887574</v>
      </c>
      <c r="J211" s="26" t="n">
        <v>0</v>
      </c>
      <c r="K211" s="43" t="n">
        <v>0.3297</v>
      </c>
      <c r="L211" s="43" t="n">
        <v>0.6006</v>
      </c>
      <c r="M211" s="43" t="n">
        <v>0.4894</v>
      </c>
      <c r="N211" s="43" t="n">
        <v>0.3923</v>
      </c>
      <c r="O211" s="43" t="n">
        <v>0.3297</v>
      </c>
      <c r="P211" s="26" t="n">
        <v>8</v>
      </c>
      <c r="Q211" s="26" t="n">
        <v>25</v>
      </c>
    </row>
    <row r="212" customFormat="false" ht="15" hidden="false" customHeight="false" outlineLevel="0" collapsed="false">
      <c r="A212" s="8" t="s">
        <v>62</v>
      </c>
      <c r="B212" s="8" t="s">
        <v>272</v>
      </c>
      <c r="C212" s="26" t="n">
        <v>5801</v>
      </c>
      <c r="D212" s="26" t="n">
        <v>3014</v>
      </c>
      <c r="E212" s="39" t="n">
        <v>-563.989</v>
      </c>
      <c r="F212" s="29" t="n">
        <f aca="false">IF(D212=0,"",E212/D212)</f>
        <v>-0.187123092236231</v>
      </c>
      <c r="G212" s="26" t="n">
        <v>2787</v>
      </c>
      <c r="H212" s="39" t="n">
        <v>-94.868</v>
      </c>
      <c r="I212" s="29" t="n">
        <f aca="false">IF(G212=0,"",H212/G212)</f>
        <v>-0.0340394689630427</v>
      </c>
      <c r="J212" s="26" t="n">
        <v>0</v>
      </c>
      <c r="K212" s="43" t="n">
        <v>0.3296</v>
      </c>
      <c r="L212" s="43" t="n">
        <v>0.6116</v>
      </c>
      <c r="M212" s="43" t="n">
        <v>0.4887</v>
      </c>
      <c r="N212" s="43" t="n">
        <v>0.4006</v>
      </c>
      <c r="O212" s="43" t="n">
        <v>0.3296</v>
      </c>
      <c r="P212" s="26" t="n">
        <v>8</v>
      </c>
      <c r="Q212" s="26" t="n">
        <v>20</v>
      </c>
    </row>
    <row r="213" customFormat="false" ht="15" hidden="false" customHeight="false" outlineLevel="0" collapsed="false">
      <c r="A213" s="8" t="s">
        <v>62</v>
      </c>
      <c r="B213" s="8" t="s">
        <v>372</v>
      </c>
      <c r="C213" s="26" t="n">
        <v>7127</v>
      </c>
      <c r="D213" s="26" t="n">
        <v>3711</v>
      </c>
      <c r="E213" s="39" t="n">
        <v>-694.852</v>
      </c>
      <c r="F213" s="29" t="n">
        <f aca="false">IF(D213=0,"",E213/D213)</f>
        <v>-0.187241174885476</v>
      </c>
      <c r="G213" s="26" t="n">
        <v>3416</v>
      </c>
      <c r="H213" s="39" t="n">
        <v>-53.276</v>
      </c>
      <c r="I213" s="29" t="n">
        <f aca="false">IF(G213=0,"",H213/G213)</f>
        <v>-0.015596018735363</v>
      </c>
      <c r="J213" s="26" t="n">
        <v>0</v>
      </c>
      <c r="K213" s="43" t="n">
        <v>0.3355</v>
      </c>
      <c r="L213" s="43" t="n">
        <v>0.6077</v>
      </c>
      <c r="M213" s="43" t="n">
        <v>0.4992</v>
      </c>
      <c r="N213" s="43" t="n">
        <v>0.404</v>
      </c>
      <c r="O213" s="43" t="n">
        <v>0.3355</v>
      </c>
      <c r="P213" s="26" t="n">
        <v>8</v>
      </c>
      <c r="Q213" s="26" t="n">
        <v>16</v>
      </c>
    </row>
    <row r="214" customFormat="false" ht="15" hidden="false" customHeight="false" outlineLevel="0" collapsed="false">
      <c r="A214" s="8" t="s">
        <v>62</v>
      </c>
      <c r="B214" s="8" t="s">
        <v>332</v>
      </c>
      <c r="C214" s="26" t="n">
        <v>6960</v>
      </c>
      <c r="D214" s="26" t="n">
        <v>3610</v>
      </c>
      <c r="E214" s="39" t="n">
        <v>-677.396</v>
      </c>
      <c r="F214" s="29" t="n">
        <f aca="false">IF(D214=0,"",E214/D214)</f>
        <v>-0.18764432132964</v>
      </c>
      <c r="G214" s="26" t="n">
        <v>3350</v>
      </c>
      <c r="H214" s="39" t="n">
        <v>-65.813</v>
      </c>
      <c r="I214" s="29" t="n">
        <f aca="false">IF(G214=0,"",H214/G214)</f>
        <v>-0.019645671641791</v>
      </c>
      <c r="J214" s="26" t="n">
        <v>1</v>
      </c>
      <c r="K214" s="43" t="n">
        <v>0.3333</v>
      </c>
      <c r="L214" s="43" t="n">
        <v>0.6089</v>
      </c>
      <c r="M214" s="43" t="n">
        <v>0.4983</v>
      </c>
      <c r="N214" s="43" t="n">
        <v>0.3983</v>
      </c>
      <c r="O214" s="43" t="n">
        <v>0.3333</v>
      </c>
      <c r="P214" s="26" t="n">
        <v>7</v>
      </c>
      <c r="Q214" s="26" t="n">
        <v>19</v>
      </c>
    </row>
    <row r="215" customFormat="false" ht="15" hidden="false" customHeight="false" outlineLevel="0" collapsed="false">
      <c r="A215" s="8" t="s">
        <v>62</v>
      </c>
      <c r="B215" s="8" t="s">
        <v>281</v>
      </c>
      <c r="C215" s="26" t="n">
        <v>6375</v>
      </c>
      <c r="D215" s="26" t="n">
        <v>3305</v>
      </c>
      <c r="E215" s="39" t="n">
        <v>-620.289</v>
      </c>
      <c r="F215" s="29" t="n">
        <f aca="false">IF(D215=0,"",E215/D215)</f>
        <v>-0.187681996974281</v>
      </c>
      <c r="G215" s="26" t="n">
        <v>3070</v>
      </c>
      <c r="H215" s="39" t="n">
        <v>-82.975</v>
      </c>
      <c r="I215" s="29" t="n">
        <f aca="false">IF(G215=0,"",H215/G215)</f>
        <v>-0.0270276872964169</v>
      </c>
      <c r="J215" s="26" t="n">
        <v>1</v>
      </c>
      <c r="K215" s="43" t="n">
        <v>0.3294</v>
      </c>
      <c r="L215" s="43" t="n">
        <v>0.6031</v>
      </c>
      <c r="M215" s="43" t="n">
        <v>0.4888</v>
      </c>
      <c r="N215" s="43" t="n">
        <v>0.3915</v>
      </c>
      <c r="O215" s="43" t="n">
        <v>0.3294</v>
      </c>
      <c r="P215" s="26" t="n">
        <v>6</v>
      </c>
      <c r="Q215" s="26" t="n">
        <v>21</v>
      </c>
    </row>
    <row r="216" customFormat="false" ht="15" hidden="false" customHeight="false" outlineLevel="0" collapsed="false">
      <c r="A216" s="8" t="s">
        <v>62</v>
      </c>
      <c r="B216" s="8" t="s">
        <v>274</v>
      </c>
      <c r="C216" s="26" t="n">
        <v>6940</v>
      </c>
      <c r="D216" s="26" t="n">
        <v>3600</v>
      </c>
      <c r="E216" s="39" t="n">
        <v>-676.861</v>
      </c>
      <c r="F216" s="29" t="n">
        <f aca="false">IF(D216=0,"",E216/D216)</f>
        <v>-0.188016944444444</v>
      </c>
      <c r="G216" s="26" t="n">
        <v>3340</v>
      </c>
      <c r="H216" s="39" t="n">
        <v>-75.996</v>
      </c>
      <c r="I216" s="29" t="n">
        <f aca="false">IF(G216=0,"",H216/G216)</f>
        <v>-0.0227532934131737</v>
      </c>
      <c r="J216" s="26" t="n">
        <v>1</v>
      </c>
      <c r="K216" s="43" t="n">
        <v>0.3304</v>
      </c>
      <c r="L216" s="43" t="n">
        <v>0.6099</v>
      </c>
      <c r="M216" s="43" t="n">
        <v>0.498</v>
      </c>
      <c r="N216" s="43" t="n">
        <v>0.3957</v>
      </c>
      <c r="O216" s="43" t="n">
        <v>0.3304</v>
      </c>
      <c r="P216" s="26" t="n">
        <v>7</v>
      </c>
      <c r="Q216" s="26" t="n">
        <v>20</v>
      </c>
    </row>
    <row r="217" customFormat="false" ht="15" hidden="false" customHeight="false" outlineLevel="0" collapsed="false">
      <c r="A217" s="8" t="s">
        <v>62</v>
      </c>
      <c r="B217" s="8" t="s">
        <v>294</v>
      </c>
      <c r="C217" s="26" t="n">
        <v>6645</v>
      </c>
      <c r="D217" s="26" t="n">
        <v>3431</v>
      </c>
      <c r="E217" s="39" t="n">
        <v>-645.739</v>
      </c>
      <c r="F217" s="29" t="n">
        <f aca="false">IF(D217=0,"",E217/D217)</f>
        <v>-0.188207228213349</v>
      </c>
      <c r="G217" s="26" t="n">
        <v>3214</v>
      </c>
      <c r="H217" s="39" t="n">
        <v>-108.503</v>
      </c>
      <c r="I217" s="29" t="n">
        <f aca="false">IF(G217=0,"",H217/G217)</f>
        <v>-0.0337594897324207</v>
      </c>
      <c r="J217" s="26" t="n">
        <v>0</v>
      </c>
      <c r="K217" s="43" t="n">
        <v>0.3306</v>
      </c>
      <c r="L217" s="43" t="n">
        <v>0.6032</v>
      </c>
      <c r="M217" s="43" t="n">
        <v>0.4936</v>
      </c>
      <c r="N217" s="43" t="n">
        <v>0.3943</v>
      </c>
      <c r="O217" s="43" t="n">
        <v>0.3306</v>
      </c>
      <c r="P217" s="26" t="n">
        <v>5</v>
      </c>
      <c r="Q217" s="26" t="n">
        <v>18</v>
      </c>
    </row>
    <row r="218" customFormat="false" ht="15" hidden="false" customHeight="false" outlineLevel="0" collapsed="false">
      <c r="A218" s="8" t="s">
        <v>62</v>
      </c>
      <c r="B218" s="8" t="s">
        <v>265</v>
      </c>
      <c r="C218" s="26" t="n">
        <v>5554</v>
      </c>
      <c r="D218" s="26" t="n">
        <v>2886</v>
      </c>
      <c r="E218" s="39" t="n">
        <v>-543.196</v>
      </c>
      <c r="F218" s="29" t="n">
        <f aca="false">IF(D218=0,"",E218/D218)</f>
        <v>-0.188217602217602</v>
      </c>
      <c r="G218" s="26" t="n">
        <v>2668</v>
      </c>
      <c r="H218" s="39" t="n">
        <v>-47.186</v>
      </c>
      <c r="I218" s="29" t="n">
        <f aca="false">IF(G218=0,"",H218/G218)</f>
        <v>-0.0176859070464768</v>
      </c>
      <c r="J218" s="26" t="n">
        <v>0</v>
      </c>
      <c r="K218" s="43" t="n">
        <v>0.3313</v>
      </c>
      <c r="L218" s="43" t="n">
        <v>0.6097</v>
      </c>
      <c r="M218" s="43" t="n">
        <v>0.4957</v>
      </c>
      <c r="N218" s="43" t="n">
        <v>0.3972</v>
      </c>
      <c r="O218" s="43" t="n">
        <v>0.3313</v>
      </c>
      <c r="P218" s="26" t="n">
        <v>7</v>
      </c>
      <c r="Q218" s="26" t="n">
        <v>16</v>
      </c>
    </row>
    <row r="219" customFormat="false" ht="15" hidden="false" customHeight="false" outlineLevel="0" collapsed="false">
      <c r="A219" s="8" t="s">
        <v>62</v>
      </c>
      <c r="B219" s="8" t="s">
        <v>321</v>
      </c>
      <c r="C219" s="26" t="n">
        <v>6958</v>
      </c>
      <c r="D219" s="26" t="n">
        <v>3608</v>
      </c>
      <c r="E219" s="39" t="n">
        <v>-680.537</v>
      </c>
      <c r="F219" s="29" t="n">
        <f aca="false">IF(D219=0,"",E219/D219)</f>
        <v>-0.188618902439024</v>
      </c>
      <c r="G219" s="26" t="n">
        <v>3350</v>
      </c>
      <c r="H219" s="39" t="n">
        <v>-77.479</v>
      </c>
      <c r="I219" s="29" t="n">
        <f aca="false">IF(G219=0,"",H219/G219)</f>
        <v>-0.0231280597014925</v>
      </c>
      <c r="J219" s="26" t="n">
        <v>1</v>
      </c>
      <c r="K219" s="43" t="n">
        <v>0.3326</v>
      </c>
      <c r="L219" s="43" t="n">
        <v>0.6082</v>
      </c>
      <c r="M219" s="43" t="n">
        <v>0.498</v>
      </c>
      <c r="N219" s="43" t="n">
        <v>0.3977</v>
      </c>
      <c r="O219" s="43" t="n">
        <v>0.3326</v>
      </c>
      <c r="P219" s="26" t="n">
        <v>7</v>
      </c>
      <c r="Q219" s="26" t="n">
        <v>19</v>
      </c>
    </row>
    <row r="220" customFormat="false" ht="15" hidden="false" customHeight="false" outlineLevel="0" collapsed="false">
      <c r="A220" s="8" t="s">
        <v>62</v>
      </c>
      <c r="B220" s="8" t="s">
        <v>276</v>
      </c>
      <c r="C220" s="26" t="n">
        <v>6938</v>
      </c>
      <c r="D220" s="26" t="n">
        <v>3599</v>
      </c>
      <c r="E220" s="39" t="n">
        <v>-679.237</v>
      </c>
      <c r="F220" s="29" t="n">
        <f aca="false">IF(D220=0,"",E220/D220)</f>
        <v>-0.188729369269241</v>
      </c>
      <c r="G220" s="26" t="n">
        <v>3339</v>
      </c>
      <c r="H220" s="39" t="n">
        <v>-68.134</v>
      </c>
      <c r="I220" s="29" t="n">
        <f aca="false">IF(G220=0,"",H220/G220)</f>
        <v>-0.0204055106319257</v>
      </c>
      <c r="J220" s="26" t="n">
        <v>1</v>
      </c>
      <c r="K220" s="43" t="n">
        <v>0.3305</v>
      </c>
      <c r="L220" s="43" t="n">
        <v>0.6098</v>
      </c>
      <c r="M220" s="43" t="n">
        <v>0.4981</v>
      </c>
      <c r="N220" s="43" t="n">
        <v>0.3962</v>
      </c>
      <c r="O220" s="43" t="n">
        <v>0.3305</v>
      </c>
      <c r="P220" s="26" t="n">
        <v>7</v>
      </c>
      <c r="Q220" s="26" t="n">
        <v>20</v>
      </c>
    </row>
    <row r="221" customFormat="false" ht="15" hidden="false" customHeight="false" outlineLevel="0" collapsed="false">
      <c r="A221" s="8" t="s">
        <v>62</v>
      </c>
      <c r="B221" s="8" t="s">
        <v>311</v>
      </c>
      <c r="C221" s="26" t="n">
        <v>6947</v>
      </c>
      <c r="D221" s="26" t="n">
        <v>3606</v>
      </c>
      <c r="E221" s="39" t="n">
        <v>-681.04</v>
      </c>
      <c r="F221" s="29" t="n">
        <f aca="false">IF(D221=0,"",E221/D221)</f>
        <v>-0.188863006100943</v>
      </c>
      <c r="G221" s="26" t="n">
        <v>3341</v>
      </c>
      <c r="H221" s="39" t="n">
        <v>-65.928</v>
      </c>
      <c r="I221" s="29" t="n">
        <f aca="false">IF(G221=0,"",H221/G221)</f>
        <v>-0.0197330140676444</v>
      </c>
      <c r="J221" s="26" t="n">
        <v>1</v>
      </c>
      <c r="K221" s="43" t="n">
        <v>0.3332</v>
      </c>
      <c r="L221" s="43" t="n">
        <v>0.6086</v>
      </c>
      <c r="M221" s="43" t="n">
        <v>0.4978</v>
      </c>
      <c r="N221" s="43" t="n">
        <v>0.398</v>
      </c>
      <c r="O221" s="43" t="n">
        <v>0.3332</v>
      </c>
      <c r="P221" s="26" t="n">
        <v>7</v>
      </c>
      <c r="Q221" s="26" t="n">
        <v>19</v>
      </c>
    </row>
    <row r="222" customFormat="false" ht="15" hidden="false" customHeight="false" outlineLevel="0" collapsed="false">
      <c r="A222" s="8" t="s">
        <v>62</v>
      </c>
      <c r="B222" s="8" t="s">
        <v>313</v>
      </c>
      <c r="C222" s="26" t="n">
        <v>6885</v>
      </c>
      <c r="D222" s="26" t="n">
        <v>3568</v>
      </c>
      <c r="E222" s="39" t="n">
        <v>-674.11</v>
      </c>
      <c r="F222" s="29" t="n">
        <f aca="false">IF(D222=0,"",E222/D222)</f>
        <v>-0.188932174887892</v>
      </c>
      <c r="G222" s="26" t="n">
        <v>3317</v>
      </c>
      <c r="H222" s="39" t="n">
        <v>-27.451</v>
      </c>
      <c r="I222" s="29" t="n">
        <f aca="false">IF(G222=0,"",H222/G222)</f>
        <v>-0.00827585167319867</v>
      </c>
      <c r="J222" s="26" t="n">
        <v>2</v>
      </c>
      <c r="K222" s="43" t="n">
        <v>0.3345</v>
      </c>
      <c r="L222" s="43" t="n">
        <v>0.6119</v>
      </c>
      <c r="M222" s="43" t="n">
        <v>0.5007</v>
      </c>
      <c r="N222" s="43" t="n">
        <v>0.3994</v>
      </c>
      <c r="O222" s="43" t="n">
        <v>0.3345</v>
      </c>
      <c r="P222" s="26" t="n">
        <v>7</v>
      </c>
      <c r="Q222" s="26" t="n">
        <v>19</v>
      </c>
    </row>
    <row r="223" customFormat="false" ht="15" hidden="false" customHeight="false" outlineLevel="0" collapsed="false">
      <c r="A223" s="8" t="s">
        <v>62</v>
      </c>
      <c r="B223" s="8" t="s">
        <v>335</v>
      </c>
      <c r="C223" s="26" t="n">
        <v>6936</v>
      </c>
      <c r="D223" s="26" t="n">
        <v>3600</v>
      </c>
      <c r="E223" s="39" t="n">
        <v>-680.314</v>
      </c>
      <c r="F223" s="29" t="n">
        <f aca="false">IF(D223=0,"",E223/D223)</f>
        <v>-0.188976111111111</v>
      </c>
      <c r="G223" s="26" t="n">
        <v>3336</v>
      </c>
      <c r="H223" s="39" t="n">
        <v>-72.947</v>
      </c>
      <c r="I223" s="29" t="n">
        <f aca="false">IF(G223=0,"",H223/G223)</f>
        <v>-0.0218666067146283</v>
      </c>
      <c r="J223" s="26" t="n">
        <v>1</v>
      </c>
      <c r="K223" s="43" t="n">
        <v>0.3329</v>
      </c>
      <c r="L223" s="43" t="n">
        <v>0.6091</v>
      </c>
      <c r="M223" s="43" t="n">
        <v>0.4977</v>
      </c>
      <c r="N223" s="43" t="n">
        <v>0.3982</v>
      </c>
      <c r="O223" s="43" t="n">
        <v>0.3329</v>
      </c>
      <c r="P223" s="26" t="n">
        <v>7</v>
      </c>
      <c r="Q223" s="26" t="n">
        <v>19</v>
      </c>
    </row>
    <row r="224" customFormat="false" ht="15" hidden="false" customHeight="false" outlineLevel="0" collapsed="false">
      <c r="A224" s="8" t="s">
        <v>62</v>
      </c>
      <c r="B224" s="8" t="s">
        <v>348</v>
      </c>
      <c r="C224" s="26" t="n">
        <v>6854</v>
      </c>
      <c r="D224" s="26" t="n">
        <v>3556</v>
      </c>
      <c r="E224" s="39" t="n">
        <v>-672.796</v>
      </c>
      <c r="F224" s="29" t="n">
        <f aca="false">IF(D224=0,"",E224/D224)</f>
        <v>-0.189200224971879</v>
      </c>
      <c r="G224" s="26" t="n">
        <v>3298</v>
      </c>
      <c r="H224" s="39" t="n">
        <v>-91.038</v>
      </c>
      <c r="I224" s="29" t="n">
        <f aca="false">IF(G224=0,"",H224/G224)</f>
        <v>-0.0276040024257126</v>
      </c>
      <c r="J224" s="26" t="n">
        <v>0</v>
      </c>
      <c r="K224" s="43" t="n">
        <v>0.3313</v>
      </c>
      <c r="L224" s="43" t="n">
        <v>0.6078</v>
      </c>
      <c r="M224" s="43" t="n">
        <v>0.4968</v>
      </c>
      <c r="N224" s="43" t="n">
        <v>0.3958</v>
      </c>
      <c r="O224" s="43" t="n">
        <v>0.3313</v>
      </c>
      <c r="P224" s="26" t="n">
        <v>6</v>
      </c>
      <c r="Q224" s="26" t="n">
        <v>19</v>
      </c>
    </row>
    <row r="225" customFormat="false" ht="15" hidden="false" customHeight="false" outlineLevel="0" collapsed="false">
      <c r="A225" s="8" t="s">
        <v>62</v>
      </c>
      <c r="B225" s="8" t="s">
        <v>331</v>
      </c>
      <c r="C225" s="26" t="n">
        <v>6960</v>
      </c>
      <c r="D225" s="26" t="n">
        <v>3608</v>
      </c>
      <c r="E225" s="39" t="n">
        <v>-683.168</v>
      </c>
      <c r="F225" s="29" t="n">
        <f aca="false">IF(D225=0,"",E225/D225)</f>
        <v>-0.189348115299335</v>
      </c>
      <c r="G225" s="26" t="n">
        <v>3352</v>
      </c>
      <c r="H225" s="39" t="n">
        <v>-86.7</v>
      </c>
      <c r="I225" s="29" t="n">
        <f aca="false">IF(G225=0,"",H225/G225)</f>
        <v>-0.0258651551312649</v>
      </c>
      <c r="J225" s="26" t="n">
        <v>0</v>
      </c>
      <c r="K225" s="43" t="n">
        <v>0.3322</v>
      </c>
      <c r="L225" s="43" t="n">
        <v>0.6075</v>
      </c>
      <c r="M225" s="43" t="n">
        <v>0.4968</v>
      </c>
      <c r="N225" s="43" t="n">
        <v>0.3973</v>
      </c>
      <c r="O225" s="43" t="n">
        <v>0.3322</v>
      </c>
      <c r="P225" s="26" t="n">
        <v>7</v>
      </c>
      <c r="Q225" s="26" t="n">
        <v>19</v>
      </c>
    </row>
    <row r="226" customFormat="false" ht="15" hidden="false" customHeight="false" outlineLevel="0" collapsed="false">
      <c r="A226" s="8" t="s">
        <v>62</v>
      </c>
      <c r="B226" s="8" t="s">
        <v>288</v>
      </c>
      <c r="C226" s="26" t="n">
        <v>6710</v>
      </c>
      <c r="D226" s="26" t="n">
        <v>3468</v>
      </c>
      <c r="E226" s="39" t="n">
        <v>-658.389</v>
      </c>
      <c r="F226" s="29" t="n">
        <f aca="false">IF(D226=0,"",E226/D226)</f>
        <v>-0.189846885813149</v>
      </c>
      <c r="G226" s="26" t="n">
        <v>3242</v>
      </c>
      <c r="H226" s="39" t="n">
        <v>-50.548</v>
      </c>
      <c r="I226" s="29" t="n">
        <f aca="false">IF(G226=0,"",H226/G226)</f>
        <v>-0.0155916101172116</v>
      </c>
      <c r="J226" s="26" t="n">
        <v>2</v>
      </c>
      <c r="K226" s="43" t="n">
        <v>0.2854</v>
      </c>
      <c r="L226" s="43" t="n">
        <v>0.6094</v>
      </c>
      <c r="M226" s="43" t="n">
        <v>0.4964</v>
      </c>
      <c r="N226" s="43" t="n">
        <v>0.3976</v>
      </c>
      <c r="O226" s="43" t="n">
        <v>0.2854</v>
      </c>
      <c r="P226" s="26" t="n">
        <v>5</v>
      </c>
      <c r="Q226" s="26" t="n">
        <v>28</v>
      </c>
    </row>
    <row r="227" customFormat="false" ht="15" hidden="false" customHeight="false" outlineLevel="0" collapsed="false">
      <c r="A227" s="8" t="s">
        <v>62</v>
      </c>
      <c r="B227" s="8" t="s">
        <v>284</v>
      </c>
      <c r="C227" s="26" t="n">
        <v>6968</v>
      </c>
      <c r="D227" s="26" t="n">
        <v>3615</v>
      </c>
      <c r="E227" s="39" t="n">
        <v>-687.072</v>
      </c>
      <c r="F227" s="29" t="n">
        <f aca="false">IF(D227=0,"",E227/D227)</f>
        <v>-0.190061410788382</v>
      </c>
      <c r="G227" s="26" t="n">
        <v>3353</v>
      </c>
      <c r="H227" s="39" t="n">
        <v>-90.412</v>
      </c>
      <c r="I227" s="29" t="n">
        <f aca="false">IF(G227=0,"",H227/G227)</f>
        <v>-0.026964509394572</v>
      </c>
      <c r="J227" s="26" t="n">
        <v>1</v>
      </c>
      <c r="K227" s="43" t="n">
        <v>0.3302</v>
      </c>
      <c r="L227" s="43" t="n">
        <v>0.6111</v>
      </c>
      <c r="M227" s="43" t="n">
        <v>0.4993</v>
      </c>
      <c r="N227" s="43" t="n">
        <v>0.3967</v>
      </c>
      <c r="O227" s="43" t="n">
        <v>0.3302</v>
      </c>
      <c r="P227" s="26" t="n">
        <v>6</v>
      </c>
      <c r="Q227" s="26" t="n">
        <v>20</v>
      </c>
    </row>
    <row r="228" customFormat="false" ht="15" hidden="false" customHeight="false" outlineLevel="0" collapsed="false">
      <c r="A228" s="8" t="s">
        <v>62</v>
      </c>
      <c r="B228" s="8" t="s">
        <v>277</v>
      </c>
      <c r="C228" s="26" t="n">
        <v>5744</v>
      </c>
      <c r="D228" s="26" t="n">
        <v>2988</v>
      </c>
      <c r="E228" s="39" t="n">
        <v>-567.955</v>
      </c>
      <c r="F228" s="29" t="n">
        <f aca="false">IF(D228=0,"",E228/D228)</f>
        <v>-0.190078647925033</v>
      </c>
      <c r="G228" s="26" t="n">
        <v>2756</v>
      </c>
      <c r="H228" s="39" t="n">
        <v>-27.647</v>
      </c>
      <c r="I228" s="29" t="n">
        <f aca="false">IF(G228=0,"",H228/G228)</f>
        <v>-0.0100315674891147</v>
      </c>
      <c r="J228" s="26" t="n">
        <v>2</v>
      </c>
      <c r="K228" s="43" t="n">
        <v>0.335</v>
      </c>
      <c r="L228" s="43" t="n">
        <v>0.6074</v>
      </c>
      <c r="M228" s="43" t="n">
        <v>0.4967</v>
      </c>
      <c r="N228" s="43" t="n">
        <v>0.4002</v>
      </c>
      <c r="O228" s="43" t="n">
        <v>0.335</v>
      </c>
      <c r="P228" s="26" t="n">
        <v>7</v>
      </c>
      <c r="Q228" s="26" t="n">
        <v>20</v>
      </c>
    </row>
    <row r="229" customFormat="false" ht="15" hidden="false" customHeight="false" outlineLevel="0" collapsed="false">
      <c r="A229" s="8" t="s">
        <v>62</v>
      </c>
      <c r="B229" s="8" t="s">
        <v>327</v>
      </c>
      <c r="C229" s="26" t="n">
        <v>6961</v>
      </c>
      <c r="D229" s="26" t="n">
        <v>3611</v>
      </c>
      <c r="E229" s="39" t="n">
        <v>-686.376</v>
      </c>
      <c r="F229" s="29" t="n">
        <f aca="false">IF(D229=0,"",E229/D229)</f>
        <v>-0.190079202436998</v>
      </c>
      <c r="G229" s="26" t="n">
        <v>3350</v>
      </c>
      <c r="H229" s="39" t="n">
        <v>-75.21</v>
      </c>
      <c r="I229" s="29" t="n">
        <f aca="false">IF(G229=0,"",H229/G229)</f>
        <v>-0.0224507462686567</v>
      </c>
      <c r="J229" s="26" t="n">
        <v>1</v>
      </c>
      <c r="K229" s="43" t="n">
        <v>0.3326</v>
      </c>
      <c r="L229" s="43" t="n">
        <v>0.6091</v>
      </c>
      <c r="M229" s="43" t="n">
        <v>0.4978</v>
      </c>
      <c r="N229" s="43" t="n">
        <v>0.3978</v>
      </c>
      <c r="O229" s="43" t="n">
        <v>0.3326</v>
      </c>
      <c r="P229" s="26" t="n">
        <v>7</v>
      </c>
      <c r="Q229" s="26" t="n">
        <v>19</v>
      </c>
    </row>
    <row r="230" customFormat="false" ht="15" hidden="false" customHeight="false" outlineLevel="0" collapsed="false">
      <c r="A230" s="8" t="s">
        <v>62</v>
      </c>
      <c r="B230" s="8" t="s">
        <v>342</v>
      </c>
      <c r="C230" s="26" t="n">
        <v>6958</v>
      </c>
      <c r="D230" s="26" t="n">
        <v>3606</v>
      </c>
      <c r="E230" s="39" t="n">
        <v>-685.52</v>
      </c>
      <c r="F230" s="29" t="n">
        <f aca="false">IF(D230=0,"",E230/D230)</f>
        <v>-0.190105379922352</v>
      </c>
      <c r="G230" s="26" t="n">
        <v>3352</v>
      </c>
      <c r="H230" s="39" t="n">
        <v>-75.389</v>
      </c>
      <c r="I230" s="29" t="n">
        <f aca="false">IF(G230=0,"",H230/G230)</f>
        <v>-0.0224907517899761</v>
      </c>
      <c r="J230" s="26" t="n">
        <v>1</v>
      </c>
      <c r="K230" s="43" t="n">
        <v>0.3327</v>
      </c>
      <c r="L230" s="43" t="n">
        <v>0.6091</v>
      </c>
      <c r="M230" s="43" t="n">
        <v>0.4976</v>
      </c>
      <c r="N230" s="43" t="n">
        <v>0.398</v>
      </c>
      <c r="O230" s="43" t="n">
        <v>0.3327</v>
      </c>
      <c r="P230" s="26" t="n">
        <v>7</v>
      </c>
      <c r="Q230" s="26" t="n">
        <v>19</v>
      </c>
    </row>
    <row r="231" customFormat="false" ht="15" hidden="false" customHeight="false" outlineLevel="0" collapsed="false">
      <c r="A231" s="8" t="s">
        <v>62</v>
      </c>
      <c r="B231" s="8" t="s">
        <v>283</v>
      </c>
      <c r="C231" s="26" t="n">
        <v>6697</v>
      </c>
      <c r="D231" s="26" t="n">
        <v>3471</v>
      </c>
      <c r="E231" s="39" t="n">
        <v>-660.078</v>
      </c>
      <c r="F231" s="29" t="n">
        <f aca="false">IF(D231=0,"",E231/D231)</f>
        <v>-0.190169403630078</v>
      </c>
      <c r="G231" s="26" t="n">
        <v>3226</v>
      </c>
      <c r="H231" s="39" t="n">
        <v>-93.935</v>
      </c>
      <c r="I231" s="29" t="n">
        <f aca="false">IF(G231=0,"",H231/G231)</f>
        <v>-0.0291181029138252</v>
      </c>
      <c r="J231" s="26" t="n">
        <v>1</v>
      </c>
      <c r="K231" s="43" t="n">
        <v>0.3298</v>
      </c>
      <c r="L231" s="43" t="n">
        <v>0.6121</v>
      </c>
      <c r="M231" s="43" t="n">
        <v>0.498</v>
      </c>
      <c r="N231" s="43" t="n">
        <v>0.3961</v>
      </c>
      <c r="O231" s="43" t="n">
        <v>0.3298</v>
      </c>
      <c r="P231" s="26" t="n">
        <v>6</v>
      </c>
      <c r="Q231" s="26" t="n">
        <v>18</v>
      </c>
    </row>
    <row r="232" customFormat="false" ht="15" hidden="false" customHeight="false" outlineLevel="0" collapsed="false">
      <c r="A232" s="8" t="s">
        <v>62</v>
      </c>
      <c r="B232" s="8" t="s">
        <v>325</v>
      </c>
      <c r="C232" s="26" t="n">
        <v>6964</v>
      </c>
      <c r="D232" s="26" t="n">
        <v>3612</v>
      </c>
      <c r="E232" s="39" t="n">
        <v>-687.542</v>
      </c>
      <c r="F232" s="29" t="n">
        <f aca="false">IF(D232=0,"",E232/D232)</f>
        <v>-0.190349390919158</v>
      </c>
      <c r="G232" s="26" t="n">
        <v>3352</v>
      </c>
      <c r="H232" s="39" t="n">
        <v>-69.336</v>
      </c>
      <c r="I232" s="29" t="n">
        <f aca="false">IF(G232=0,"",H232/G232)</f>
        <v>-0.0206849642004773</v>
      </c>
      <c r="J232" s="26" t="n">
        <v>1</v>
      </c>
      <c r="K232" s="43" t="n">
        <v>0.333</v>
      </c>
      <c r="L232" s="43" t="n">
        <v>0.6081</v>
      </c>
      <c r="M232" s="43" t="n">
        <v>0.4973</v>
      </c>
      <c r="N232" s="43" t="n">
        <v>0.398</v>
      </c>
      <c r="O232" s="43" t="n">
        <v>0.333</v>
      </c>
      <c r="P232" s="26" t="n">
        <v>7</v>
      </c>
      <c r="Q232" s="26" t="n">
        <v>19</v>
      </c>
    </row>
    <row r="233" customFormat="false" ht="15" hidden="false" customHeight="false" outlineLevel="0" collapsed="false">
      <c r="A233" s="8" t="s">
        <v>62</v>
      </c>
      <c r="B233" s="8" t="s">
        <v>339</v>
      </c>
      <c r="C233" s="26" t="n">
        <v>6958</v>
      </c>
      <c r="D233" s="26" t="n">
        <v>3608</v>
      </c>
      <c r="E233" s="39" t="n">
        <v>-687.837</v>
      </c>
      <c r="F233" s="29" t="n">
        <f aca="false">IF(D233=0,"",E233/D233)</f>
        <v>-0.190642184035477</v>
      </c>
      <c r="G233" s="26" t="n">
        <v>3350</v>
      </c>
      <c r="H233" s="39" t="n">
        <v>-76.301</v>
      </c>
      <c r="I233" s="29" t="n">
        <f aca="false">IF(G233=0,"",H233/G233)</f>
        <v>-0.0227764179104478</v>
      </c>
      <c r="J233" s="26" t="n">
        <v>1</v>
      </c>
      <c r="K233" s="43" t="n">
        <v>0.3326</v>
      </c>
      <c r="L233" s="43" t="n">
        <v>0.6087</v>
      </c>
      <c r="M233" s="43" t="n">
        <v>0.4974</v>
      </c>
      <c r="N233" s="43" t="n">
        <v>0.398</v>
      </c>
      <c r="O233" s="43" t="n">
        <v>0.3326</v>
      </c>
      <c r="P233" s="26" t="n">
        <v>7</v>
      </c>
      <c r="Q233" s="26" t="n">
        <v>19</v>
      </c>
    </row>
    <row r="234" customFormat="false" ht="15" hidden="false" customHeight="false" outlineLevel="0" collapsed="false">
      <c r="A234" s="8" t="s">
        <v>62</v>
      </c>
      <c r="B234" s="8" t="s">
        <v>340</v>
      </c>
      <c r="C234" s="26" t="n">
        <v>6958</v>
      </c>
      <c r="D234" s="26" t="n">
        <v>3608</v>
      </c>
      <c r="E234" s="39" t="n">
        <v>-687.861</v>
      </c>
      <c r="F234" s="29" t="n">
        <f aca="false">IF(D234=0,"",E234/D234)</f>
        <v>-0.190648835920177</v>
      </c>
      <c r="G234" s="26" t="n">
        <v>3350</v>
      </c>
      <c r="H234" s="39" t="n">
        <v>-76.359</v>
      </c>
      <c r="I234" s="29" t="n">
        <f aca="false">IF(G234=0,"",H234/G234)</f>
        <v>-0.0227937313432836</v>
      </c>
      <c r="J234" s="26" t="n">
        <v>1</v>
      </c>
      <c r="K234" s="43" t="n">
        <v>0.3326</v>
      </c>
      <c r="L234" s="43" t="n">
        <v>0.6087</v>
      </c>
      <c r="M234" s="43" t="n">
        <v>0.4976</v>
      </c>
      <c r="N234" s="43" t="n">
        <v>0.398</v>
      </c>
      <c r="O234" s="43" t="n">
        <v>0.3326</v>
      </c>
      <c r="P234" s="26" t="n">
        <v>7</v>
      </c>
      <c r="Q234" s="26" t="n">
        <v>19</v>
      </c>
    </row>
    <row r="235" customFormat="false" ht="15" hidden="false" customHeight="false" outlineLevel="0" collapsed="false">
      <c r="A235" s="8" t="s">
        <v>62</v>
      </c>
      <c r="B235" s="8" t="s">
        <v>341</v>
      </c>
      <c r="C235" s="26" t="n">
        <v>6958</v>
      </c>
      <c r="D235" s="26" t="n">
        <v>3607</v>
      </c>
      <c r="E235" s="39" t="n">
        <v>-688.117</v>
      </c>
      <c r="F235" s="29" t="n">
        <f aca="false">IF(D235=0,"",E235/D235)</f>
        <v>-0.190772664263931</v>
      </c>
      <c r="G235" s="26" t="n">
        <v>3351</v>
      </c>
      <c r="H235" s="39" t="n">
        <v>-90.63</v>
      </c>
      <c r="I235" s="29" t="n">
        <f aca="false">IF(G235=0,"",H235/G235)</f>
        <v>-0.0270456580125336</v>
      </c>
      <c r="J235" s="26" t="n">
        <v>0</v>
      </c>
      <c r="K235" s="43" t="n">
        <v>0.3321</v>
      </c>
      <c r="L235" s="43" t="n">
        <v>0.6082</v>
      </c>
      <c r="M235" s="43" t="n">
        <v>0.4964</v>
      </c>
      <c r="N235" s="43" t="n">
        <v>0.3971</v>
      </c>
      <c r="O235" s="43" t="n">
        <v>0.3321</v>
      </c>
      <c r="P235" s="26" t="n">
        <v>7</v>
      </c>
      <c r="Q235" s="26" t="n">
        <v>19</v>
      </c>
    </row>
    <row r="236" customFormat="false" ht="15" hidden="false" customHeight="false" outlineLevel="0" collapsed="false">
      <c r="A236" s="8" t="s">
        <v>62</v>
      </c>
      <c r="B236" s="8" t="s">
        <v>290</v>
      </c>
      <c r="C236" s="26" t="n">
        <v>6837</v>
      </c>
      <c r="D236" s="26" t="n">
        <v>3548</v>
      </c>
      <c r="E236" s="39" t="n">
        <v>-677.056</v>
      </c>
      <c r="F236" s="29" t="n">
        <f aca="false">IF(D236=0,"",E236/D236)</f>
        <v>-0.190827508455468</v>
      </c>
      <c r="G236" s="26" t="n">
        <v>3289</v>
      </c>
      <c r="H236" s="39" t="n">
        <v>-129.161</v>
      </c>
      <c r="I236" s="29" t="n">
        <f aca="false">IF(G236=0,"",H236/G236)</f>
        <v>-0.0392705989662511</v>
      </c>
      <c r="J236" s="26" t="n">
        <v>0</v>
      </c>
      <c r="K236" s="43" t="n">
        <v>0.3289</v>
      </c>
      <c r="L236" s="43" t="n">
        <v>0.6108</v>
      </c>
      <c r="M236" s="43" t="n">
        <v>0.4964</v>
      </c>
      <c r="N236" s="43" t="n">
        <v>0.3952</v>
      </c>
      <c r="O236" s="43" t="n">
        <v>0.3289</v>
      </c>
      <c r="P236" s="26" t="n">
        <v>6</v>
      </c>
      <c r="Q236" s="26" t="n">
        <v>18</v>
      </c>
    </row>
    <row r="237" customFormat="false" ht="15" hidden="false" customHeight="false" outlineLevel="0" collapsed="false">
      <c r="A237" s="8" t="s">
        <v>62</v>
      </c>
      <c r="B237" s="8" t="s">
        <v>263</v>
      </c>
      <c r="C237" s="26" t="n">
        <v>5038</v>
      </c>
      <c r="D237" s="26" t="n">
        <v>2604</v>
      </c>
      <c r="E237" s="39" t="n">
        <v>-497.62</v>
      </c>
      <c r="F237" s="29" t="n">
        <f aca="false">IF(D237=0,"",E237/D237)</f>
        <v>-0.191098310291859</v>
      </c>
      <c r="G237" s="26" t="n">
        <v>2434</v>
      </c>
      <c r="H237" s="39" t="n">
        <v>-8.821</v>
      </c>
      <c r="I237" s="29" t="n">
        <f aca="false">IF(G237=0,"",H237/G237)</f>
        <v>-0.0036240755957272</v>
      </c>
      <c r="J237" s="26" t="n">
        <v>1</v>
      </c>
      <c r="K237" s="43" t="n">
        <v>0.3327</v>
      </c>
      <c r="L237" s="43" t="n">
        <v>0.6108</v>
      </c>
      <c r="M237" s="43" t="n">
        <v>0.4972</v>
      </c>
      <c r="N237" s="43" t="n">
        <v>0.3988</v>
      </c>
      <c r="O237" s="43" t="n">
        <v>0.3327</v>
      </c>
      <c r="P237" s="26" t="n">
        <v>7</v>
      </c>
      <c r="Q237" s="26" t="n">
        <v>17</v>
      </c>
    </row>
    <row r="238" customFormat="false" ht="15" hidden="false" customHeight="false" outlineLevel="0" collapsed="false">
      <c r="A238" s="8" t="s">
        <v>62</v>
      </c>
      <c r="B238" s="8" t="s">
        <v>374</v>
      </c>
      <c r="C238" s="26" t="n">
        <v>6993</v>
      </c>
      <c r="D238" s="26" t="n">
        <v>3623</v>
      </c>
      <c r="E238" s="39" t="n">
        <v>-692.502</v>
      </c>
      <c r="F238" s="29" t="n">
        <f aca="false">IF(D238=0,"",E238/D238)</f>
        <v>-0.191140491305548</v>
      </c>
      <c r="G238" s="26" t="n">
        <v>3370</v>
      </c>
      <c r="H238" s="39" t="n">
        <v>-84.811</v>
      </c>
      <c r="I238" s="29" t="n">
        <f aca="false">IF(G238=0,"",H238/G238)</f>
        <v>-0.02516646884273</v>
      </c>
      <c r="J238" s="26" t="n">
        <v>0</v>
      </c>
      <c r="K238" s="43" t="n">
        <v>0.3325</v>
      </c>
      <c r="L238" s="43" t="n">
        <v>0.609</v>
      </c>
      <c r="M238" s="43" t="n">
        <v>0.4978</v>
      </c>
      <c r="N238" s="43" t="n">
        <v>0.3987</v>
      </c>
      <c r="O238" s="43" t="n">
        <v>0.3325</v>
      </c>
      <c r="P238" s="26" t="n">
        <v>6</v>
      </c>
      <c r="Q238" s="26" t="n">
        <v>19</v>
      </c>
    </row>
    <row r="239" customFormat="false" ht="15" hidden="false" customHeight="false" outlineLevel="0" collapsed="false">
      <c r="A239" s="8" t="s">
        <v>62</v>
      </c>
      <c r="B239" s="8" t="s">
        <v>330</v>
      </c>
      <c r="C239" s="26" t="n">
        <v>6980</v>
      </c>
      <c r="D239" s="26" t="n">
        <v>3624</v>
      </c>
      <c r="E239" s="39" t="n">
        <v>-692.922</v>
      </c>
      <c r="F239" s="29" t="n">
        <f aca="false">IF(D239=0,"",E239/D239)</f>
        <v>-0.191203642384106</v>
      </c>
      <c r="G239" s="26" t="n">
        <v>3356</v>
      </c>
      <c r="H239" s="39" t="n">
        <v>-101.847</v>
      </c>
      <c r="I239" s="29" t="n">
        <f aca="false">IF(G239=0,"",H239/G239)</f>
        <v>-0.0303477353992849</v>
      </c>
      <c r="J239" s="26" t="n">
        <v>0</v>
      </c>
      <c r="K239" s="43" t="n">
        <v>0.3305</v>
      </c>
      <c r="L239" s="43" t="n">
        <v>0.6074</v>
      </c>
      <c r="M239" s="43" t="n">
        <v>0.4948</v>
      </c>
      <c r="N239" s="43" t="n">
        <v>0.3968</v>
      </c>
      <c r="O239" s="43" t="n">
        <v>0.3305</v>
      </c>
      <c r="P239" s="26" t="n">
        <v>9</v>
      </c>
      <c r="Q239" s="26" t="n">
        <v>17</v>
      </c>
    </row>
    <row r="240" customFormat="false" ht="15" hidden="false" customHeight="false" outlineLevel="0" collapsed="false">
      <c r="A240" s="8" t="s">
        <v>62</v>
      </c>
      <c r="B240" s="8" t="s">
        <v>371</v>
      </c>
      <c r="C240" s="26" t="n">
        <v>6920</v>
      </c>
      <c r="D240" s="26" t="n">
        <v>3599</v>
      </c>
      <c r="E240" s="39" t="n">
        <v>-688.74</v>
      </c>
      <c r="F240" s="29" t="n">
        <f aca="false">IF(D240=0,"",E240/D240)</f>
        <v>-0.191369824951375</v>
      </c>
      <c r="G240" s="26" t="n">
        <v>3321</v>
      </c>
      <c r="H240" s="39" t="n">
        <v>-105.293</v>
      </c>
      <c r="I240" s="29" t="n">
        <f aca="false">IF(G240=0,"",H240/G240)</f>
        <v>-0.031705209274315</v>
      </c>
      <c r="J240" s="26" t="n">
        <v>0</v>
      </c>
      <c r="K240" s="43" t="n">
        <v>0.3316</v>
      </c>
      <c r="L240" s="43" t="n">
        <v>0.6081</v>
      </c>
      <c r="M240" s="43" t="n">
        <v>0.4964</v>
      </c>
      <c r="N240" s="43" t="n">
        <v>0.3971</v>
      </c>
      <c r="O240" s="43" t="n">
        <v>0.3316</v>
      </c>
      <c r="P240" s="26" t="n">
        <v>7</v>
      </c>
      <c r="Q240" s="26" t="n">
        <v>20</v>
      </c>
    </row>
    <row r="241" customFormat="false" ht="15" hidden="false" customHeight="false" outlineLevel="0" collapsed="false">
      <c r="A241" s="8" t="s">
        <v>62</v>
      </c>
      <c r="B241" s="8" t="s">
        <v>302</v>
      </c>
      <c r="C241" s="26" t="n">
        <v>6957</v>
      </c>
      <c r="D241" s="26" t="n">
        <v>3610</v>
      </c>
      <c r="E241" s="39" t="n">
        <v>-692.328</v>
      </c>
      <c r="F241" s="29" t="n">
        <f aca="false">IF(D241=0,"",E241/D241)</f>
        <v>-0.191780609418283</v>
      </c>
      <c r="G241" s="26" t="n">
        <v>3347</v>
      </c>
      <c r="H241" s="39" t="n">
        <v>-103.242</v>
      </c>
      <c r="I241" s="29" t="n">
        <f aca="false">IF(G241=0,"",H241/G241)</f>
        <v>-0.0308461308634598</v>
      </c>
      <c r="J241" s="26" t="n">
        <v>1</v>
      </c>
      <c r="K241" s="43" t="n">
        <v>0.3299</v>
      </c>
      <c r="L241" s="43" t="n">
        <v>0.6066</v>
      </c>
      <c r="M241" s="43" t="n">
        <v>0.4969</v>
      </c>
      <c r="N241" s="43" t="n">
        <v>0.3967</v>
      </c>
      <c r="O241" s="43" t="n">
        <v>0.3299</v>
      </c>
      <c r="P241" s="26" t="n">
        <v>7</v>
      </c>
      <c r="Q241" s="26" t="n">
        <v>19</v>
      </c>
    </row>
    <row r="242" customFormat="false" ht="15" hidden="false" customHeight="false" outlineLevel="0" collapsed="false">
      <c r="A242" s="8" t="s">
        <v>62</v>
      </c>
      <c r="B242" s="8" t="s">
        <v>309</v>
      </c>
      <c r="C242" s="26" t="n">
        <v>6345</v>
      </c>
      <c r="D242" s="26" t="n">
        <v>3287</v>
      </c>
      <c r="E242" s="39" t="n">
        <v>-630.553</v>
      </c>
      <c r="F242" s="29" t="n">
        <f aca="false">IF(D242=0,"",E242/D242)</f>
        <v>-0.191832369942197</v>
      </c>
      <c r="G242" s="26" t="n">
        <v>3058</v>
      </c>
      <c r="H242" s="39" t="n">
        <v>-143.736</v>
      </c>
      <c r="I242" s="29" t="n">
        <f aca="false">IF(G242=0,"",H242/G242)</f>
        <v>-0.0470032701111838</v>
      </c>
      <c r="J242" s="26" t="n">
        <v>0</v>
      </c>
      <c r="K242" s="43" t="n">
        <v>0.3288</v>
      </c>
      <c r="L242" s="43" t="n">
        <v>0.6091</v>
      </c>
      <c r="M242" s="43" t="n">
        <v>0.4954</v>
      </c>
      <c r="N242" s="43" t="n">
        <v>0.3943</v>
      </c>
      <c r="O242" s="43" t="n">
        <v>0.3288</v>
      </c>
      <c r="P242" s="26" t="n">
        <v>6</v>
      </c>
      <c r="Q242" s="26" t="n">
        <v>19</v>
      </c>
    </row>
    <row r="243" customFormat="false" ht="15" hidden="false" customHeight="false" outlineLevel="0" collapsed="false">
      <c r="A243" s="8" t="s">
        <v>62</v>
      </c>
      <c r="B243" s="8" t="s">
        <v>336</v>
      </c>
      <c r="C243" s="26" t="n">
        <v>6967</v>
      </c>
      <c r="D243" s="26" t="n">
        <v>3612</v>
      </c>
      <c r="E243" s="39" t="n">
        <v>-693.643</v>
      </c>
      <c r="F243" s="29" t="n">
        <f aca="false">IF(D243=0,"",E243/D243)</f>
        <v>-0.192038482834994</v>
      </c>
      <c r="G243" s="26" t="n">
        <v>3355</v>
      </c>
      <c r="H243" s="39" t="n">
        <v>-92.989</v>
      </c>
      <c r="I243" s="29" t="n">
        <f aca="false">IF(G243=0,"",H243/G243)</f>
        <v>-0.0277165424739195</v>
      </c>
      <c r="J243" s="26" t="n">
        <v>0</v>
      </c>
      <c r="K243" s="43" t="n">
        <v>0.3319</v>
      </c>
      <c r="L243" s="43" t="n">
        <v>0.6079</v>
      </c>
      <c r="M243" s="43" t="n">
        <v>0.4959</v>
      </c>
      <c r="N243" s="43" t="n">
        <v>0.397</v>
      </c>
      <c r="O243" s="43" t="n">
        <v>0.3319</v>
      </c>
      <c r="P243" s="26" t="n">
        <v>7</v>
      </c>
      <c r="Q243" s="26" t="n">
        <v>19</v>
      </c>
    </row>
    <row r="244" customFormat="false" ht="15" hidden="false" customHeight="false" outlineLevel="0" collapsed="false">
      <c r="A244" s="8" t="s">
        <v>62</v>
      </c>
      <c r="B244" s="8" t="s">
        <v>316</v>
      </c>
      <c r="C244" s="26" t="n">
        <v>7000</v>
      </c>
      <c r="D244" s="26" t="n">
        <v>3622</v>
      </c>
      <c r="E244" s="39" t="n">
        <v>-695.588</v>
      </c>
      <c r="F244" s="29" t="n">
        <f aca="false">IF(D244=0,"",E244/D244)</f>
        <v>-0.192045278851463</v>
      </c>
      <c r="G244" s="26" t="n">
        <v>3378</v>
      </c>
      <c r="H244" s="39" t="n">
        <v>-152.296</v>
      </c>
      <c r="I244" s="29" t="n">
        <f aca="false">IF(G244=0,"",H244/G244)</f>
        <v>-0.045084665482534</v>
      </c>
      <c r="J244" s="26" t="n">
        <v>0</v>
      </c>
      <c r="K244" s="43" t="n">
        <v>0.3289</v>
      </c>
      <c r="L244" s="43" t="n">
        <v>0.6027</v>
      </c>
      <c r="M244" s="43" t="n">
        <v>0.4909</v>
      </c>
      <c r="N244" s="43" t="n">
        <v>0.3917</v>
      </c>
      <c r="O244" s="43" t="n">
        <v>0.3289</v>
      </c>
      <c r="P244" s="26" t="n">
        <v>7</v>
      </c>
      <c r="Q244" s="26" t="n">
        <v>26</v>
      </c>
    </row>
    <row r="245" customFormat="false" ht="15" hidden="false" customHeight="false" outlineLevel="0" collapsed="false">
      <c r="A245" s="8" t="s">
        <v>62</v>
      </c>
      <c r="B245" s="8" t="s">
        <v>347</v>
      </c>
      <c r="C245" s="26" t="n">
        <v>6992</v>
      </c>
      <c r="D245" s="26" t="n">
        <v>3621</v>
      </c>
      <c r="E245" s="39" t="n">
        <v>-696.783</v>
      </c>
      <c r="F245" s="29" t="n">
        <f aca="false">IF(D245=0,"",E245/D245)</f>
        <v>-0.192428334714167</v>
      </c>
      <c r="G245" s="26" t="n">
        <v>3371</v>
      </c>
      <c r="H245" s="39" t="n">
        <v>-129.894</v>
      </c>
      <c r="I245" s="29" t="n">
        <f aca="false">IF(G245=0,"",H245/G245)</f>
        <v>-0.0385327795906259</v>
      </c>
      <c r="J245" s="26" t="n">
        <v>0</v>
      </c>
      <c r="K245" s="43" t="n">
        <v>0.3298</v>
      </c>
      <c r="L245" s="43" t="n">
        <v>0.6048</v>
      </c>
      <c r="M245" s="43" t="n">
        <v>0.4928</v>
      </c>
      <c r="N245" s="43" t="n">
        <v>0.3955</v>
      </c>
      <c r="O245" s="43" t="n">
        <v>0.3298</v>
      </c>
      <c r="P245" s="26" t="n">
        <v>7</v>
      </c>
      <c r="Q245" s="26" t="n">
        <v>19</v>
      </c>
    </row>
    <row r="246" customFormat="false" ht="15" hidden="false" customHeight="false" outlineLevel="0" collapsed="false">
      <c r="A246" s="8" t="s">
        <v>62</v>
      </c>
      <c r="B246" s="8" t="s">
        <v>334</v>
      </c>
      <c r="C246" s="26" t="n">
        <v>6956</v>
      </c>
      <c r="D246" s="26" t="n">
        <v>3608</v>
      </c>
      <c r="E246" s="39" t="n">
        <v>-695.43</v>
      </c>
      <c r="F246" s="29" t="n">
        <f aca="false">IF(D246=0,"",E246/D246)</f>
        <v>-0.19274667405765</v>
      </c>
      <c r="G246" s="26" t="n">
        <v>3348</v>
      </c>
      <c r="H246" s="39" t="n">
        <v>-76.468</v>
      </c>
      <c r="I246" s="29" t="n">
        <f aca="false">IF(G246=0,"",H246/G246)</f>
        <v>-0.0228399044205496</v>
      </c>
      <c r="J246" s="26" t="n">
        <v>1</v>
      </c>
      <c r="K246" s="43" t="n">
        <v>0.3321</v>
      </c>
      <c r="L246" s="43" t="n">
        <v>0.6081</v>
      </c>
      <c r="M246" s="43" t="n">
        <v>0.4965</v>
      </c>
      <c r="N246" s="43" t="n">
        <v>0.3972</v>
      </c>
      <c r="O246" s="43" t="n">
        <v>0.3321</v>
      </c>
      <c r="P246" s="26" t="n">
        <v>7</v>
      </c>
      <c r="Q246" s="26" t="n">
        <v>19</v>
      </c>
    </row>
    <row r="247" customFormat="false" ht="15" hidden="false" customHeight="false" outlineLevel="0" collapsed="false">
      <c r="A247" s="8" t="s">
        <v>62</v>
      </c>
      <c r="B247" s="8" t="s">
        <v>338</v>
      </c>
      <c r="C247" s="26" t="n">
        <v>6958</v>
      </c>
      <c r="D247" s="26" t="n">
        <v>3608</v>
      </c>
      <c r="E247" s="39" t="n">
        <v>-696.462</v>
      </c>
      <c r="F247" s="29" t="n">
        <f aca="false">IF(D247=0,"",E247/D247)</f>
        <v>-0.193032705099778</v>
      </c>
      <c r="G247" s="26" t="n">
        <v>3350</v>
      </c>
      <c r="H247" s="39" t="n">
        <v>-76.256</v>
      </c>
      <c r="I247" s="29" t="n">
        <f aca="false">IF(G247=0,"",H247/G247)</f>
        <v>-0.0227629850746269</v>
      </c>
      <c r="J247" s="26" t="n">
        <v>1</v>
      </c>
      <c r="K247" s="43" t="n">
        <v>0.3321</v>
      </c>
      <c r="L247" s="43" t="n">
        <v>0.6084</v>
      </c>
      <c r="M247" s="43" t="n">
        <v>0.4971</v>
      </c>
      <c r="N247" s="43" t="n">
        <v>0.3977</v>
      </c>
      <c r="O247" s="43" t="n">
        <v>0.3321</v>
      </c>
      <c r="P247" s="26" t="n">
        <v>7</v>
      </c>
      <c r="Q247" s="26" t="n">
        <v>19</v>
      </c>
    </row>
    <row r="248" customFormat="false" ht="15" hidden="false" customHeight="false" outlineLevel="0" collapsed="false">
      <c r="A248" s="8" t="s">
        <v>62</v>
      </c>
      <c r="B248" s="8" t="s">
        <v>354</v>
      </c>
      <c r="C248" s="26" t="n">
        <v>6951</v>
      </c>
      <c r="D248" s="26" t="n">
        <v>3606</v>
      </c>
      <c r="E248" s="39" t="n">
        <v>-696.579</v>
      </c>
      <c r="F248" s="29" t="n">
        <f aca="false">IF(D248=0,"",E248/D248)</f>
        <v>-0.193172212978369</v>
      </c>
      <c r="G248" s="26" t="n">
        <v>3345</v>
      </c>
      <c r="H248" s="39" t="n">
        <v>-87.419</v>
      </c>
      <c r="I248" s="29" t="n">
        <f aca="false">IF(G248=0,"",H248/G248)</f>
        <v>-0.0261342301943199</v>
      </c>
      <c r="J248" s="26" t="n">
        <v>1</v>
      </c>
      <c r="K248" s="43" t="n">
        <v>0.3318</v>
      </c>
      <c r="L248" s="43" t="n">
        <v>0.6083</v>
      </c>
      <c r="M248" s="43" t="n">
        <v>0.4959</v>
      </c>
      <c r="N248" s="43" t="n">
        <v>0.3971</v>
      </c>
      <c r="O248" s="43" t="n">
        <v>0.3318</v>
      </c>
      <c r="P248" s="26" t="n">
        <v>7</v>
      </c>
      <c r="Q248" s="26" t="n">
        <v>19</v>
      </c>
    </row>
    <row r="249" customFormat="false" ht="15" hidden="false" customHeight="false" outlineLevel="0" collapsed="false">
      <c r="A249" s="8" t="s">
        <v>62</v>
      </c>
      <c r="B249" s="8" t="s">
        <v>367</v>
      </c>
      <c r="C249" s="26" t="n">
        <v>6961</v>
      </c>
      <c r="D249" s="26" t="n">
        <v>3610</v>
      </c>
      <c r="E249" s="39" t="n">
        <v>-697.715</v>
      </c>
      <c r="F249" s="29" t="n">
        <f aca="false">IF(D249=0,"",E249/D249)</f>
        <v>-0.193272853185596</v>
      </c>
      <c r="G249" s="26" t="n">
        <v>3351</v>
      </c>
      <c r="H249" s="39" t="n">
        <v>-84.075</v>
      </c>
      <c r="I249" s="29" t="n">
        <f aca="false">IF(G249=0,"",H249/G249)</f>
        <v>-0.0250895255147717</v>
      </c>
      <c r="J249" s="26" t="n">
        <v>1</v>
      </c>
      <c r="K249" s="43" t="n">
        <v>0.333</v>
      </c>
      <c r="L249" s="43" t="n">
        <v>0.608</v>
      </c>
      <c r="M249" s="43" t="n">
        <v>0.4969</v>
      </c>
      <c r="N249" s="43" t="n">
        <v>0.3982</v>
      </c>
      <c r="O249" s="43" t="n">
        <v>0.333</v>
      </c>
      <c r="P249" s="26" t="n">
        <v>7</v>
      </c>
      <c r="Q249" s="26" t="n">
        <v>19</v>
      </c>
    </row>
    <row r="250" customFormat="false" ht="15" hidden="false" customHeight="false" outlineLevel="0" collapsed="false">
      <c r="A250" s="8" t="s">
        <v>62</v>
      </c>
      <c r="B250" s="8" t="s">
        <v>346</v>
      </c>
      <c r="C250" s="26" t="n">
        <v>6972</v>
      </c>
      <c r="D250" s="26" t="n">
        <v>3616</v>
      </c>
      <c r="E250" s="39" t="n">
        <v>-698.989</v>
      </c>
      <c r="F250" s="29" t="n">
        <f aca="false">IF(D250=0,"",E250/D250)</f>
        <v>-0.193304480088496</v>
      </c>
      <c r="G250" s="26" t="n">
        <v>3356</v>
      </c>
      <c r="H250" s="39" t="n">
        <v>-82.88</v>
      </c>
      <c r="I250" s="29" t="n">
        <f aca="false">IF(G250=0,"",H250/G250)</f>
        <v>-0.0246960667461263</v>
      </c>
      <c r="J250" s="26" t="n">
        <v>0</v>
      </c>
      <c r="K250" s="43" t="n">
        <v>0.3319</v>
      </c>
      <c r="L250" s="43" t="n">
        <v>0.6093</v>
      </c>
      <c r="M250" s="43" t="n">
        <v>0.4971</v>
      </c>
      <c r="N250" s="43" t="n">
        <v>0.3979</v>
      </c>
      <c r="O250" s="43" t="n">
        <v>0.3319</v>
      </c>
      <c r="P250" s="26" t="n">
        <v>7</v>
      </c>
      <c r="Q250" s="26" t="n">
        <v>19</v>
      </c>
    </row>
    <row r="251" customFormat="false" ht="15" hidden="false" customHeight="false" outlineLevel="0" collapsed="false">
      <c r="A251" s="8" t="s">
        <v>62</v>
      </c>
      <c r="B251" s="8" t="s">
        <v>345</v>
      </c>
      <c r="C251" s="26" t="n">
        <v>6972</v>
      </c>
      <c r="D251" s="26" t="n">
        <v>3616</v>
      </c>
      <c r="E251" s="39" t="n">
        <v>-698.989</v>
      </c>
      <c r="F251" s="29" t="n">
        <f aca="false">IF(D251=0,"",E251/D251)</f>
        <v>-0.193304480088496</v>
      </c>
      <c r="G251" s="26" t="n">
        <v>3356</v>
      </c>
      <c r="H251" s="39" t="n">
        <v>-82.88</v>
      </c>
      <c r="I251" s="29" t="n">
        <f aca="false">IF(G251=0,"",H251/G251)</f>
        <v>-0.0246960667461263</v>
      </c>
      <c r="J251" s="26" t="n">
        <v>0</v>
      </c>
      <c r="K251" s="43" t="n">
        <v>0.3319</v>
      </c>
      <c r="L251" s="43" t="n">
        <v>0.6093</v>
      </c>
      <c r="M251" s="43" t="n">
        <v>0.4971</v>
      </c>
      <c r="N251" s="43" t="n">
        <v>0.3979</v>
      </c>
      <c r="O251" s="43" t="n">
        <v>0.3319</v>
      </c>
      <c r="P251" s="26" t="n">
        <v>7</v>
      </c>
      <c r="Q251" s="26" t="n">
        <v>19</v>
      </c>
    </row>
    <row r="252" customFormat="false" ht="15" hidden="false" customHeight="false" outlineLevel="0" collapsed="false">
      <c r="A252" s="8" t="s">
        <v>62</v>
      </c>
      <c r="B252" s="8" t="s">
        <v>378</v>
      </c>
      <c r="C252" s="26" t="n">
        <v>7280</v>
      </c>
      <c r="D252" s="26" t="n">
        <v>3797</v>
      </c>
      <c r="E252" s="39" t="n">
        <v>-735.994</v>
      </c>
      <c r="F252" s="29" t="n">
        <f aca="false">IF(D252=0,"",E252/D252)</f>
        <v>-0.193835659731367</v>
      </c>
      <c r="G252" s="26" t="n">
        <v>3483</v>
      </c>
      <c r="H252" s="39" t="n">
        <v>-117.12</v>
      </c>
      <c r="I252" s="29" t="n">
        <f aca="false">IF(G252=0,"",H252/G252)</f>
        <v>-0.0336261843238587</v>
      </c>
      <c r="J252" s="26" t="n">
        <v>1</v>
      </c>
      <c r="K252" s="43" t="n">
        <v>0.4992</v>
      </c>
      <c r="L252" s="43" t="n">
        <v>0.6104</v>
      </c>
      <c r="M252" s="43" t="n">
        <v>0.4992</v>
      </c>
      <c r="N252" s="43" t="n">
        <v>0</v>
      </c>
      <c r="O252" s="43" t="n">
        <v>0</v>
      </c>
      <c r="P252" s="26" t="n">
        <v>11</v>
      </c>
      <c r="Q252" s="26" t="n">
        <v>11</v>
      </c>
    </row>
    <row r="253" customFormat="false" ht="15" hidden="false" customHeight="false" outlineLevel="0" collapsed="false">
      <c r="A253" s="8" t="s">
        <v>62</v>
      </c>
      <c r="B253" s="8" t="s">
        <v>343</v>
      </c>
      <c r="C253" s="26" t="n">
        <v>6959</v>
      </c>
      <c r="D253" s="26" t="n">
        <v>3609</v>
      </c>
      <c r="E253" s="39" t="n">
        <v>-699.606</v>
      </c>
      <c r="F253" s="29" t="n">
        <f aca="false">IF(D253=0,"",E253/D253)</f>
        <v>-0.193850374064838</v>
      </c>
      <c r="G253" s="26" t="n">
        <v>3350</v>
      </c>
      <c r="H253" s="39" t="n">
        <v>-70.977</v>
      </c>
      <c r="I253" s="29" t="n">
        <f aca="false">IF(G253=0,"",H253/G253)</f>
        <v>-0.0211871641791045</v>
      </c>
      <c r="J253" s="26" t="n">
        <v>0</v>
      </c>
      <c r="K253" s="43" t="n">
        <v>0.3325</v>
      </c>
      <c r="L253" s="43" t="n">
        <v>0.6077</v>
      </c>
      <c r="M253" s="43" t="n">
        <v>0.4981</v>
      </c>
      <c r="N253" s="43" t="n">
        <v>0.3982</v>
      </c>
      <c r="O253" s="43" t="n">
        <v>0.3325</v>
      </c>
      <c r="P253" s="26" t="n">
        <v>7</v>
      </c>
      <c r="Q253" s="26" t="n">
        <v>19</v>
      </c>
    </row>
    <row r="254" customFormat="false" ht="15" hidden="false" customHeight="false" outlineLevel="0" collapsed="false">
      <c r="A254" s="8" t="s">
        <v>62</v>
      </c>
      <c r="B254" s="8" t="s">
        <v>307</v>
      </c>
      <c r="C254" s="26" t="n">
        <v>6878</v>
      </c>
      <c r="D254" s="26" t="n">
        <v>3567</v>
      </c>
      <c r="E254" s="39" t="n">
        <v>-692.781</v>
      </c>
      <c r="F254" s="29" t="n">
        <f aca="false">IF(D254=0,"",E254/D254)</f>
        <v>-0.194219512195122</v>
      </c>
      <c r="G254" s="26" t="n">
        <v>3311</v>
      </c>
      <c r="H254" s="39" t="n">
        <v>-69.89</v>
      </c>
      <c r="I254" s="29" t="n">
        <f aca="false">IF(G254=0,"",H254/G254)</f>
        <v>-0.0211084264572637</v>
      </c>
      <c r="J254" s="26" t="n">
        <v>1</v>
      </c>
      <c r="K254" s="43" t="n">
        <v>0.3318</v>
      </c>
      <c r="L254" s="43" t="n">
        <v>0.6077</v>
      </c>
      <c r="M254" s="43" t="n">
        <v>0.4965</v>
      </c>
      <c r="N254" s="43" t="n">
        <v>0.3982</v>
      </c>
      <c r="O254" s="43" t="n">
        <v>0.3318</v>
      </c>
      <c r="P254" s="26" t="n">
        <v>7</v>
      </c>
      <c r="Q254" s="26" t="n">
        <v>19</v>
      </c>
    </row>
    <row r="255" customFormat="false" ht="15" hidden="false" customHeight="false" outlineLevel="0" collapsed="false">
      <c r="A255" s="8" t="s">
        <v>62</v>
      </c>
      <c r="B255" s="8" t="s">
        <v>264</v>
      </c>
      <c r="C255" s="26" t="n">
        <v>8376</v>
      </c>
      <c r="D255" s="26" t="n">
        <v>4289</v>
      </c>
      <c r="E255" s="39" t="n">
        <v>-833.37</v>
      </c>
      <c r="F255" s="29" t="n">
        <f aca="false">IF(D255=0,"",E255/D255)</f>
        <v>-0.19430403357426</v>
      </c>
      <c r="G255" s="26" t="n">
        <v>4087</v>
      </c>
      <c r="H255" s="39" t="n">
        <v>-72.478</v>
      </c>
      <c r="I255" s="29" t="n">
        <f aca="false">IF(G255=0,"",H255/G255)</f>
        <v>-0.0177337900660631</v>
      </c>
      <c r="J255" s="26" t="n">
        <v>0</v>
      </c>
      <c r="K255" s="43" t="n">
        <v>0.328</v>
      </c>
      <c r="L255" s="43" t="n">
        <v>0.6076</v>
      </c>
      <c r="M255" s="43" t="n">
        <v>0.4932</v>
      </c>
      <c r="N255" s="43" t="n">
        <v>0.3943</v>
      </c>
      <c r="O255" s="43" t="n">
        <v>0.328</v>
      </c>
      <c r="P255" s="26" t="n">
        <v>8</v>
      </c>
      <c r="Q255" s="26" t="n">
        <v>20</v>
      </c>
    </row>
    <row r="256" customFormat="false" ht="15" hidden="false" customHeight="false" outlineLevel="0" collapsed="false">
      <c r="A256" s="8" t="s">
        <v>62</v>
      </c>
      <c r="B256" s="8" t="s">
        <v>329</v>
      </c>
      <c r="C256" s="26" t="n">
        <v>6907</v>
      </c>
      <c r="D256" s="26" t="n">
        <v>3584</v>
      </c>
      <c r="E256" s="39" t="n">
        <v>-698.363</v>
      </c>
      <c r="F256" s="29" t="n">
        <f aca="false">IF(D256=0,"",E256/D256)</f>
        <v>-0.194855747767857</v>
      </c>
      <c r="G256" s="26" t="n">
        <v>3323</v>
      </c>
      <c r="H256" s="39" t="n">
        <v>-78.883</v>
      </c>
      <c r="I256" s="29" t="n">
        <f aca="false">IF(G256=0,"",H256/G256)</f>
        <v>-0.0237384893168823</v>
      </c>
      <c r="J256" s="26" t="n">
        <v>1</v>
      </c>
      <c r="K256" s="43" t="n">
        <v>0.3315</v>
      </c>
      <c r="L256" s="43" t="n">
        <v>0.6081</v>
      </c>
      <c r="M256" s="43" t="n">
        <v>0.4963</v>
      </c>
      <c r="N256" s="43" t="n">
        <v>0.3984</v>
      </c>
      <c r="O256" s="43" t="n">
        <v>0.3315</v>
      </c>
      <c r="P256" s="26" t="n">
        <v>7</v>
      </c>
      <c r="Q256" s="26" t="n">
        <v>19</v>
      </c>
    </row>
    <row r="257" customFormat="false" ht="15" hidden="false" customHeight="false" outlineLevel="0" collapsed="false">
      <c r="A257" s="8" t="s">
        <v>62</v>
      </c>
      <c r="B257" s="8" t="s">
        <v>357</v>
      </c>
      <c r="C257" s="26" t="n">
        <v>6950</v>
      </c>
      <c r="D257" s="26" t="n">
        <v>3613</v>
      </c>
      <c r="E257" s="39" t="n">
        <v>-704.267</v>
      </c>
      <c r="F257" s="29" t="n">
        <f aca="false">IF(D257=0,"",E257/D257)</f>
        <v>-0.194925823415444</v>
      </c>
      <c r="G257" s="26" t="n">
        <v>3337</v>
      </c>
      <c r="H257" s="39" t="n">
        <v>-88.439</v>
      </c>
      <c r="I257" s="29" t="n">
        <f aca="false">IF(G257=0,"",H257/G257)</f>
        <v>-0.0265025471980821</v>
      </c>
      <c r="J257" s="26" t="n">
        <v>0</v>
      </c>
      <c r="K257" s="43" t="n">
        <v>0.3317</v>
      </c>
      <c r="L257" s="43" t="n">
        <v>0.6089</v>
      </c>
      <c r="M257" s="43" t="n">
        <v>0.4977</v>
      </c>
      <c r="N257" s="43" t="n">
        <v>0.3978</v>
      </c>
      <c r="O257" s="43" t="n">
        <v>0.3317</v>
      </c>
      <c r="P257" s="26" t="n">
        <v>7</v>
      </c>
      <c r="Q257" s="26" t="n">
        <v>19</v>
      </c>
    </row>
    <row r="258" customFormat="false" ht="15" hidden="false" customHeight="false" outlineLevel="0" collapsed="false">
      <c r="A258" s="8" t="s">
        <v>62</v>
      </c>
      <c r="B258" s="8" t="s">
        <v>328</v>
      </c>
      <c r="C258" s="26" t="n">
        <v>7156</v>
      </c>
      <c r="D258" s="26" t="n">
        <v>3729</v>
      </c>
      <c r="E258" s="39" t="n">
        <v>-727.193</v>
      </c>
      <c r="F258" s="29" t="n">
        <f aca="false">IF(D258=0,"",E258/D258)</f>
        <v>-0.195010190399571</v>
      </c>
      <c r="G258" s="26" t="n">
        <v>3427</v>
      </c>
      <c r="H258" s="39" t="n">
        <v>-52.192</v>
      </c>
      <c r="I258" s="29" t="n">
        <f aca="false">IF(G258=0,"",H258/G258)</f>
        <v>-0.0152296469215057</v>
      </c>
      <c r="J258" s="26" t="n">
        <v>1</v>
      </c>
      <c r="K258" s="43" t="n">
        <v>0.2521</v>
      </c>
      <c r="L258" s="43" t="n">
        <v>0.6118</v>
      </c>
      <c r="M258" s="43" t="n">
        <v>0.4987</v>
      </c>
      <c r="N258" s="43" t="n">
        <v>0.3338</v>
      </c>
      <c r="O258" s="43" t="n">
        <v>0.2521</v>
      </c>
      <c r="P258" s="26" t="n">
        <v>7</v>
      </c>
      <c r="Q258" s="26" t="n">
        <v>11</v>
      </c>
    </row>
    <row r="259" customFormat="false" ht="15" hidden="false" customHeight="false" outlineLevel="0" collapsed="false">
      <c r="A259" s="8" t="s">
        <v>62</v>
      </c>
      <c r="B259" s="8" t="s">
        <v>356</v>
      </c>
      <c r="C259" s="26" t="n">
        <v>7047</v>
      </c>
      <c r="D259" s="26" t="n">
        <v>3648</v>
      </c>
      <c r="E259" s="39" t="n">
        <v>-712.366</v>
      </c>
      <c r="F259" s="29" t="n">
        <f aca="false">IF(D259=0,"",E259/D259)</f>
        <v>-0.19527576754386</v>
      </c>
      <c r="G259" s="26" t="n">
        <v>3399</v>
      </c>
      <c r="H259" s="39" t="n">
        <v>-54.987</v>
      </c>
      <c r="I259" s="29" t="n">
        <f aca="false">IF(G259=0,"",H259/G259)</f>
        <v>-0.0161774051191527</v>
      </c>
      <c r="J259" s="26" t="n">
        <v>1</v>
      </c>
      <c r="K259" s="43" t="n">
        <v>0.3332</v>
      </c>
      <c r="L259" s="43" t="n">
        <v>0.6075</v>
      </c>
      <c r="M259" s="43" t="n">
        <v>0.4955</v>
      </c>
      <c r="N259" s="43" t="n">
        <v>0.3988</v>
      </c>
      <c r="O259" s="43" t="n">
        <v>0.3332</v>
      </c>
      <c r="P259" s="26" t="n">
        <v>9</v>
      </c>
      <c r="Q259" s="26" t="n">
        <v>19</v>
      </c>
    </row>
    <row r="260" customFormat="false" ht="15" hidden="false" customHeight="false" outlineLevel="0" collapsed="false">
      <c r="A260" s="8" t="s">
        <v>62</v>
      </c>
      <c r="B260" s="8" t="s">
        <v>298</v>
      </c>
      <c r="C260" s="26" t="n">
        <v>6311</v>
      </c>
      <c r="D260" s="26" t="n">
        <v>3242</v>
      </c>
      <c r="E260" s="39" t="n">
        <v>-634.755</v>
      </c>
      <c r="F260" s="29" t="n">
        <f aca="false">IF(D260=0,"",E260/D260)</f>
        <v>-0.195791178285009</v>
      </c>
      <c r="G260" s="26" t="n">
        <v>3069</v>
      </c>
      <c r="H260" s="39" t="n">
        <v>-18.964</v>
      </c>
      <c r="I260" s="29" t="n">
        <f aca="false">IF(G260=0,"",H260/G260)</f>
        <v>-0.00617921146953405</v>
      </c>
      <c r="J260" s="26" t="n">
        <v>2</v>
      </c>
      <c r="K260" s="43" t="n">
        <v>0.2492</v>
      </c>
      <c r="L260" s="43" t="n">
        <v>0.6143</v>
      </c>
      <c r="M260" s="43" t="n">
        <v>0.4999</v>
      </c>
      <c r="N260" s="43" t="n">
        <v>0.4006</v>
      </c>
      <c r="O260" s="43" t="n">
        <v>0.2492</v>
      </c>
      <c r="P260" s="26" t="n">
        <v>5</v>
      </c>
      <c r="Q260" s="26" t="n">
        <v>28</v>
      </c>
    </row>
    <row r="261" customFormat="false" ht="15" hidden="false" customHeight="false" outlineLevel="0" collapsed="false">
      <c r="A261" s="8" t="s">
        <v>62</v>
      </c>
      <c r="B261" s="8" t="s">
        <v>344</v>
      </c>
      <c r="C261" s="26" t="n">
        <v>6932</v>
      </c>
      <c r="D261" s="26" t="n">
        <v>3597</v>
      </c>
      <c r="E261" s="39" t="n">
        <v>-704.293</v>
      </c>
      <c r="F261" s="29" t="n">
        <f aca="false">IF(D261=0,"",E261/D261)</f>
        <v>-0.195800111203781</v>
      </c>
      <c r="G261" s="26" t="n">
        <v>3335</v>
      </c>
      <c r="H261" s="39" t="n">
        <v>-102.354</v>
      </c>
      <c r="I261" s="29" t="n">
        <f aca="false">IF(G261=0,"",H261/G261)</f>
        <v>-0.0306908545727136</v>
      </c>
      <c r="J261" s="26" t="n">
        <v>0</v>
      </c>
      <c r="K261" s="43" t="n">
        <v>0.3304</v>
      </c>
      <c r="L261" s="43" t="n">
        <v>0.6066</v>
      </c>
      <c r="M261" s="43" t="n">
        <v>0.4944</v>
      </c>
      <c r="N261" s="43" t="n">
        <v>0.3957</v>
      </c>
      <c r="O261" s="43" t="n">
        <v>0.3304</v>
      </c>
      <c r="P261" s="26" t="n">
        <v>5</v>
      </c>
      <c r="Q261" s="26" t="n">
        <v>18</v>
      </c>
    </row>
    <row r="262" customFormat="false" ht="15" hidden="false" customHeight="false" outlineLevel="0" collapsed="false">
      <c r="A262" s="8" t="s">
        <v>62</v>
      </c>
      <c r="B262" s="8" t="s">
        <v>318</v>
      </c>
      <c r="C262" s="26" t="n">
        <v>7022</v>
      </c>
      <c r="D262" s="26" t="n">
        <v>3636</v>
      </c>
      <c r="E262" s="39" t="n">
        <v>-712.298</v>
      </c>
      <c r="F262" s="29" t="n">
        <f aca="false">IF(D262=0,"",E262/D262)</f>
        <v>-0.195901540154015</v>
      </c>
      <c r="G262" s="26" t="n">
        <v>3386</v>
      </c>
      <c r="H262" s="39" t="n">
        <v>-80.454</v>
      </c>
      <c r="I262" s="29" t="n">
        <f aca="false">IF(G262=0,"",H262/G262)</f>
        <v>-0.0237607796810396</v>
      </c>
      <c r="J262" s="26" t="n">
        <v>0</v>
      </c>
      <c r="K262" s="43" t="n">
        <v>0.3321</v>
      </c>
      <c r="L262" s="43" t="n">
        <v>0.6067</v>
      </c>
      <c r="M262" s="43" t="n">
        <v>0.4943</v>
      </c>
      <c r="N262" s="43" t="n">
        <v>0.3972</v>
      </c>
      <c r="O262" s="43" t="n">
        <v>0.3321</v>
      </c>
      <c r="P262" s="26" t="n">
        <v>7</v>
      </c>
      <c r="Q262" s="26" t="n">
        <v>19</v>
      </c>
    </row>
    <row r="263" customFormat="false" ht="15" hidden="false" customHeight="false" outlineLevel="0" collapsed="false">
      <c r="A263" s="8" t="s">
        <v>62</v>
      </c>
      <c r="B263" s="8" t="s">
        <v>269</v>
      </c>
      <c r="C263" s="26" t="n">
        <v>2408</v>
      </c>
      <c r="D263" s="26" t="n">
        <v>1221</v>
      </c>
      <c r="E263" s="39" t="n">
        <v>-239.425</v>
      </c>
      <c r="F263" s="29" t="n">
        <f aca="false">IF(D263=0,"",E263/D263)</f>
        <v>-0.196089271089271</v>
      </c>
      <c r="G263" s="26" t="n">
        <v>1187</v>
      </c>
      <c r="H263" s="39" t="n">
        <v>-16.181</v>
      </c>
      <c r="I263" s="29" t="n">
        <f aca="false">IF(G263=0,"",H263/G263)</f>
        <v>-0.0136318449873631</v>
      </c>
      <c r="J263" s="26" t="n">
        <v>1</v>
      </c>
      <c r="K263" s="43" t="n">
        <v>0.3297</v>
      </c>
      <c r="L263" s="43" t="n">
        <v>0.6175</v>
      </c>
      <c r="M263" s="43" t="n">
        <v>0.5</v>
      </c>
      <c r="N263" s="43" t="n">
        <v>0.3937</v>
      </c>
      <c r="O263" s="43" t="n">
        <v>0.3297</v>
      </c>
      <c r="P263" s="26" t="n">
        <v>7</v>
      </c>
      <c r="Q263" s="26" t="n">
        <v>17</v>
      </c>
    </row>
    <row r="264" customFormat="false" ht="15" hidden="false" customHeight="false" outlineLevel="0" collapsed="false">
      <c r="A264" s="8" t="s">
        <v>62</v>
      </c>
      <c r="B264" s="8" t="s">
        <v>351</v>
      </c>
      <c r="C264" s="26" t="n">
        <v>6936</v>
      </c>
      <c r="D264" s="26" t="n">
        <v>3602</v>
      </c>
      <c r="E264" s="39" t="n">
        <v>-707.67</v>
      </c>
      <c r="F264" s="29" t="n">
        <f aca="false">IF(D264=0,"",E264/D264)</f>
        <v>-0.196465852304275</v>
      </c>
      <c r="G264" s="26" t="n">
        <v>3334</v>
      </c>
      <c r="H264" s="39" t="n">
        <v>-87.569</v>
      </c>
      <c r="I264" s="29" t="n">
        <f aca="false">IF(G264=0,"",H264/G264)</f>
        <v>-0.0262654469106179</v>
      </c>
      <c r="J264" s="26" t="n">
        <v>0</v>
      </c>
      <c r="K264" s="43" t="n">
        <v>0.3309</v>
      </c>
      <c r="L264" s="43" t="n">
        <v>0.6052</v>
      </c>
      <c r="M264" s="43" t="n">
        <v>0.4941</v>
      </c>
      <c r="N264" s="43" t="n">
        <v>0.3959</v>
      </c>
      <c r="O264" s="43" t="n">
        <v>0.3309</v>
      </c>
      <c r="P264" s="26" t="n">
        <v>7</v>
      </c>
      <c r="Q264" s="26" t="n">
        <v>18</v>
      </c>
    </row>
    <row r="265" customFormat="false" ht="15" hidden="false" customHeight="false" outlineLevel="0" collapsed="false">
      <c r="A265" s="8" t="s">
        <v>62</v>
      </c>
      <c r="B265" s="8" t="s">
        <v>360</v>
      </c>
      <c r="C265" s="26" t="n">
        <v>7061</v>
      </c>
      <c r="D265" s="26" t="n">
        <v>3665</v>
      </c>
      <c r="E265" s="39" t="n">
        <v>-720.311</v>
      </c>
      <c r="F265" s="29" t="n">
        <f aca="false">IF(D265=0,"",E265/D265)</f>
        <v>-0.196537789904502</v>
      </c>
      <c r="G265" s="26" t="n">
        <v>3396</v>
      </c>
      <c r="H265" s="39" t="n">
        <v>-68.986</v>
      </c>
      <c r="I265" s="29" t="n">
        <f aca="false">IF(G265=0,"",H265/G265)</f>
        <v>-0.0203138987043581</v>
      </c>
      <c r="J265" s="26" t="n">
        <v>0</v>
      </c>
      <c r="K265" s="43" t="n">
        <v>0.3328</v>
      </c>
      <c r="L265" s="43" t="n">
        <v>0.6137</v>
      </c>
      <c r="M265" s="43" t="n">
        <v>0.4965</v>
      </c>
      <c r="N265" s="43" t="n">
        <v>0.3995</v>
      </c>
      <c r="O265" s="43" t="n">
        <v>0.3328</v>
      </c>
      <c r="P265" s="26" t="n">
        <v>8</v>
      </c>
      <c r="Q265" s="26" t="n">
        <v>17</v>
      </c>
    </row>
    <row r="266" customFormat="false" ht="15" hidden="false" customHeight="false" outlineLevel="0" collapsed="false">
      <c r="A266" s="8" t="s">
        <v>62</v>
      </c>
      <c r="B266" s="8" t="s">
        <v>304</v>
      </c>
      <c r="C266" s="26" t="n">
        <v>7096</v>
      </c>
      <c r="D266" s="26" t="n">
        <v>3691</v>
      </c>
      <c r="E266" s="39" t="n">
        <v>-725.743</v>
      </c>
      <c r="F266" s="29" t="n">
        <f aca="false">IF(D266=0,"",E266/D266)</f>
        <v>-0.196625033866161</v>
      </c>
      <c r="G266" s="26" t="n">
        <v>3405</v>
      </c>
      <c r="H266" s="39" t="n">
        <v>-91.759</v>
      </c>
      <c r="I266" s="29" t="n">
        <f aca="false">IF(G266=0,"",H266/G266)</f>
        <v>-0.0269483113069016</v>
      </c>
      <c r="J266" s="26" t="n">
        <v>0</v>
      </c>
      <c r="K266" s="43" t="n">
        <v>0.3313</v>
      </c>
      <c r="L266" s="43" t="n">
        <v>0.6071</v>
      </c>
      <c r="M266" s="43" t="n">
        <v>0.4956</v>
      </c>
      <c r="N266" s="43" t="n">
        <v>0.3975</v>
      </c>
      <c r="O266" s="43" t="n">
        <v>0.3313</v>
      </c>
      <c r="P266" s="26" t="n">
        <v>7</v>
      </c>
      <c r="Q266" s="26" t="n">
        <v>19</v>
      </c>
    </row>
    <row r="267" customFormat="false" ht="15" hidden="false" customHeight="false" outlineLevel="0" collapsed="false">
      <c r="A267" s="8" t="s">
        <v>62</v>
      </c>
      <c r="B267" s="8" t="s">
        <v>361</v>
      </c>
      <c r="C267" s="26" t="n">
        <v>7046</v>
      </c>
      <c r="D267" s="26" t="n">
        <v>3656</v>
      </c>
      <c r="E267" s="39" t="n">
        <v>-719.73</v>
      </c>
      <c r="F267" s="29" t="n">
        <f aca="false">IF(D267=0,"",E267/D267)</f>
        <v>-0.196862691466083</v>
      </c>
      <c r="G267" s="26" t="n">
        <v>3390</v>
      </c>
      <c r="H267" s="39" t="n">
        <v>-87.078</v>
      </c>
      <c r="I267" s="29" t="n">
        <f aca="false">IF(G267=0,"",H267/G267)</f>
        <v>-0.0256867256637168</v>
      </c>
      <c r="J267" s="26" t="n">
        <v>0</v>
      </c>
      <c r="K267" s="43" t="n">
        <v>0.3314</v>
      </c>
      <c r="L267" s="43" t="n">
        <v>0.6045</v>
      </c>
      <c r="M267" s="43" t="n">
        <v>0.4939</v>
      </c>
      <c r="N267" s="43" t="n">
        <v>0.3951</v>
      </c>
      <c r="O267" s="43" t="n">
        <v>0.3314</v>
      </c>
      <c r="P267" s="26" t="n">
        <v>7</v>
      </c>
      <c r="Q267" s="26" t="n">
        <v>19</v>
      </c>
    </row>
    <row r="268" customFormat="false" ht="15" hidden="false" customHeight="false" outlineLevel="0" collapsed="false">
      <c r="A268" s="8" t="s">
        <v>62</v>
      </c>
      <c r="B268" s="8" t="s">
        <v>337</v>
      </c>
      <c r="C268" s="26" t="n">
        <v>7063</v>
      </c>
      <c r="D268" s="26" t="n">
        <v>3673</v>
      </c>
      <c r="E268" s="39" t="n">
        <v>-723.959</v>
      </c>
      <c r="F268" s="29" t="n">
        <f aca="false">IF(D268=0,"",E268/D268)</f>
        <v>-0.197102913150014</v>
      </c>
      <c r="G268" s="26" t="n">
        <v>3390</v>
      </c>
      <c r="H268" s="39" t="n">
        <v>-98.194</v>
      </c>
      <c r="I268" s="29" t="n">
        <f aca="false">IF(G268=0,"",H268/G268)</f>
        <v>-0.0289657817109145</v>
      </c>
      <c r="J268" s="26" t="n">
        <v>0</v>
      </c>
      <c r="K268" s="43" t="n">
        <v>0.3312</v>
      </c>
      <c r="L268" s="43" t="n">
        <v>0.608</v>
      </c>
      <c r="M268" s="43" t="n">
        <v>0.4964</v>
      </c>
      <c r="N268" s="43" t="n">
        <v>0.3973</v>
      </c>
      <c r="O268" s="43" t="n">
        <v>0.3312</v>
      </c>
      <c r="P268" s="26" t="n">
        <v>9</v>
      </c>
      <c r="Q268" s="26" t="n">
        <v>18</v>
      </c>
    </row>
    <row r="269" customFormat="false" ht="15" hidden="false" customHeight="false" outlineLevel="0" collapsed="false">
      <c r="A269" s="8" t="s">
        <v>62</v>
      </c>
      <c r="B269" s="8" t="s">
        <v>292</v>
      </c>
      <c r="C269" s="26" t="n">
        <v>6660</v>
      </c>
      <c r="D269" s="26" t="n">
        <v>3451</v>
      </c>
      <c r="E269" s="39" t="n">
        <v>-680.284</v>
      </c>
      <c r="F269" s="29" t="n">
        <f aca="false">IF(D269=0,"",E269/D269)</f>
        <v>-0.19712662996233</v>
      </c>
      <c r="G269" s="26" t="n">
        <v>3209</v>
      </c>
      <c r="H269" s="39" t="n">
        <v>-54.319</v>
      </c>
      <c r="I269" s="29" t="n">
        <f aca="false">IF(G269=0,"",H269/G269)</f>
        <v>-0.0169270800872546</v>
      </c>
      <c r="J269" s="26" t="n">
        <v>1</v>
      </c>
      <c r="K269" s="43" t="n">
        <v>0.3309</v>
      </c>
      <c r="L269" s="43" t="n">
        <v>0.6023</v>
      </c>
      <c r="M269" s="43" t="n">
        <v>0.4923</v>
      </c>
      <c r="N269" s="43" t="n">
        <v>0.3934</v>
      </c>
      <c r="O269" s="43" t="n">
        <v>0.3309</v>
      </c>
      <c r="P269" s="26" t="n">
        <v>6</v>
      </c>
      <c r="Q269" s="26" t="n">
        <v>23</v>
      </c>
    </row>
    <row r="270" customFormat="false" ht="15" hidden="false" customHeight="false" outlineLevel="0" collapsed="false">
      <c r="A270" s="8" t="s">
        <v>62</v>
      </c>
      <c r="B270" s="8" t="s">
        <v>353</v>
      </c>
      <c r="C270" s="26" t="n">
        <v>7005</v>
      </c>
      <c r="D270" s="26" t="n">
        <v>3626</v>
      </c>
      <c r="E270" s="39" t="n">
        <v>-716.505</v>
      </c>
      <c r="F270" s="29" t="n">
        <f aca="false">IF(D270=0,"",E270/D270)</f>
        <v>-0.197602040816327</v>
      </c>
      <c r="G270" s="26" t="n">
        <v>3379</v>
      </c>
      <c r="H270" s="39" t="n">
        <v>-153.155</v>
      </c>
      <c r="I270" s="29" t="n">
        <f aca="false">IF(G270=0,"",H270/G270)</f>
        <v>-0.0453255401006215</v>
      </c>
      <c r="J270" s="26" t="n">
        <v>0</v>
      </c>
      <c r="K270" s="43" t="n">
        <v>0.3278</v>
      </c>
      <c r="L270" s="43" t="n">
        <v>0.6036</v>
      </c>
      <c r="M270" s="43" t="n">
        <v>0.4925</v>
      </c>
      <c r="N270" s="43" t="n">
        <v>0.3949</v>
      </c>
      <c r="O270" s="43" t="n">
        <v>0.3278</v>
      </c>
      <c r="P270" s="26" t="n">
        <v>7</v>
      </c>
      <c r="Q270" s="26" t="n">
        <v>19</v>
      </c>
    </row>
    <row r="271" customFormat="false" ht="15" hidden="false" customHeight="false" outlineLevel="0" collapsed="false">
      <c r="A271" s="8" t="s">
        <v>62</v>
      </c>
      <c r="B271" s="8" t="s">
        <v>287</v>
      </c>
      <c r="C271" s="26" t="n">
        <v>6533</v>
      </c>
      <c r="D271" s="26" t="n">
        <v>3408</v>
      </c>
      <c r="E271" s="39" t="n">
        <v>-673.842</v>
      </c>
      <c r="F271" s="29" t="n">
        <f aca="false">IF(D271=0,"",E271/D271)</f>
        <v>-0.197723591549296</v>
      </c>
      <c r="G271" s="26" t="n">
        <v>3125</v>
      </c>
      <c r="H271" s="39" t="n">
        <v>-34.661</v>
      </c>
      <c r="I271" s="29" t="n">
        <f aca="false">IF(G271=0,"",H271/G271)</f>
        <v>-0.01109152</v>
      </c>
      <c r="J271" s="26" t="n">
        <v>2</v>
      </c>
      <c r="K271" s="43" t="n">
        <v>0.3325</v>
      </c>
      <c r="L271" s="43" t="n">
        <v>0.6077</v>
      </c>
      <c r="M271" s="43" t="n">
        <v>0.4984</v>
      </c>
      <c r="N271" s="43" t="n">
        <v>0.4006</v>
      </c>
      <c r="O271" s="43" t="n">
        <v>0.3325</v>
      </c>
      <c r="P271" s="26" t="n">
        <v>6</v>
      </c>
      <c r="Q271" s="26" t="n">
        <v>24</v>
      </c>
    </row>
    <row r="272" customFormat="false" ht="15" hidden="false" customHeight="false" outlineLevel="0" collapsed="false">
      <c r="A272" s="8" t="s">
        <v>62</v>
      </c>
      <c r="B272" s="8" t="s">
        <v>364</v>
      </c>
      <c r="C272" s="26" t="n">
        <v>7012</v>
      </c>
      <c r="D272" s="26" t="n">
        <v>3662</v>
      </c>
      <c r="E272" s="39" t="n">
        <v>-725.034</v>
      </c>
      <c r="F272" s="29" t="n">
        <f aca="false">IF(D272=0,"",E272/D272)</f>
        <v>-0.197988530857455</v>
      </c>
      <c r="G272" s="26" t="n">
        <v>3350</v>
      </c>
      <c r="H272" s="39" t="n">
        <v>-130.495</v>
      </c>
      <c r="I272" s="29" t="n">
        <f aca="false">IF(G272=0,"",H272/G272)</f>
        <v>-0.0389537313432836</v>
      </c>
      <c r="J272" s="26" t="n">
        <v>0</v>
      </c>
      <c r="K272" s="43" t="n">
        <v>0.3289</v>
      </c>
      <c r="L272" s="43" t="n">
        <v>0.6052</v>
      </c>
      <c r="M272" s="43" t="n">
        <v>0.496</v>
      </c>
      <c r="N272" s="43" t="n">
        <v>0.3966</v>
      </c>
      <c r="O272" s="43" t="n">
        <v>0.3289</v>
      </c>
      <c r="P272" s="26" t="n">
        <v>7</v>
      </c>
      <c r="Q272" s="26" t="n">
        <v>16</v>
      </c>
    </row>
    <row r="273" customFormat="false" ht="15" hidden="false" customHeight="false" outlineLevel="0" collapsed="false">
      <c r="A273" s="8" t="s">
        <v>62</v>
      </c>
      <c r="B273" s="8" t="s">
        <v>326</v>
      </c>
      <c r="C273" s="26" t="n">
        <v>7246</v>
      </c>
      <c r="D273" s="26" t="n">
        <v>3779</v>
      </c>
      <c r="E273" s="39" t="n">
        <v>-748.557</v>
      </c>
      <c r="F273" s="29" t="n">
        <f aca="false">IF(D273=0,"",E273/D273)</f>
        <v>-0.198083355385023</v>
      </c>
      <c r="G273" s="26" t="n">
        <v>3467</v>
      </c>
      <c r="H273" s="39" t="n">
        <v>-60.552</v>
      </c>
      <c r="I273" s="29" t="n">
        <f aca="false">IF(G273=0,"",H273/G273)</f>
        <v>-0.0174652437265648</v>
      </c>
      <c r="J273" s="26" t="n">
        <v>1</v>
      </c>
      <c r="K273" s="43" t="n">
        <v>0.1951</v>
      </c>
      <c r="L273" s="43" t="n">
        <v>0.6128</v>
      </c>
      <c r="M273" s="43" t="n">
        <v>0.3842</v>
      </c>
      <c r="N273" s="43" t="n">
        <v>0.2563</v>
      </c>
      <c r="O273" s="43" t="n">
        <v>0.1951</v>
      </c>
      <c r="P273" s="26" t="n">
        <v>5</v>
      </c>
      <c r="Q273" s="26" t="n">
        <v>11</v>
      </c>
    </row>
    <row r="274" customFormat="false" ht="15" hidden="false" customHeight="false" outlineLevel="0" collapsed="false">
      <c r="A274" s="8" t="s">
        <v>62</v>
      </c>
      <c r="B274" s="8" t="s">
        <v>293</v>
      </c>
      <c r="C274" s="26" t="n">
        <v>5355</v>
      </c>
      <c r="D274" s="26" t="n">
        <v>2832</v>
      </c>
      <c r="E274" s="39" t="n">
        <v>-563.307</v>
      </c>
      <c r="F274" s="29" t="n">
        <f aca="false">IF(D274=0,"",E274/D274)</f>
        <v>-0.198907838983051</v>
      </c>
      <c r="G274" s="26" t="n">
        <v>2523</v>
      </c>
      <c r="H274" s="39" t="n">
        <v>-83.288</v>
      </c>
      <c r="I274" s="29" t="n">
        <f aca="false">IF(G274=0,"",H274/G274)</f>
        <v>-0.0330114942528736</v>
      </c>
      <c r="J274" s="26" t="n">
        <v>1</v>
      </c>
      <c r="K274" s="43" t="n">
        <v>0.3307</v>
      </c>
      <c r="L274" s="43" t="n">
        <v>0.6041</v>
      </c>
      <c r="M274" s="43" t="n">
        <v>0.4932</v>
      </c>
      <c r="N274" s="43" t="n">
        <v>0.3974</v>
      </c>
      <c r="O274" s="43" t="n">
        <v>0.3307</v>
      </c>
      <c r="P274" s="26" t="n">
        <v>5</v>
      </c>
      <c r="Q274" s="26" t="n">
        <v>18</v>
      </c>
    </row>
    <row r="275" customFormat="false" ht="15" hidden="false" customHeight="false" outlineLevel="0" collapsed="false">
      <c r="A275" s="8" t="s">
        <v>62</v>
      </c>
      <c r="B275" s="8" t="s">
        <v>365</v>
      </c>
      <c r="C275" s="26" t="n">
        <v>7196</v>
      </c>
      <c r="D275" s="26" t="n">
        <v>3742</v>
      </c>
      <c r="E275" s="39" t="n">
        <v>-745.425</v>
      </c>
      <c r="F275" s="29" t="n">
        <f aca="false">IF(D275=0,"",E275/D275)</f>
        <v>-0.199204970603955</v>
      </c>
      <c r="G275" s="26" t="n">
        <v>3454</v>
      </c>
      <c r="H275" s="39" t="n">
        <v>-32.985</v>
      </c>
      <c r="I275" s="29" t="n">
        <f aca="false">IF(G275=0,"",H275/G275)</f>
        <v>-0.00954979733642154</v>
      </c>
      <c r="J275" s="26" t="n">
        <v>1</v>
      </c>
      <c r="K275" s="43" t="n">
        <v>0.3341</v>
      </c>
      <c r="L275" s="43" t="n">
        <v>0.6131</v>
      </c>
      <c r="M275" s="43" t="n">
        <v>0.5025</v>
      </c>
      <c r="N275" s="43" t="n">
        <v>0.403</v>
      </c>
      <c r="O275" s="43" t="n">
        <v>0.3341</v>
      </c>
      <c r="P275" s="26" t="n">
        <v>8</v>
      </c>
      <c r="Q275" s="26" t="n">
        <v>26</v>
      </c>
    </row>
    <row r="276" customFormat="false" ht="15" hidden="false" customHeight="false" outlineLevel="0" collapsed="false">
      <c r="A276" s="8" t="s">
        <v>62</v>
      </c>
      <c r="B276" s="8" t="s">
        <v>296</v>
      </c>
      <c r="C276" s="26" t="n">
        <v>6821</v>
      </c>
      <c r="D276" s="26" t="n">
        <v>3561</v>
      </c>
      <c r="E276" s="39" t="n">
        <v>-713.01</v>
      </c>
      <c r="F276" s="29" t="n">
        <f aca="false">IF(D276=0,"",E276/D276)</f>
        <v>-0.200227464195451</v>
      </c>
      <c r="G276" s="26" t="n">
        <v>3260</v>
      </c>
      <c r="H276" s="39" t="n">
        <v>68.11</v>
      </c>
      <c r="I276" s="29" t="n">
        <f aca="false">IF(G276=0,"",H276/G276)</f>
        <v>0.0208926380368098</v>
      </c>
      <c r="J276" s="26" t="n">
        <v>2</v>
      </c>
      <c r="K276" s="43" t="n">
        <v>0.3368</v>
      </c>
      <c r="L276" s="43" t="n">
        <v>0.6147</v>
      </c>
      <c r="M276" s="43" t="n">
        <v>0.5004</v>
      </c>
      <c r="N276" s="43" t="n">
        <v>0.4017</v>
      </c>
      <c r="O276" s="43" t="n">
        <v>0.3368</v>
      </c>
      <c r="P276" s="26" t="n">
        <v>7</v>
      </c>
      <c r="Q276" s="26" t="n">
        <v>17</v>
      </c>
    </row>
    <row r="277" customFormat="false" ht="15" hidden="false" customHeight="false" outlineLevel="0" collapsed="false">
      <c r="A277" s="8" t="s">
        <v>62</v>
      </c>
      <c r="B277" s="8" t="s">
        <v>282</v>
      </c>
      <c r="C277" s="26" t="n">
        <v>3922</v>
      </c>
      <c r="D277" s="26" t="n">
        <v>2005</v>
      </c>
      <c r="E277" s="39" t="n">
        <v>-401.719</v>
      </c>
      <c r="F277" s="29" t="n">
        <f aca="false">IF(D277=0,"",E277/D277)</f>
        <v>-0.200358603491272</v>
      </c>
      <c r="G277" s="26" t="n">
        <v>1917</v>
      </c>
      <c r="H277" s="39" t="n">
        <v>-76.213</v>
      </c>
      <c r="I277" s="29" t="n">
        <f aca="false">IF(G277=0,"",H277/G277)</f>
        <v>-0.0397563901930099</v>
      </c>
      <c r="J277" s="26" t="n">
        <v>0</v>
      </c>
      <c r="K277" s="43" t="n">
        <v>0.3261</v>
      </c>
      <c r="L277" s="43" t="n">
        <v>0.6084</v>
      </c>
      <c r="M277" s="43" t="n">
        <v>0.4959</v>
      </c>
      <c r="N277" s="43" t="n">
        <v>0.3911</v>
      </c>
      <c r="O277" s="43" t="n">
        <v>0.3261</v>
      </c>
      <c r="P277" s="26" t="n">
        <v>5</v>
      </c>
      <c r="Q277" s="26" t="n">
        <v>18</v>
      </c>
    </row>
    <row r="278" customFormat="false" ht="15" hidden="false" customHeight="false" outlineLevel="0" collapsed="false">
      <c r="A278" s="8" t="s">
        <v>62</v>
      </c>
      <c r="B278" s="8" t="s">
        <v>358</v>
      </c>
      <c r="C278" s="26" t="n">
        <v>6929</v>
      </c>
      <c r="D278" s="26" t="n">
        <v>3600</v>
      </c>
      <c r="E278" s="39" t="n">
        <v>-724.467</v>
      </c>
      <c r="F278" s="29" t="n">
        <f aca="false">IF(D278=0,"",E278/D278)</f>
        <v>-0.201240833333333</v>
      </c>
      <c r="G278" s="26" t="n">
        <v>3329</v>
      </c>
      <c r="H278" s="39" t="n">
        <v>-63.508</v>
      </c>
      <c r="I278" s="29" t="n">
        <f aca="false">IF(G278=0,"",H278/G278)</f>
        <v>-0.0190772003604686</v>
      </c>
      <c r="J278" s="26" t="n">
        <v>2</v>
      </c>
      <c r="K278" s="43" t="n">
        <v>0.3314</v>
      </c>
      <c r="L278" s="43" t="n">
        <v>0.6056</v>
      </c>
      <c r="M278" s="43" t="n">
        <v>0.4972</v>
      </c>
      <c r="N278" s="43" t="n">
        <v>0.4018</v>
      </c>
      <c r="O278" s="43" t="n">
        <v>0.3314</v>
      </c>
      <c r="P278" s="26" t="n">
        <v>8</v>
      </c>
      <c r="Q278" s="26" t="n">
        <v>18</v>
      </c>
    </row>
    <row r="279" customFormat="false" ht="15" hidden="false" customHeight="false" outlineLevel="0" collapsed="false">
      <c r="A279" s="8" t="s">
        <v>62</v>
      </c>
      <c r="B279" s="8" t="s">
        <v>324</v>
      </c>
      <c r="C279" s="26" t="n">
        <v>7070</v>
      </c>
      <c r="D279" s="26" t="n">
        <v>3667</v>
      </c>
      <c r="E279" s="39" t="n">
        <v>-738.876</v>
      </c>
      <c r="F279" s="29" t="n">
        <f aca="false">IF(D279=0,"",E279/D279)</f>
        <v>-0.201493318789201</v>
      </c>
      <c r="G279" s="26" t="n">
        <v>3403</v>
      </c>
      <c r="H279" s="39" t="n">
        <v>-111.575</v>
      </c>
      <c r="I279" s="29" t="n">
        <f aca="false">IF(G279=0,"",H279/G279)</f>
        <v>-0.0327872465471643</v>
      </c>
      <c r="J279" s="26" t="n">
        <v>1</v>
      </c>
      <c r="K279" s="43" t="n">
        <v>0.3298</v>
      </c>
      <c r="L279" s="43" t="n">
        <v>0.6027</v>
      </c>
      <c r="M279" s="43" t="n">
        <v>0.4918</v>
      </c>
      <c r="N279" s="43" t="n">
        <v>0.3952</v>
      </c>
      <c r="O279" s="43" t="n">
        <v>0.3298</v>
      </c>
      <c r="P279" s="26" t="n">
        <v>8</v>
      </c>
      <c r="Q279" s="26" t="n">
        <v>19</v>
      </c>
    </row>
    <row r="280" customFormat="false" ht="15" hidden="false" customHeight="false" outlineLevel="0" collapsed="false">
      <c r="A280" s="8" t="s">
        <v>62</v>
      </c>
      <c r="B280" s="8" t="s">
        <v>312</v>
      </c>
      <c r="C280" s="26" t="n">
        <v>6951</v>
      </c>
      <c r="D280" s="26" t="n">
        <v>3602</v>
      </c>
      <c r="E280" s="39" t="n">
        <v>-729.666</v>
      </c>
      <c r="F280" s="29" t="n">
        <f aca="false">IF(D280=0,"",E280/D280)</f>
        <v>-0.202572459744586</v>
      </c>
      <c r="G280" s="26" t="n">
        <v>3349</v>
      </c>
      <c r="H280" s="39" t="n">
        <v>-27.802</v>
      </c>
      <c r="I280" s="29" t="n">
        <f aca="false">IF(G280=0,"",H280/G280)</f>
        <v>-0.00830158256195879</v>
      </c>
      <c r="J280" s="26" t="n">
        <v>2</v>
      </c>
      <c r="K280" s="43" t="n">
        <v>0.3307</v>
      </c>
      <c r="L280" s="43" t="n">
        <v>0.6045</v>
      </c>
      <c r="M280" s="43" t="n">
        <v>0.493</v>
      </c>
      <c r="N280" s="43" t="n">
        <v>0.3961</v>
      </c>
      <c r="O280" s="43" t="n">
        <v>0.3307</v>
      </c>
      <c r="P280" s="26" t="n">
        <v>9</v>
      </c>
      <c r="Q280" s="26" t="n">
        <v>18</v>
      </c>
    </row>
    <row r="281" customFormat="false" ht="15" hidden="false" customHeight="false" outlineLevel="0" collapsed="false">
      <c r="A281" s="8" t="s">
        <v>62</v>
      </c>
      <c r="B281" s="8" t="s">
        <v>381</v>
      </c>
      <c r="C281" s="26" t="n">
        <v>4441</v>
      </c>
      <c r="D281" s="26" t="n">
        <v>2316</v>
      </c>
      <c r="E281" s="39" t="n">
        <v>-482.888</v>
      </c>
      <c r="F281" s="29" t="n">
        <f aca="false">IF(D281=0,"",E281/D281)</f>
        <v>-0.208500863557858</v>
      </c>
      <c r="G281" s="26" t="n">
        <v>2125</v>
      </c>
      <c r="H281" s="39" t="n">
        <v>-63.425</v>
      </c>
      <c r="I281" s="29" t="n">
        <f aca="false">IF(G281=0,"",H281/G281)</f>
        <v>-0.0298470588235294</v>
      </c>
      <c r="J281" s="26" t="n">
        <v>1</v>
      </c>
      <c r="K281" s="43" t="n">
        <v>0.3371</v>
      </c>
      <c r="L281" s="43" t="n">
        <v>0.6082</v>
      </c>
      <c r="M281" s="43" t="n">
        <v>0.5001</v>
      </c>
      <c r="N281" s="43" t="n">
        <v>0.4033</v>
      </c>
      <c r="O281" s="43" t="n">
        <v>0.3371</v>
      </c>
      <c r="P281" s="26" t="n">
        <v>6</v>
      </c>
      <c r="Q281" s="26" t="n">
        <v>17</v>
      </c>
    </row>
    <row r="282" customFormat="false" ht="15" hidden="false" customHeight="false" outlineLevel="0" collapsed="false">
      <c r="A282" s="8" t="s">
        <v>62</v>
      </c>
      <c r="B282" s="8" t="s">
        <v>362</v>
      </c>
      <c r="C282" s="26" t="n">
        <v>7071</v>
      </c>
      <c r="D282" s="26" t="n">
        <v>3663</v>
      </c>
      <c r="E282" s="39" t="n">
        <v>-766.322</v>
      </c>
      <c r="F282" s="29" t="n">
        <f aca="false">IF(D282=0,"",E282/D282)</f>
        <v>-0.209206115206115</v>
      </c>
      <c r="G282" s="26" t="n">
        <v>3408</v>
      </c>
      <c r="H282" s="39" t="n">
        <v>-107.441</v>
      </c>
      <c r="I282" s="29" t="n">
        <f aca="false">IF(G282=0,"",H282/G282)</f>
        <v>-0.0315261150234742</v>
      </c>
      <c r="J282" s="26" t="n">
        <v>0</v>
      </c>
      <c r="K282" s="43" t="n">
        <v>0.3284</v>
      </c>
      <c r="L282" s="43" t="n">
        <v>0.6059</v>
      </c>
      <c r="M282" s="43" t="n">
        <v>0.4929</v>
      </c>
      <c r="N282" s="43" t="n">
        <v>0.3937</v>
      </c>
      <c r="O282" s="43" t="n">
        <v>0.3284</v>
      </c>
      <c r="P282" s="26" t="n">
        <v>7</v>
      </c>
      <c r="Q282" s="26" t="n">
        <v>20</v>
      </c>
    </row>
    <row r="283" customFormat="false" ht="15" hidden="false" customHeight="false" outlineLevel="0" collapsed="false">
      <c r="A283" s="8" t="s">
        <v>62</v>
      </c>
      <c r="B283" s="8" t="s">
        <v>245</v>
      </c>
      <c r="C283" s="26" t="n">
        <v>1813</v>
      </c>
      <c r="D283" s="26" t="n">
        <v>968</v>
      </c>
      <c r="E283" s="39" t="n">
        <v>-203.143</v>
      </c>
      <c r="F283" s="29" t="n">
        <f aca="false">IF(D283=0,"",E283/D283)</f>
        <v>-0.20985847107438</v>
      </c>
      <c r="G283" s="26" t="n">
        <v>845</v>
      </c>
      <c r="H283" s="39" t="n">
        <v>-39.004</v>
      </c>
      <c r="I283" s="29" t="n">
        <f aca="false">IF(G283=0,"",H283/G283)</f>
        <v>-0.0461585798816568</v>
      </c>
      <c r="J283" s="26" t="n">
        <v>1</v>
      </c>
      <c r="K283" s="43" t="n">
        <v>0.3144</v>
      </c>
      <c r="L283" s="43" t="n">
        <v>0.6156</v>
      </c>
      <c r="M283" s="43" t="n">
        <v>0.4948</v>
      </c>
      <c r="N283" s="43" t="n">
        <v>0.385</v>
      </c>
      <c r="O283" s="43" t="n">
        <v>0.3144</v>
      </c>
      <c r="P283" s="26" t="n">
        <v>5</v>
      </c>
      <c r="Q283" s="26" t="n">
        <v>22</v>
      </c>
    </row>
    <row r="284" customFormat="false" ht="15" hidden="false" customHeight="false" outlineLevel="0" collapsed="false">
      <c r="A284" s="8" t="s">
        <v>62</v>
      </c>
      <c r="B284" s="8" t="s">
        <v>363</v>
      </c>
      <c r="C284" s="26" t="n">
        <v>7105</v>
      </c>
      <c r="D284" s="26" t="n">
        <v>3673</v>
      </c>
      <c r="E284" s="39" t="n">
        <v>-777.412</v>
      </c>
      <c r="F284" s="29" t="n">
        <f aca="false">IF(D284=0,"",E284/D284)</f>
        <v>-0.211655867138579</v>
      </c>
      <c r="G284" s="26" t="n">
        <v>3432</v>
      </c>
      <c r="H284" s="39" t="n">
        <v>-115.324</v>
      </c>
      <c r="I284" s="29" t="n">
        <f aca="false">IF(G284=0,"",H284/G284)</f>
        <v>-0.0336025641025641</v>
      </c>
      <c r="J284" s="26" t="n">
        <v>1</v>
      </c>
      <c r="K284" s="43" t="n">
        <v>0.3277</v>
      </c>
      <c r="L284" s="43" t="n">
        <v>0.6049</v>
      </c>
      <c r="M284" s="43" t="n">
        <v>0.4935</v>
      </c>
      <c r="N284" s="43" t="n">
        <v>0.3932</v>
      </c>
      <c r="O284" s="43" t="n">
        <v>0.3277</v>
      </c>
      <c r="P284" s="26" t="n">
        <v>7</v>
      </c>
      <c r="Q284" s="26" t="n">
        <v>16</v>
      </c>
    </row>
    <row r="285" customFormat="false" ht="15" hidden="false" customHeight="false" outlineLevel="0" collapsed="false">
      <c r="A285" s="8" t="s">
        <v>62</v>
      </c>
      <c r="B285" s="8" t="s">
        <v>376</v>
      </c>
      <c r="C285" s="26" t="n">
        <v>7131</v>
      </c>
      <c r="D285" s="26" t="n">
        <v>3704</v>
      </c>
      <c r="E285" s="39" t="n">
        <v>-793.758</v>
      </c>
      <c r="F285" s="29" t="n">
        <f aca="false">IF(D285=0,"",E285/D285)</f>
        <v>-0.214297516198704</v>
      </c>
      <c r="G285" s="26" t="n">
        <v>3427</v>
      </c>
      <c r="H285" s="39" t="n">
        <v>-128.536</v>
      </c>
      <c r="I285" s="29" t="n">
        <f aca="false">IF(G285=0,"",H285/G285)</f>
        <v>-0.0375068573096002</v>
      </c>
      <c r="J285" s="26" t="n">
        <v>0</v>
      </c>
      <c r="K285" s="43" t="n">
        <v>0.3272</v>
      </c>
      <c r="L285" s="43" t="n">
        <v>0.5961</v>
      </c>
      <c r="M285" s="43" t="n">
        <v>0.4879</v>
      </c>
      <c r="N285" s="43" t="n">
        <v>0.391</v>
      </c>
      <c r="O285" s="43" t="n">
        <v>0.3272</v>
      </c>
      <c r="P285" s="26" t="n">
        <v>8</v>
      </c>
      <c r="Q285" s="26" t="n">
        <v>23</v>
      </c>
    </row>
    <row r="286" customFormat="false" ht="15" hidden="false" customHeight="false" outlineLevel="0" collapsed="false">
      <c r="A286" s="8" t="s">
        <v>62</v>
      </c>
      <c r="B286" s="8" t="s">
        <v>379</v>
      </c>
      <c r="C286" s="26" t="n">
        <v>5810</v>
      </c>
      <c r="D286" s="26" t="n">
        <v>3042</v>
      </c>
      <c r="E286" s="39" t="n">
        <v>-652.932</v>
      </c>
      <c r="F286" s="29" t="n">
        <f aca="false">IF(D286=0,"",E286/D286)</f>
        <v>-0.214639053254438</v>
      </c>
      <c r="G286" s="26" t="n">
        <v>2768</v>
      </c>
      <c r="H286" s="39" t="n">
        <v>-80.041</v>
      </c>
      <c r="I286" s="29" t="n">
        <f aca="false">IF(G286=0,"",H286/G286)</f>
        <v>-0.0289165462427746</v>
      </c>
      <c r="J286" s="26" t="n">
        <v>1</v>
      </c>
      <c r="K286" s="43" t="n">
        <v>0.3287</v>
      </c>
      <c r="L286" s="43" t="n">
        <v>0.6067</v>
      </c>
      <c r="M286" s="43" t="n">
        <v>0.4926</v>
      </c>
      <c r="N286" s="43" t="n">
        <v>0.3957</v>
      </c>
      <c r="O286" s="43" t="n">
        <v>0.3287</v>
      </c>
      <c r="P286" s="26" t="n">
        <v>6</v>
      </c>
      <c r="Q286" s="26" t="n">
        <v>19</v>
      </c>
    </row>
    <row r="287" customFormat="false" ht="15" hidden="false" customHeight="false" outlineLevel="0" collapsed="false">
      <c r="A287" s="8" t="s">
        <v>62</v>
      </c>
      <c r="B287" s="8" t="s">
        <v>273</v>
      </c>
      <c r="C287" s="26" t="n">
        <v>6444</v>
      </c>
      <c r="D287" s="26" t="n">
        <v>3333</v>
      </c>
      <c r="E287" s="39" t="n">
        <v>-716.705</v>
      </c>
      <c r="F287" s="29" t="n">
        <f aca="false">IF(D287=0,"",E287/D287)</f>
        <v>-0.21503300330033</v>
      </c>
      <c r="G287" s="26" t="n">
        <v>3111</v>
      </c>
      <c r="H287" s="39" t="n">
        <v>-120.49</v>
      </c>
      <c r="I287" s="29" t="n">
        <f aca="false">IF(G287=0,"",H287/G287)</f>
        <v>-0.0387303117968499</v>
      </c>
      <c r="J287" s="26" t="n">
        <v>1</v>
      </c>
      <c r="K287" s="43" t="n">
        <v>0.3237</v>
      </c>
      <c r="L287" s="43" t="n">
        <v>0.6046</v>
      </c>
      <c r="M287" s="43" t="n">
        <v>0.4862</v>
      </c>
      <c r="N287" s="43" t="n">
        <v>0.3898</v>
      </c>
      <c r="O287" s="43" t="n">
        <v>0.3237</v>
      </c>
      <c r="P287" s="26" t="n">
        <v>6</v>
      </c>
      <c r="Q287" s="26" t="n">
        <v>23</v>
      </c>
    </row>
    <row r="288" customFormat="false" ht="15" hidden="false" customHeight="false" outlineLevel="0" collapsed="false">
      <c r="A288" s="8" t="s">
        <v>62</v>
      </c>
      <c r="B288" s="8" t="s">
        <v>377</v>
      </c>
      <c r="C288" s="26" t="n">
        <v>7331</v>
      </c>
      <c r="D288" s="26" t="n">
        <v>3822</v>
      </c>
      <c r="E288" s="39" t="n">
        <v>-823.478</v>
      </c>
      <c r="F288" s="29" t="n">
        <f aca="false">IF(D288=0,"",E288/D288)</f>
        <v>-0.215457352171638</v>
      </c>
      <c r="G288" s="26" t="n">
        <v>3509</v>
      </c>
      <c r="H288" s="39" t="n">
        <v>-169.682</v>
      </c>
      <c r="I288" s="29" t="n">
        <f aca="false">IF(G288=0,"",H288/G288)</f>
        <v>-0.0483562268452551</v>
      </c>
      <c r="J288" s="26" t="n">
        <v>0</v>
      </c>
      <c r="K288" s="43" t="n">
        <v>0.6148</v>
      </c>
      <c r="L288" s="43" t="n">
        <v>0.6148</v>
      </c>
      <c r="M288" s="43" t="n">
        <v>0</v>
      </c>
      <c r="N288" s="43" t="n">
        <v>0</v>
      </c>
      <c r="O288" s="43" t="n">
        <v>0</v>
      </c>
      <c r="P288" s="26" t="n">
        <v>19</v>
      </c>
      <c r="Q288" s="26" t="n">
        <v>10</v>
      </c>
    </row>
    <row r="289" customFormat="false" ht="15" hidden="false" customHeight="false" outlineLevel="0" collapsed="false">
      <c r="A289" s="8" t="s">
        <v>62</v>
      </c>
      <c r="B289" s="8" t="s">
        <v>262</v>
      </c>
      <c r="C289" s="26" t="n">
        <v>4021</v>
      </c>
      <c r="D289" s="26" t="n">
        <v>2117</v>
      </c>
      <c r="E289" s="39" t="n">
        <v>-459.742</v>
      </c>
      <c r="F289" s="29" t="n">
        <f aca="false">IF(D289=0,"",E289/D289)</f>
        <v>-0.217166745394426</v>
      </c>
      <c r="G289" s="26" t="n">
        <v>1904</v>
      </c>
      <c r="H289" s="39" t="n">
        <v>-4.564</v>
      </c>
      <c r="I289" s="29" t="n">
        <f aca="false">IF(G289=0,"",H289/G289)</f>
        <v>-0.00239705882352941</v>
      </c>
      <c r="J289" s="26" t="n">
        <v>2</v>
      </c>
      <c r="K289" s="43" t="n">
        <v>0.3417</v>
      </c>
      <c r="L289" s="43" t="n">
        <v>0.6098</v>
      </c>
      <c r="M289" s="43" t="n">
        <v>0.4999</v>
      </c>
      <c r="N289" s="43" t="n">
        <v>0.4079</v>
      </c>
      <c r="O289" s="43" t="n">
        <v>0.3417</v>
      </c>
      <c r="P289" s="26" t="n">
        <v>5</v>
      </c>
      <c r="Q289" s="26" t="n">
        <v>18</v>
      </c>
    </row>
    <row r="290" customFormat="false" ht="15" hidden="false" customHeight="false" outlineLevel="0" collapsed="false">
      <c r="A290" s="8" t="s">
        <v>62</v>
      </c>
      <c r="B290" s="8" t="s">
        <v>261</v>
      </c>
      <c r="C290" s="26" t="n">
        <v>4188</v>
      </c>
      <c r="D290" s="26" t="n">
        <v>2233</v>
      </c>
      <c r="E290" s="39" t="n">
        <v>-485.074</v>
      </c>
      <c r="F290" s="29" t="n">
        <f aca="false">IF(D290=0,"",E290/D290)</f>
        <v>-0.21722973578146</v>
      </c>
      <c r="G290" s="26" t="n">
        <v>1955</v>
      </c>
      <c r="H290" s="39" t="n">
        <v>-126.539</v>
      </c>
      <c r="I290" s="29" t="n">
        <f aca="false">IF(G290=0,"",H290/G290)</f>
        <v>-0.064725831202046</v>
      </c>
      <c r="J290" s="26" t="n">
        <v>1</v>
      </c>
      <c r="K290" s="43" t="n">
        <v>0.3188</v>
      </c>
      <c r="L290" s="43" t="n">
        <v>0.607</v>
      </c>
      <c r="M290" s="43" t="n">
        <v>0.4854</v>
      </c>
      <c r="N290" s="43" t="n">
        <v>0.383</v>
      </c>
      <c r="O290" s="43" t="n">
        <v>0.3188</v>
      </c>
      <c r="P290" s="26" t="n">
        <v>7</v>
      </c>
      <c r="Q290" s="26" t="n">
        <v>19</v>
      </c>
    </row>
    <row r="291" customFormat="false" ht="15" hidden="false" customHeight="false" outlineLevel="0" collapsed="false">
      <c r="A291" s="8" t="s">
        <v>62</v>
      </c>
      <c r="B291" s="8" t="s">
        <v>260</v>
      </c>
      <c r="C291" s="26" t="n">
        <v>5899</v>
      </c>
      <c r="D291" s="26" t="n">
        <v>3095</v>
      </c>
      <c r="E291" s="39" t="n">
        <v>-674.139</v>
      </c>
      <c r="F291" s="29" t="n">
        <f aca="false">IF(D291=0,"",E291/D291)</f>
        <v>-0.217815508885299</v>
      </c>
      <c r="G291" s="26" t="n">
        <v>2804</v>
      </c>
      <c r="H291" s="39" t="n">
        <v>-56.174</v>
      </c>
      <c r="I291" s="29" t="n">
        <f aca="false">IF(G291=0,"",H291/G291)</f>
        <v>-0.0200335235378031</v>
      </c>
      <c r="J291" s="26" t="n">
        <v>1</v>
      </c>
      <c r="K291" s="43" t="n">
        <v>0.3289</v>
      </c>
      <c r="L291" s="43" t="n">
        <v>0.602</v>
      </c>
      <c r="M291" s="43" t="n">
        <v>0.4923</v>
      </c>
      <c r="N291" s="43" t="n">
        <v>0.3952</v>
      </c>
      <c r="O291" s="43" t="n">
        <v>0.3289</v>
      </c>
      <c r="P291" s="26" t="n">
        <v>7</v>
      </c>
      <c r="Q291" s="26" t="n">
        <v>20</v>
      </c>
    </row>
    <row r="292" customFormat="false" ht="15" hidden="false" customHeight="false" outlineLevel="0" collapsed="false">
      <c r="A292" s="8" t="s">
        <v>62</v>
      </c>
      <c r="B292" s="8" t="s">
        <v>383</v>
      </c>
      <c r="C292" s="26" t="n">
        <v>2968</v>
      </c>
      <c r="D292" s="26" t="n">
        <v>1546</v>
      </c>
      <c r="E292" s="39" t="n">
        <v>-348.18</v>
      </c>
      <c r="F292" s="29" t="n">
        <f aca="false">IF(D292=0,"",E292/D292)</f>
        <v>-0.225213454075032</v>
      </c>
      <c r="G292" s="26" t="n">
        <v>1422</v>
      </c>
      <c r="H292" s="39" t="n">
        <v>-54.098</v>
      </c>
      <c r="I292" s="29" t="n">
        <f aca="false">IF(G292=0,"",H292/G292)</f>
        <v>-0.0380436005625879</v>
      </c>
      <c r="J292" s="26" t="n">
        <v>1</v>
      </c>
      <c r="K292" s="43" t="n">
        <v>0.3389</v>
      </c>
      <c r="L292" s="43" t="n">
        <v>0.6028</v>
      </c>
      <c r="M292" s="43" t="n">
        <v>0.4929</v>
      </c>
      <c r="N292" s="43" t="n">
        <v>0.406</v>
      </c>
      <c r="O292" s="43" t="n">
        <v>0.3389</v>
      </c>
      <c r="P292" s="26" t="n">
        <v>7</v>
      </c>
      <c r="Q292" s="26" t="n">
        <v>19</v>
      </c>
    </row>
    <row r="293" customFormat="false" ht="15" hidden="false" customHeight="false" outlineLevel="0" collapsed="false">
      <c r="A293" s="8" t="s">
        <v>62</v>
      </c>
      <c r="B293" s="8" t="s">
        <v>382</v>
      </c>
      <c r="C293" s="26" t="n">
        <v>7153</v>
      </c>
      <c r="D293" s="26" t="n">
        <v>3726</v>
      </c>
      <c r="E293" s="39" t="n">
        <v>-853.946</v>
      </c>
      <c r="F293" s="29" t="n">
        <f aca="false">IF(D293=0,"",E293/D293)</f>
        <v>-0.229185721953838</v>
      </c>
      <c r="G293" s="26" t="n">
        <v>3427</v>
      </c>
      <c r="H293" s="39" t="n">
        <v>-6.784</v>
      </c>
      <c r="I293" s="29" t="n">
        <f aca="false">IF(G293=0,"",H293/G293)</f>
        <v>-0.00197957397140356</v>
      </c>
      <c r="J293" s="26" t="n">
        <v>1</v>
      </c>
      <c r="K293" s="43" t="n">
        <v>0.3369</v>
      </c>
      <c r="L293" s="43" t="n">
        <v>0.6034</v>
      </c>
      <c r="M293" s="43" t="n">
        <v>0.4955</v>
      </c>
      <c r="N293" s="43" t="n">
        <v>0.4035</v>
      </c>
      <c r="O293" s="43" t="n">
        <v>0.3369</v>
      </c>
      <c r="P293" s="26" t="n">
        <v>7</v>
      </c>
      <c r="Q293" s="26" t="n">
        <v>17</v>
      </c>
    </row>
    <row r="294" customFormat="false" ht="15" hidden="false" customHeight="false" outlineLevel="0" collapsed="false">
      <c r="A294" s="8" t="s">
        <v>62</v>
      </c>
      <c r="B294" s="8" t="s">
        <v>244</v>
      </c>
      <c r="C294" s="26" t="n">
        <v>1581</v>
      </c>
      <c r="D294" s="26" t="n">
        <v>829</v>
      </c>
      <c r="E294" s="39" t="n">
        <v>-191.163</v>
      </c>
      <c r="F294" s="29" t="n">
        <f aca="false">IF(D294=0,"",E294/D294)</f>
        <v>-0.230594692400483</v>
      </c>
      <c r="G294" s="26" t="n">
        <v>752</v>
      </c>
      <c r="H294" s="39" t="n">
        <v>42.789</v>
      </c>
      <c r="I294" s="29" t="n">
        <f aca="false">IF(G294=0,"",H294/G294)</f>
        <v>0.0569002659574468</v>
      </c>
      <c r="J294" s="26" t="n">
        <v>2</v>
      </c>
      <c r="K294" s="43" t="n">
        <v>0.3295</v>
      </c>
      <c r="L294" s="43" t="n">
        <v>0.623</v>
      </c>
      <c r="M294" s="43" t="n">
        <v>0.4959</v>
      </c>
      <c r="N294" s="43" t="n">
        <v>0.3928</v>
      </c>
      <c r="O294" s="43" t="n">
        <v>0.3295</v>
      </c>
      <c r="P294" s="26" t="n">
        <v>5</v>
      </c>
      <c r="Q294" s="26" t="n">
        <v>18</v>
      </c>
    </row>
    <row r="295" customFormat="false" ht="15" hidden="false" customHeight="false" outlineLevel="0" collapsed="false">
      <c r="A295" s="8" t="s">
        <v>62</v>
      </c>
      <c r="B295" s="8" t="s">
        <v>289</v>
      </c>
      <c r="C295" s="26" t="n">
        <v>5700</v>
      </c>
      <c r="D295" s="26" t="n">
        <v>2932</v>
      </c>
      <c r="E295" s="39" t="n">
        <v>-689.443</v>
      </c>
      <c r="F295" s="29" t="n">
        <f aca="false">IF(D295=0,"",E295/D295)</f>
        <v>-0.235144270122783</v>
      </c>
      <c r="G295" s="26" t="n">
        <v>2768</v>
      </c>
      <c r="H295" s="39" t="n">
        <v>-145.463</v>
      </c>
      <c r="I295" s="29" t="n">
        <f aca="false">IF(G295=0,"",H295/G295)</f>
        <v>-0.052551661849711</v>
      </c>
      <c r="J295" s="26" t="n">
        <v>0</v>
      </c>
      <c r="K295" s="43" t="n">
        <v>0.3202</v>
      </c>
      <c r="L295" s="43" t="n">
        <v>0.6039</v>
      </c>
      <c r="M295" s="43" t="n">
        <v>0.4895</v>
      </c>
      <c r="N295" s="43" t="n">
        <v>0.3847</v>
      </c>
      <c r="O295" s="43" t="n">
        <v>0.3202</v>
      </c>
      <c r="P295" s="26" t="n">
        <v>7</v>
      </c>
      <c r="Q295" s="26" t="n">
        <v>22</v>
      </c>
    </row>
    <row r="296" customFormat="false" ht="15" hidden="false" customHeight="false" outlineLevel="0" collapsed="false">
      <c r="A296" s="8" t="s">
        <v>62</v>
      </c>
      <c r="B296" s="8" t="s">
        <v>384</v>
      </c>
      <c r="C296" s="26" t="n">
        <v>1485</v>
      </c>
      <c r="D296" s="26" t="n">
        <v>773</v>
      </c>
      <c r="E296" s="39" t="n">
        <v>-199.153</v>
      </c>
      <c r="F296" s="29" t="n">
        <f aca="false">IF(D296=0,"",E296/D296)</f>
        <v>-0.257636481241915</v>
      </c>
      <c r="G296" s="26" t="n">
        <v>712</v>
      </c>
      <c r="H296" s="39" t="n">
        <v>-85.069</v>
      </c>
      <c r="I296" s="29" t="n">
        <f aca="false">IF(G296=0,"",H296/G296)</f>
        <v>-0.11947893258427</v>
      </c>
      <c r="J296" s="26" t="n">
        <v>0</v>
      </c>
      <c r="K296" s="43" t="n">
        <v>0.33</v>
      </c>
      <c r="L296" s="43" t="n">
        <v>0.5879</v>
      </c>
      <c r="M296" s="43" t="n">
        <v>0.4781</v>
      </c>
      <c r="N296" s="43" t="n">
        <v>0.3939</v>
      </c>
      <c r="O296" s="43" t="n">
        <v>0.33</v>
      </c>
      <c r="P296" s="26" t="n">
        <v>5</v>
      </c>
      <c r="Q296" s="26" t="n">
        <v>16</v>
      </c>
    </row>
    <row r="297" customFormat="false" ht="15" hidden="false" customHeight="false" outlineLevel="0" collapsed="false">
      <c r="A297" s="8" t="s">
        <v>62</v>
      </c>
      <c r="B297" s="8" t="s">
        <v>385</v>
      </c>
      <c r="C297" s="26" t="n">
        <v>7276</v>
      </c>
      <c r="D297" s="26" t="n">
        <v>3799</v>
      </c>
      <c r="E297" s="39" t="n">
        <v>-1023.81</v>
      </c>
      <c r="F297" s="29" t="n">
        <f aca="false">IF(D297=0,"",E297/D297)</f>
        <v>-0.269494603843117</v>
      </c>
      <c r="G297" s="26" t="n">
        <v>3477</v>
      </c>
      <c r="H297" s="39" t="n">
        <v>-29.102</v>
      </c>
      <c r="I297" s="29" t="n">
        <f aca="false">IF(G297=0,"",H297/G297)</f>
        <v>-0.00836985907391429</v>
      </c>
      <c r="J297" s="26" t="n">
        <v>1</v>
      </c>
      <c r="K297" s="43" t="n">
        <v>0.3403</v>
      </c>
      <c r="L297" s="43" t="n">
        <v>0.5893</v>
      </c>
      <c r="M297" s="43" t="n">
        <v>0.4905</v>
      </c>
      <c r="N297" s="43" t="n">
        <v>0.4028</v>
      </c>
      <c r="O297" s="43" t="n">
        <v>0.3403</v>
      </c>
      <c r="P297" s="26" t="n">
        <v>6</v>
      </c>
      <c r="Q297" s="26" t="n">
        <v>24</v>
      </c>
    </row>
    <row r="299" customFormat="false" ht="15" hidden="false" customHeight="false" outlineLevel="0" collapsed="false">
      <c r="A299" s="5" t="s">
        <v>87</v>
      </c>
      <c r="B299" s="5" t="s">
        <v>240</v>
      </c>
      <c r="C299" s="35" t="n">
        <v>3169</v>
      </c>
      <c r="D299" s="35" t="n">
        <v>1610</v>
      </c>
      <c r="E299" s="41" t="n">
        <v>-163.879</v>
      </c>
      <c r="F299" s="37" t="n">
        <f aca="false">IF(D299=0,"",E299/D299)</f>
        <v>-0.101788198757764</v>
      </c>
      <c r="G299" s="35" t="n">
        <v>1559</v>
      </c>
      <c r="H299" s="41" t="n">
        <v>-10.203</v>
      </c>
      <c r="I299" s="37" t="n">
        <f aca="false">IF(G299=0,"",H299/G299)</f>
        <v>-0.0065445798588839</v>
      </c>
      <c r="J299" s="35" t="n">
        <v>1</v>
      </c>
      <c r="K299" s="42" t="n">
        <v>0.332</v>
      </c>
      <c r="L299" s="42" t="n">
        <v>0.6049</v>
      </c>
      <c r="M299" s="42" t="n">
        <v>0.486</v>
      </c>
      <c r="N299" s="42" t="n">
        <v>0.3878</v>
      </c>
      <c r="O299" s="42" t="n">
        <v>0.332</v>
      </c>
      <c r="P299" s="35" t="n">
        <v>6</v>
      </c>
      <c r="Q299" s="35" t="n">
        <v>18</v>
      </c>
    </row>
    <row r="300" customFormat="false" ht="15" hidden="false" customHeight="false" outlineLevel="0" collapsed="false">
      <c r="A300" s="8" t="s">
        <v>87</v>
      </c>
      <c r="B300" s="8" t="s">
        <v>243</v>
      </c>
      <c r="C300" s="26" t="n">
        <v>797</v>
      </c>
      <c r="D300" s="26" t="n">
        <v>441</v>
      </c>
      <c r="E300" s="39" t="n">
        <v>-7.653</v>
      </c>
      <c r="F300" s="29" t="n">
        <f aca="false">IF(D300=0,"",E300/D300)</f>
        <v>-0.0173537414965986</v>
      </c>
      <c r="G300" s="26" t="n">
        <v>356</v>
      </c>
      <c r="H300" s="39" t="n">
        <v>-1.467</v>
      </c>
      <c r="I300" s="29" t="n">
        <f aca="false">IF(G300=0,"",H300/G300)</f>
        <v>-0.00412078651685393</v>
      </c>
      <c r="J300" s="26" t="n">
        <v>2</v>
      </c>
      <c r="K300" s="43" t="n">
        <v>0.3438</v>
      </c>
      <c r="L300" s="43" t="n">
        <v>0.5734</v>
      </c>
      <c r="M300" s="43" t="n">
        <v>0.473</v>
      </c>
      <c r="N300" s="43" t="n">
        <v>0.3864</v>
      </c>
      <c r="O300" s="43" t="n">
        <v>0.3438</v>
      </c>
      <c r="P300" s="26" t="n">
        <v>4</v>
      </c>
      <c r="Q300" s="26" t="n">
        <v>13</v>
      </c>
    </row>
    <row r="301" customFormat="false" ht="15" hidden="false" customHeight="false" outlineLevel="0" collapsed="false">
      <c r="A301" s="8" t="s">
        <v>87</v>
      </c>
      <c r="B301" s="8" t="s">
        <v>269</v>
      </c>
      <c r="C301" s="26" t="n">
        <v>596</v>
      </c>
      <c r="D301" s="26" t="n">
        <v>276</v>
      </c>
      <c r="E301" s="39" t="n">
        <v>-8.512</v>
      </c>
      <c r="F301" s="29" t="n">
        <f aca="false">IF(D301=0,"",E301/D301)</f>
        <v>-0.0308405797101449</v>
      </c>
      <c r="G301" s="26" t="n">
        <v>320</v>
      </c>
      <c r="H301" s="39" t="n">
        <v>9.783</v>
      </c>
      <c r="I301" s="29" t="n">
        <f aca="false">IF(G301=0,"",H301/G301)</f>
        <v>0.030571875</v>
      </c>
      <c r="J301" s="26" t="n">
        <v>4</v>
      </c>
      <c r="K301" s="43" t="n">
        <v>0.349</v>
      </c>
      <c r="L301" s="43" t="n">
        <v>0.6074</v>
      </c>
      <c r="M301" s="43" t="n">
        <v>0.4933</v>
      </c>
      <c r="N301" s="43" t="n">
        <v>0.4044</v>
      </c>
      <c r="O301" s="43" t="n">
        <v>0.349</v>
      </c>
      <c r="P301" s="26" t="n">
        <v>6</v>
      </c>
      <c r="Q301" s="26" t="n">
        <v>12</v>
      </c>
    </row>
    <row r="302" customFormat="false" ht="15" hidden="false" customHeight="false" outlineLevel="0" collapsed="false">
      <c r="A302" s="8" t="s">
        <v>87</v>
      </c>
      <c r="B302" s="8" t="s">
        <v>250</v>
      </c>
      <c r="C302" s="26" t="n">
        <v>1823</v>
      </c>
      <c r="D302" s="26" t="n">
        <v>933</v>
      </c>
      <c r="E302" s="39" t="n">
        <v>-29.258</v>
      </c>
      <c r="F302" s="29" t="n">
        <f aca="false">IF(D302=0,"",E302/D302)</f>
        <v>-0.0313590568060021</v>
      </c>
      <c r="G302" s="26" t="n">
        <v>890</v>
      </c>
      <c r="H302" s="39" t="n">
        <v>108.93</v>
      </c>
      <c r="I302" s="29" t="n">
        <f aca="false">IF(G302=0,"",H302/G302)</f>
        <v>0.122393258426966</v>
      </c>
      <c r="J302" s="26" t="n">
        <v>4</v>
      </c>
      <c r="K302" s="43" t="n">
        <v>0.3593</v>
      </c>
      <c r="L302" s="43" t="n">
        <v>0.6292</v>
      </c>
      <c r="M302" s="43" t="n">
        <v>0.5096</v>
      </c>
      <c r="N302" s="43" t="n">
        <v>0.4279</v>
      </c>
      <c r="O302" s="43" t="n">
        <v>0.3593</v>
      </c>
      <c r="P302" s="26" t="n">
        <v>8</v>
      </c>
      <c r="Q302" s="26" t="n">
        <v>14</v>
      </c>
    </row>
    <row r="303" customFormat="false" ht="15" hidden="false" customHeight="false" outlineLevel="0" collapsed="false">
      <c r="A303" s="8" t="s">
        <v>87</v>
      </c>
      <c r="B303" s="8" t="s">
        <v>257</v>
      </c>
      <c r="C303" s="26" t="n">
        <v>2292</v>
      </c>
      <c r="D303" s="26" t="n">
        <v>1158</v>
      </c>
      <c r="E303" s="39" t="n">
        <v>-47.873</v>
      </c>
      <c r="F303" s="29" t="n">
        <f aca="false">IF(D303=0,"",E303/D303)</f>
        <v>-0.0413411053540587</v>
      </c>
      <c r="G303" s="26" t="n">
        <v>1134</v>
      </c>
      <c r="H303" s="39" t="n">
        <v>66.021</v>
      </c>
      <c r="I303" s="29" t="n">
        <f aca="false">IF(G303=0,"",H303/G303)</f>
        <v>0.0582195767195767</v>
      </c>
      <c r="J303" s="26" t="n">
        <v>3</v>
      </c>
      <c r="K303" s="43" t="n">
        <v>0.3486</v>
      </c>
      <c r="L303" s="43" t="n">
        <v>0.6113</v>
      </c>
      <c r="M303" s="43" t="n">
        <v>0.5017</v>
      </c>
      <c r="N303" s="43" t="n">
        <v>0.4088</v>
      </c>
      <c r="O303" s="43" t="n">
        <v>0.3486</v>
      </c>
      <c r="P303" s="26" t="n">
        <v>6</v>
      </c>
      <c r="Q303" s="26" t="n">
        <v>19</v>
      </c>
    </row>
    <row r="304" customFormat="false" ht="15" hidden="false" customHeight="false" outlineLevel="0" collapsed="false">
      <c r="A304" s="8" t="s">
        <v>87</v>
      </c>
      <c r="B304" s="8" t="s">
        <v>255</v>
      </c>
      <c r="C304" s="26" t="n">
        <v>1761</v>
      </c>
      <c r="D304" s="26" t="n">
        <v>941</v>
      </c>
      <c r="E304" s="39" t="n">
        <v>-47.308</v>
      </c>
      <c r="F304" s="29" t="n">
        <f aca="false">IF(D304=0,"",E304/D304)</f>
        <v>-0.0502741764080765</v>
      </c>
      <c r="G304" s="26" t="n">
        <v>820</v>
      </c>
      <c r="H304" s="39" t="n">
        <v>11.186</v>
      </c>
      <c r="I304" s="29" t="n">
        <f aca="false">IF(G304=0,"",H304/G304)</f>
        <v>0.0136414634146341</v>
      </c>
      <c r="J304" s="26" t="n">
        <v>3</v>
      </c>
      <c r="K304" s="43" t="n">
        <v>0.347</v>
      </c>
      <c r="L304" s="43" t="n">
        <v>0.5968</v>
      </c>
      <c r="M304" s="43" t="n">
        <v>0.4901</v>
      </c>
      <c r="N304" s="43" t="n">
        <v>0.3975</v>
      </c>
      <c r="O304" s="43" t="n">
        <v>0.347</v>
      </c>
      <c r="P304" s="26" t="n">
        <v>7</v>
      </c>
      <c r="Q304" s="26" t="n">
        <v>16</v>
      </c>
    </row>
    <row r="305" customFormat="false" ht="15" hidden="false" customHeight="false" outlineLevel="0" collapsed="false">
      <c r="A305" s="8" t="s">
        <v>87</v>
      </c>
      <c r="B305" s="8" t="s">
        <v>298</v>
      </c>
      <c r="C305" s="26" t="n">
        <v>2679</v>
      </c>
      <c r="D305" s="26" t="n">
        <v>1341</v>
      </c>
      <c r="E305" s="39" t="n">
        <v>-69.801</v>
      </c>
      <c r="F305" s="29" t="n">
        <f aca="false">IF(D305=0,"",E305/D305)</f>
        <v>-0.0520514541387025</v>
      </c>
      <c r="G305" s="26" t="n">
        <v>1338</v>
      </c>
      <c r="H305" s="39" t="n">
        <v>34.488</v>
      </c>
      <c r="I305" s="29" t="n">
        <f aca="false">IF(G305=0,"",H305/G305)</f>
        <v>0.0257757847533632</v>
      </c>
      <c r="J305" s="26" t="n">
        <v>4</v>
      </c>
      <c r="K305" s="43" t="n">
        <v>0.2591</v>
      </c>
      <c r="L305" s="43" t="n">
        <v>0.6073</v>
      </c>
      <c r="M305" s="43" t="n">
        <v>0.4946</v>
      </c>
      <c r="N305" s="43" t="n">
        <v>0.3938</v>
      </c>
      <c r="O305" s="43" t="n">
        <v>0.2591</v>
      </c>
      <c r="P305" s="26" t="n">
        <v>5</v>
      </c>
      <c r="Q305" s="26" t="n">
        <v>24</v>
      </c>
    </row>
    <row r="306" customFormat="false" ht="15" hidden="false" customHeight="false" outlineLevel="0" collapsed="false">
      <c r="A306" s="8" t="s">
        <v>87</v>
      </c>
      <c r="B306" s="8" t="s">
        <v>247</v>
      </c>
      <c r="C306" s="26" t="n">
        <v>1463</v>
      </c>
      <c r="D306" s="26" t="n">
        <v>800</v>
      </c>
      <c r="E306" s="39" t="n">
        <v>-45.403</v>
      </c>
      <c r="F306" s="29" t="n">
        <f aca="false">IF(D306=0,"",E306/D306)</f>
        <v>-0.05675375</v>
      </c>
      <c r="G306" s="26" t="n">
        <v>663</v>
      </c>
      <c r="H306" s="39" t="n">
        <v>36.596</v>
      </c>
      <c r="I306" s="29" t="n">
        <f aca="false">IF(G306=0,"",H306/G306)</f>
        <v>0.0551975867269985</v>
      </c>
      <c r="J306" s="26" t="n">
        <v>4</v>
      </c>
      <c r="K306" s="43" t="n">
        <v>0.3472</v>
      </c>
      <c r="L306" s="43" t="n">
        <v>0.5892</v>
      </c>
      <c r="M306" s="43" t="n">
        <v>0.4764</v>
      </c>
      <c r="N306" s="43" t="n">
        <v>0.3944</v>
      </c>
      <c r="O306" s="43" t="n">
        <v>0.3472</v>
      </c>
      <c r="P306" s="26" t="n">
        <v>6</v>
      </c>
      <c r="Q306" s="26" t="n">
        <v>16</v>
      </c>
    </row>
    <row r="307" customFormat="false" ht="15" hidden="false" customHeight="false" outlineLevel="0" collapsed="false">
      <c r="A307" s="8" t="s">
        <v>87</v>
      </c>
      <c r="B307" s="8" t="s">
        <v>259</v>
      </c>
      <c r="C307" s="26" t="n">
        <v>2668</v>
      </c>
      <c r="D307" s="26" t="n">
        <v>1365</v>
      </c>
      <c r="E307" s="39" t="n">
        <v>-88.895</v>
      </c>
      <c r="F307" s="29" t="n">
        <f aca="false">IF(D307=0,"",E307/D307)</f>
        <v>-0.0651245421245421</v>
      </c>
      <c r="G307" s="26" t="n">
        <v>1303</v>
      </c>
      <c r="H307" s="39" t="n">
        <v>18.146</v>
      </c>
      <c r="I307" s="29" t="n">
        <f aca="false">IF(G307=0,"",H307/G307)</f>
        <v>0.0139263238679969</v>
      </c>
      <c r="J307" s="26" t="n">
        <v>2</v>
      </c>
      <c r="K307" s="43" t="n">
        <v>0.3388</v>
      </c>
      <c r="L307" s="43" t="n">
        <v>0.5971</v>
      </c>
      <c r="M307" s="43" t="n">
        <v>0.4865</v>
      </c>
      <c r="N307" s="43" t="n">
        <v>0.3939</v>
      </c>
      <c r="O307" s="43" t="n">
        <v>0.3388</v>
      </c>
      <c r="P307" s="26" t="n">
        <v>6</v>
      </c>
      <c r="Q307" s="26" t="n">
        <v>15</v>
      </c>
    </row>
    <row r="308" customFormat="false" ht="15" hidden="false" customHeight="false" outlineLevel="0" collapsed="false">
      <c r="A308" s="8" t="s">
        <v>87</v>
      </c>
      <c r="B308" s="8" t="s">
        <v>252</v>
      </c>
      <c r="C308" s="26" t="n">
        <v>2335</v>
      </c>
      <c r="D308" s="26" t="n">
        <v>1244</v>
      </c>
      <c r="E308" s="39" t="n">
        <v>-81.08</v>
      </c>
      <c r="F308" s="29" t="n">
        <f aca="false">IF(D308=0,"",E308/D308)</f>
        <v>-0.0651768488745981</v>
      </c>
      <c r="G308" s="26" t="n">
        <v>1091</v>
      </c>
      <c r="H308" s="39" t="n">
        <v>22.954</v>
      </c>
      <c r="I308" s="29" t="n">
        <f aca="false">IF(G308=0,"",H308/G308)</f>
        <v>0.0210394133822182</v>
      </c>
      <c r="J308" s="26" t="n">
        <v>4</v>
      </c>
      <c r="K308" s="43" t="n">
        <v>0.3448</v>
      </c>
      <c r="L308" s="43" t="n">
        <v>0.6013</v>
      </c>
      <c r="M308" s="43" t="n">
        <v>0.4887</v>
      </c>
      <c r="N308" s="43" t="n">
        <v>0.3966</v>
      </c>
      <c r="O308" s="43" t="n">
        <v>0.3448</v>
      </c>
      <c r="P308" s="26" t="n">
        <v>6</v>
      </c>
      <c r="Q308" s="26" t="n">
        <v>14</v>
      </c>
    </row>
    <row r="309" customFormat="false" ht="15" hidden="false" customHeight="false" outlineLevel="0" collapsed="false">
      <c r="A309" s="8" t="s">
        <v>87</v>
      </c>
      <c r="B309" s="8" t="s">
        <v>292</v>
      </c>
      <c r="C309" s="26" t="n">
        <v>2934</v>
      </c>
      <c r="D309" s="26" t="n">
        <v>1504</v>
      </c>
      <c r="E309" s="39" t="n">
        <v>-100.368</v>
      </c>
      <c r="F309" s="29" t="n">
        <f aca="false">IF(D309=0,"",E309/D309)</f>
        <v>-0.0667340425531915</v>
      </c>
      <c r="G309" s="26" t="n">
        <v>1430</v>
      </c>
      <c r="H309" s="39" t="n">
        <v>-37.379</v>
      </c>
      <c r="I309" s="29" t="n">
        <f aca="false">IF(G309=0,"",H309/G309)</f>
        <v>-0.0261391608391608</v>
      </c>
      <c r="J309" s="26" t="n">
        <v>1</v>
      </c>
      <c r="K309" s="43" t="n">
        <v>0.3347</v>
      </c>
      <c r="L309" s="43" t="n">
        <v>0.6108</v>
      </c>
      <c r="M309" s="43" t="n">
        <v>0.4911</v>
      </c>
      <c r="N309" s="43" t="n">
        <v>0.3879</v>
      </c>
      <c r="O309" s="43" t="n">
        <v>0.3347</v>
      </c>
      <c r="P309" s="26" t="n">
        <v>6</v>
      </c>
      <c r="Q309" s="26" t="n">
        <v>15</v>
      </c>
    </row>
    <row r="310" customFormat="false" ht="15" hidden="false" customHeight="false" outlineLevel="0" collapsed="false">
      <c r="A310" s="8" t="s">
        <v>87</v>
      </c>
      <c r="B310" s="8" t="s">
        <v>360</v>
      </c>
      <c r="C310" s="26" t="n">
        <v>3244</v>
      </c>
      <c r="D310" s="26" t="n">
        <v>1651</v>
      </c>
      <c r="E310" s="39" t="n">
        <v>-121.681</v>
      </c>
      <c r="F310" s="29" t="n">
        <f aca="false">IF(D310=0,"",E310/D310)</f>
        <v>-0.0737013930950939</v>
      </c>
      <c r="G310" s="26" t="n">
        <v>1593</v>
      </c>
      <c r="H310" s="39" t="n">
        <v>-5.683</v>
      </c>
      <c r="I310" s="29" t="n">
        <f aca="false">IF(G310=0,"",H310/G310)</f>
        <v>-0.00356748273697426</v>
      </c>
      <c r="J310" s="26" t="n">
        <v>2</v>
      </c>
      <c r="K310" s="43" t="n">
        <v>0.3372</v>
      </c>
      <c r="L310" s="43" t="n">
        <v>0.6119</v>
      </c>
      <c r="M310" s="43" t="n">
        <v>0.4914</v>
      </c>
      <c r="N310" s="43" t="n">
        <v>0.3949</v>
      </c>
      <c r="O310" s="43" t="n">
        <v>0.3372</v>
      </c>
      <c r="P310" s="26" t="n">
        <v>6</v>
      </c>
      <c r="Q310" s="26" t="n">
        <v>17</v>
      </c>
    </row>
    <row r="311" customFormat="false" ht="15" hidden="false" customHeight="false" outlineLevel="0" collapsed="false">
      <c r="A311" s="8" t="s">
        <v>87</v>
      </c>
      <c r="B311" s="8" t="s">
        <v>320</v>
      </c>
      <c r="C311" s="26" t="n">
        <v>3690</v>
      </c>
      <c r="D311" s="26" t="n">
        <v>1896</v>
      </c>
      <c r="E311" s="39" t="n">
        <v>-140.6</v>
      </c>
      <c r="F311" s="29" t="n">
        <f aca="false">IF(D311=0,"",E311/D311)</f>
        <v>-0.0741561181434599</v>
      </c>
      <c r="G311" s="26" t="n">
        <v>1794</v>
      </c>
      <c r="H311" s="39" t="n">
        <v>-44.136</v>
      </c>
      <c r="I311" s="29" t="n">
        <f aca="false">IF(G311=0,"",H311/G311)</f>
        <v>-0.0246020066889632</v>
      </c>
      <c r="J311" s="26" t="n">
        <v>1</v>
      </c>
      <c r="K311" s="43" t="n">
        <v>0.4851</v>
      </c>
      <c r="L311" s="43" t="n">
        <v>0.6011</v>
      </c>
      <c r="M311" s="43" t="n">
        <v>0.4851</v>
      </c>
      <c r="N311" s="43" t="n">
        <v>0.2282</v>
      </c>
      <c r="O311" s="43" t="n">
        <v>0.161</v>
      </c>
      <c r="P311" s="26" t="n">
        <v>7</v>
      </c>
      <c r="Q311" s="26" t="n">
        <v>9</v>
      </c>
    </row>
    <row r="312" customFormat="false" ht="15" hidden="false" customHeight="false" outlineLevel="0" collapsed="false">
      <c r="A312" s="8" t="s">
        <v>87</v>
      </c>
      <c r="B312" s="8" t="s">
        <v>268</v>
      </c>
      <c r="C312" s="26" t="n">
        <v>2589</v>
      </c>
      <c r="D312" s="26" t="n">
        <v>1330</v>
      </c>
      <c r="E312" s="39" t="n">
        <v>-99.862</v>
      </c>
      <c r="F312" s="29" t="n">
        <f aca="false">IF(D312=0,"",E312/D312)</f>
        <v>-0.0750842105263158</v>
      </c>
      <c r="G312" s="26" t="n">
        <v>1259</v>
      </c>
      <c r="H312" s="39" t="n">
        <v>28.374</v>
      </c>
      <c r="I312" s="29" t="n">
        <f aca="false">IF(G312=0,"",H312/G312)</f>
        <v>0.0225369340746624</v>
      </c>
      <c r="J312" s="26" t="n">
        <v>2</v>
      </c>
      <c r="K312" s="43" t="n">
        <v>0.3411</v>
      </c>
      <c r="L312" s="43" t="n">
        <v>0.6091</v>
      </c>
      <c r="M312" s="43" t="n">
        <v>0.4925</v>
      </c>
      <c r="N312" s="43" t="n">
        <v>0.3944</v>
      </c>
      <c r="O312" s="43" t="n">
        <v>0.3411</v>
      </c>
      <c r="P312" s="26" t="n">
        <v>5</v>
      </c>
      <c r="Q312" s="26" t="n">
        <v>18</v>
      </c>
    </row>
    <row r="313" customFormat="false" ht="15" hidden="false" customHeight="false" outlineLevel="0" collapsed="false">
      <c r="A313" s="8" t="s">
        <v>87</v>
      </c>
      <c r="B313" s="8" t="s">
        <v>270</v>
      </c>
      <c r="C313" s="26" t="n">
        <v>2513</v>
      </c>
      <c r="D313" s="26" t="n">
        <v>1289</v>
      </c>
      <c r="E313" s="39" t="n">
        <v>-96.868</v>
      </c>
      <c r="F313" s="29" t="n">
        <f aca="false">IF(D313=0,"",E313/D313)</f>
        <v>-0.0751497284716835</v>
      </c>
      <c r="G313" s="26" t="n">
        <v>1224</v>
      </c>
      <c r="H313" s="39" t="n">
        <v>48.401</v>
      </c>
      <c r="I313" s="29" t="n">
        <f aca="false">IF(G313=0,"",H313/G313)</f>
        <v>0.0395433006535948</v>
      </c>
      <c r="J313" s="26" t="n">
        <v>2</v>
      </c>
      <c r="K313" s="43" t="n">
        <v>0.3446</v>
      </c>
      <c r="L313" s="43" t="n">
        <v>0.6124</v>
      </c>
      <c r="M313" s="43" t="n">
        <v>0.4922</v>
      </c>
      <c r="N313" s="43" t="n">
        <v>0.3999</v>
      </c>
      <c r="O313" s="43" t="n">
        <v>0.3446</v>
      </c>
      <c r="P313" s="26" t="n">
        <v>7</v>
      </c>
      <c r="Q313" s="26" t="n">
        <v>19</v>
      </c>
    </row>
    <row r="314" customFormat="false" ht="15" hidden="false" customHeight="false" outlineLevel="0" collapsed="false">
      <c r="A314" s="8" t="s">
        <v>87</v>
      </c>
      <c r="B314" s="8" t="s">
        <v>312</v>
      </c>
      <c r="C314" s="26" t="n">
        <v>3115</v>
      </c>
      <c r="D314" s="26" t="n">
        <v>1590</v>
      </c>
      <c r="E314" s="39" t="n">
        <v>-119.576</v>
      </c>
      <c r="F314" s="29" t="n">
        <f aca="false">IF(D314=0,"",E314/D314)</f>
        <v>-0.0752050314465409</v>
      </c>
      <c r="G314" s="26" t="n">
        <v>1525</v>
      </c>
      <c r="H314" s="39" t="n">
        <v>-33.466</v>
      </c>
      <c r="I314" s="29" t="n">
        <f aca="false">IF(G314=0,"",H314/G314)</f>
        <v>-0.0219449180327869</v>
      </c>
      <c r="J314" s="26" t="n">
        <v>2</v>
      </c>
      <c r="K314" s="43" t="n">
        <v>0.3329</v>
      </c>
      <c r="L314" s="43" t="n">
        <v>0.6039</v>
      </c>
      <c r="M314" s="43" t="n">
        <v>0.4902</v>
      </c>
      <c r="N314" s="43" t="n">
        <v>0.3942</v>
      </c>
      <c r="O314" s="43" t="n">
        <v>0.3329</v>
      </c>
      <c r="P314" s="26" t="n">
        <v>5</v>
      </c>
      <c r="Q314" s="26" t="n">
        <v>14</v>
      </c>
    </row>
    <row r="315" customFormat="false" ht="15" hidden="false" customHeight="false" outlineLevel="0" collapsed="false">
      <c r="A315" s="8" t="s">
        <v>87</v>
      </c>
      <c r="B315" s="8" t="s">
        <v>261</v>
      </c>
      <c r="C315" s="26" t="n">
        <v>1682</v>
      </c>
      <c r="D315" s="26" t="n">
        <v>904</v>
      </c>
      <c r="E315" s="39" t="n">
        <v>-68.582</v>
      </c>
      <c r="F315" s="29" t="n">
        <f aca="false">IF(D315=0,"",E315/D315)</f>
        <v>-0.0758650442477876</v>
      </c>
      <c r="G315" s="26" t="n">
        <v>778</v>
      </c>
      <c r="H315" s="39" t="n">
        <v>-18.546</v>
      </c>
      <c r="I315" s="29" t="n">
        <f aca="false">IF(G315=0,"",H315/G315)</f>
        <v>-0.0238380462724936</v>
      </c>
      <c r="J315" s="26" t="n">
        <v>1</v>
      </c>
      <c r="K315" s="43" t="n">
        <v>0.3347</v>
      </c>
      <c r="L315" s="43" t="n">
        <v>0.6118</v>
      </c>
      <c r="M315" s="43" t="n">
        <v>0.4917</v>
      </c>
      <c r="N315" s="43" t="n">
        <v>0.3853</v>
      </c>
      <c r="O315" s="43" t="n">
        <v>0.3347</v>
      </c>
      <c r="P315" s="26" t="n">
        <v>5</v>
      </c>
      <c r="Q315" s="26" t="n">
        <v>16</v>
      </c>
    </row>
    <row r="316" customFormat="false" ht="15" hidden="false" customHeight="false" outlineLevel="0" collapsed="false">
      <c r="A316" s="8" t="s">
        <v>87</v>
      </c>
      <c r="B316" s="8" t="s">
        <v>288</v>
      </c>
      <c r="C316" s="26" t="n">
        <v>2891</v>
      </c>
      <c r="D316" s="26" t="n">
        <v>1472</v>
      </c>
      <c r="E316" s="39" t="n">
        <v>-111.968</v>
      </c>
      <c r="F316" s="29" t="n">
        <f aca="false">IF(D316=0,"",E316/D316)</f>
        <v>-0.0760652173913044</v>
      </c>
      <c r="G316" s="26" t="n">
        <v>1419</v>
      </c>
      <c r="H316" s="39" t="n">
        <v>-2.724</v>
      </c>
      <c r="I316" s="29" t="n">
        <f aca="false">IF(G316=0,"",H316/G316)</f>
        <v>-0.00191966173361522</v>
      </c>
      <c r="J316" s="26" t="n">
        <v>1</v>
      </c>
      <c r="K316" s="43" t="n">
        <v>0.2888</v>
      </c>
      <c r="L316" s="43" t="n">
        <v>0.605</v>
      </c>
      <c r="M316" s="43" t="n">
        <v>0.4901</v>
      </c>
      <c r="N316" s="43" t="n">
        <v>0.3936</v>
      </c>
      <c r="O316" s="43" t="n">
        <v>0.2888</v>
      </c>
      <c r="P316" s="26" t="n">
        <v>5</v>
      </c>
      <c r="Q316" s="26" t="n">
        <v>17</v>
      </c>
    </row>
    <row r="317" customFormat="false" ht="15" hidden="false" customHeight="false" outlineLevel="0" collapsed="false">
      <c r="A317" s="8" t="s">
        <v>87</v>
      </c>
      <c r="B317" s="8" t="s">
        <v>246</v>
      </c>
      <c r="C317" s="26" t="n">
        <v>1747</v>
      </c>
      <c r="D317" s="26" t="n">
        <v>932</v>
      </c>
      <c r="E317" s="39" t="n">
        <v>-71.049</v>
      </c>
      <c r="F317" s="29" t="n">
        <f aca="false">IF(D317=0,"",E317/D317)</f>
        <v>-0.0762328326180258</v>
      </c>
      <c r="G317" s="26" t="n">
        <v>815</v>
      </c>
      <c r="H317" s="39" t="n">
        <v>54.098</v>
      </c>
      <c r="I317" s="29" t="n">
        <f aca="false">IF(G317=0,"",H317/G317)</f>
        <v>0.0663779141104295</v>
      </c>
      <c r="J317" s="26" t="n">
        <v>3</v>
      </c>
      <c r="K317" s="43" t="n">
        <v>0.3446</v>
      </c>
      <c r="L317" s="43" t="n">
        <v>0.5965</v>
      </c>
      <c r="M317" s="43" t="n">
        <v>0.478</v>
      </c>
      <c r="N317" s="43" t="n">
        <v>0.3904</v>
      </c>
      <c r="O317" s="43" t="n">
        <v>0.3446</v>
      </c>
      <c r="P317" s="26" t="n">
        <v>6</v>
      </c>
      <c r="Q317" s="26" t="n">
        <v>17</v>
      </c>
    </row>
    <row r="318" customFormat="false" ht="15" hidden="false" customHeight="false" outlineLevel="0" collapsed="false">
      <c r="A318" s="8" t="s">
        <v>87</v>
      </c>
      <c r="B318" s="8" t="s">
        <v>296</v>
      </c>
      <c r="C318" s="26" t="n">
        <v>3016</v>
      </c>
      <c r="D318" s="26" t="n">
        <v>1532</v>
      </c>
      <c r="E318" s="39" t="n">
        <v>-120.746</v>
      </c>
      <c r="F318" s="29" t="n">
        <f aca="false">IF(D318=0,"",E318/D318)</f>
        <v>-0.0788159268929504</v>
      </c>
      <c r="G318" s="26" t="n">
        <v>1484</v>
      </c>
      <c r="H318" s="39" t="n">
        <v>24.834</v>
      </c>
      <c r="I318" s="29" t="n">
        <f aca="false">IF(G318=0,"",H318/G318)</f>
        <v>0.0167345013477089</v>
      </c>
      <c r="J318" s="26" t="n">
        <v>2</v>
      </c>
      <c r="K318" s="43" t="n">
        <v>0.3395</v>
      </c>
      <c r="L318" s="43" t="n">
        <v>0.6124</v>
      </c>
      <c r="M318" s="43" t="n">
        <v>0.4954</v>
      </c>
      <c r="N318" s="43" t="n">
        <v>0.3962</v>
      </c>
      <c r="O318" s="43" t="n">
        <v>0.3395</v>
      </c>
      <c r="P318" s="26" t="n">
        <v>6</v>
      </c>
      <c r="Q318" s="26" t="n">
        <v>16</v>
      </c>
    </row>
    <row r="319" customFormat="false" ht="15" hidden="false" customHeight="false" outlineLevel="0" collapsed="false">
      <c r="A319" s="8" t="s">
        <v>87</v>
      </c>
      <c r="B319" s="8" t="s">
        <v>330</v>
      </c>
      <c r="C319" s="26" t="n">
        <v>3148</v>
      </c>
      <c r="D319" s="26" t="n">
        <v>1589</v>
      </c>
      <c r="E319" s="39" t="n">
        <v>-127.768</v>
      </c>
      <c r="F319" s="29" t="n">
        <f aca="false">IF(D319=0,"",E319/D319)</f>
        <v>-0.0804078036500944</v>
      </c>
      <c r="G319" s="26" t="n">
        <v>1559</v>
      </c>
      <c r="H319" s="39" t="n">
        <v>-20.952</v>
      </c>
      <c r="I319" s="29" t="n">
        <f aca="false">IF(G319=0,"",H319/G319)</f>
        <v>-0.0134393842206543</v>
      </c>
      <c r="J319" s="26" t="n">
        <v>1</v>
      </c>
      <c r="K319" s="43" t="n">
        <v>0.3339</v>
      </c>
      <c r="L319" s="43" t="n">
        <v>0.6036</v>
      </c>
      <c r="M319" s="43" t="n">
        <v>0.4886</v>
      </c>
      <c r="N319" s="43" t="n">
        <v>0.3914</v>
      </c>
      <c r="O319" s="43" t="n">
        <v>0.3339</v>
      </c>
      <c r="P319" s="26" t="n">
        <v>6</v>
      </c>
      <c r="Q319" s="26" t="n">
        <v>18</v>
      </c>
    </row>
    <row r="320" customFormat="false" ht="15" hidden="false" customHeight="false" outlineLevel="0" collapsed="false">
      <c r="A320" s="8" t="s">
        <v>87</v>
      </c>
      <c r="B320" s="8" t="s">
        <v>267</v>
      </c>
      <c r="C320" s="26" t="n">
        <v>2399</v>
      </c>
      <c r="D320" s="26" t="n">
        <v>1176</v>
      </c>
      <c r="E320" s="39" t="n">
        <v>-94.902</v>
      </c>
      <c r="F320" s="29" t="n">
        <f aca="false">IF(D320=0,"",E320/D320)</f>
        <v>-0.0806989795918367</v>
      </c>
      <c r="G320" s="26" t="n">
        <v>1223</v>
      </c>
      <c r="H320" s="39" t="n">
        <v>-5.099</v>
      </c>
      <c r="I320" s="29" t="n">
        <f aca="false">IF(G320=0,"",H320/G320)</f>
        <v>-0.00416925592804579</v>
      </c>
      <c r="J320" s="26" t="n">
        <v>2</v>
      </c>
      <c r="K320" s="43" t="n">
        <v>0.3347</v>
      </c>
      <c r="L320" s="43" t="n">
        <v>0.6132</v>
      </c>
      <c r="M320" s="43" t="n">
        <v>0.4944</v>
      </c>
      <c r="N320" s="43" t="n">
        <v>0.3968</v>
      </c>
      <c r="O320" s="43" t="n">
        <v>0.3347</v>
      </c>
      <c r="P320" s="26" t="n">
        <v>6</v>
      </c>
      <c r="Q320" s="26" t="n">
        <v>18</v>
      </c>
    </row>
    <row r="321" customFormat="false" ht="15" hidden="false" customHeight="false" outlineLevel="0" collapsed="false">
      <c r="A321" s="8" t="s">
        <v>87</v>
      </c>
      <c r="B321" s="8" t="s">
        <v>362</v>
      </c>
      <c r="C321" s="26" t="n">
        <v>3262</v>
      </c>
      <c r="D321" s="26" t="n">
        <v>1666</v>
      </c>
      <c r="E321" s="39" t="n">
        <v>-134.729</v>
      </c>
      <c r="F321" s="29" t="n">
        <f aca="false">IF(D321=0,"",E321/D321)</f>
        <v>-0.0808697478991597</v>
      </c>
      <c r="G321" s="26" t="n">
        <v>1596</v>
      </c>
      <c r="H321" s="39" t="n">
        <v>18.215</v>
      </c>
      <c r="I321" s="29" t="n">
        <f aca="false">IF(G321=0,"",H321/G321)</f>
        <v>0.0114129072681704</v>
      </c>
      <c r="J321" s="26" t="n">
        <v>2</v>
      </c>
      <c r="K321" s="43" t="n">
        <v>0.3381</v>
      </c>
      <c r="L321" s="43" t="n">
        <v>0.6147</v>
      </c>
      <c r="M321" s="43" t="n">
        <v>0.4942</v>
      </c>
      <c r="N321" s="43" t="n">
        <v>0.397</v>
      </c>
      <c r="O321" s="43" t="n">
        <v>0.3381</v>
      </c>
      <c r="P321" s="26" t="n">
        <v>5</v>
      </c>
      <c r="Q321" s="26" t="n">
        <v>13</v>
      </c>
    </row>
    <row r="322" customFormat="false" ht="15" hidden="false" customHeight="false" outlineLevel="0" collapsed="false">
      <c r="A322" s="8" t="s">
        <v>87</v>
      </c>
      <c r="B322" s="8" t="s">
        <v>379</v>
      </c>
      <c r="C322" s="26" t="n">
        <v>2733</v>
      </c>
      <c r="D322" s="26" t="n">
        <v>1395</v>
      </c>
      <c r="E322" s="39" t="n">
        <v>-113.439</v>
      </c>
      <c r="F322" s="29" t="n">
        <f aca="false">IF(D322=0,"",E322/D322)</f>
        <v>-0.0813182795698925</v>
      </c>
      <c r="G322" s="26" t="n">
        <v>1338</v>
      </c>
      <c r="H322" s="39" t="n">
        <v>-22.728</v>
      </c>
      <c r="I322" s="29" t="n">
        <f aca="false">IF(G322=0,"",H322/G322)</f>
        <v>-0.0169865470852018</v>
      </c>
      <c r="J322" s="26" t="n">
        <v>1</v>
      </c>
      <c r="K322" s="43" t="n">
        <v>0.3341</v>
      </c>
      <c r="L322" s="43" t="n">
        <v>0.6041</v>
      </c>
      <c r="M322" s="43" t="n">
        <v>0.4866</v>
      </c>
      <c r="N322" s="43" t="n">
        <v>0.3897</v>
      </c>
      <c r="O322" s="43" t="n">
        <v>0.3341</v>
      </c>
      <c r="P322" s="26" t="n">
        <v>5</v>
      </c>
      <c r="Q322" s="26" t="n">
        <v>15</v>
      </c>
    </row>
    <row r="323" customFormat="false" ht="15" hidden="false" customHeight="false" outlineLevel="0" collapsed="false">
      <c r="A323" s="8" t="s">
        <v>87</v>
      </c>
      <c r="B323" s="8" t="s">
        <v>271</v>
      </c>
      <c r="C323" s="26" t="n">
        <v>1470</v>
      </c>
      <c r="D323" s="26" t="n">
        <v>735</v>
      </c>
      <c r="E323" s="39" t="n">
        <v>-61.207</v>
      </c>
      <c r="F323" s="29" t="n">
        <f aca="false">IF(D323=0,"",E323/D323)</f>
        <v>-0.0832748299319728</v>
      </c>
      <c r="G323" s="26" t="n">
        <v>735</v>
      </c>
      <c r="H323" s="39" t="n">
        <v>9.778</v>
      </c>
      <c r="I323" s="29" t="n">
        <f aca="false">IF(G323=0,"",H323/G323)</f>
        <v>0.0133034013605442</v>
      </c>
      <c r="J323" s="26" t="n">
        <v>2</v>
      </c>
      <c r="K323" s="43" t="n">
        <v>0.3381</v>
      </c>
      <c r="L323" s="43" t="n">
        <v>0.6116</v>
      </c>
      <c r="M323" s="43" t="n">
        <v>0.4878</v>
      </c>
      <c r="N323" s="43" t="n">
        <v>0.3925</v>
      </c>
      <c r="O323" s="43" t="n">
        <v>0.3381</v>
      </c>
      <c r="P323" s="26" t="n">
        <v>7</v>
      </c>
      <c r="Q323" s="26" t="n">
        <v>13</v>
      </c>
    </row>
    <row r="324" customFormat="false" ht="15" hidden="false" customHeight="false" outlineLevel="0" collapsed="false">
      <c r="A324" s="8" t="s">
        <v>87</v>
      </c>
      <c r="B324" s="8" t="s">
        <v>294</v>
      </c>
      <c r="C324" s="26" t="n">
        <v>2896</v>
      </c>
      <c r="D324" s="26" t="n">
        <v>1476</v>
      </c>
      <c r="E324" s="39" t="n">
        <v>-123.895</v>
      </c>
      <c r="F324" s="29" t="n">
        <f aca="false">IF(D324=0,"",E324/D324)</f>
        <v>-0.083939701897019</v>
      </c>
      <c r="G324" s="26" t="n">
        <v>1420</v>
      </c>
      <c r="H324" s="39" t="n">
        <v>-18.392</v>
      </c>
      <c r="I324" s="29" t="n">
        <f aca="false">IF(G324=0,"",H324/G324)</f>
        <v>-0.0129521126760563</v>
      </c>
      <c r="J324" s="26" t="n">
        <v>2</v>
      </c>
      <c r="K324" s="43" t="n">
        <v>0.3339</v>
      </c>
      <c r="L324" s="43" t="n">
        <v>0.6001</v>
      </c>
      <c r="M324" s="43" t="n">
        <v>0.4824</v>
      </c>
      <c r="N324" s="43" t="n">
        <v>0.3874</v>
      </c>
      <c r="O324" s="43" t="n">
        <v>0.3339</v>
      </c>
      <c r="P324" s="26" t="n">
        <v>6</v>
      </c>
      <c r="Q324" s="26" t="n">
        <v>16</v>
      </c>
    </row>
    <row r="325" customFormat="false" ht="15" hidden="false" customHeight="false" outlineLevel="0" collapsed="false">
      <c r="A325" s="8" t="s">
        <v>87</v>
      </c>
      <c r="B325" s="8" t="s">
        <v>284</v>
      </c>
      <c r="C325" s="26" t="n">
        <v>3149</v>
      </c>
      <c r="D325" s="26" t="n">
        <v>1595</v>
      </c>
      <c r="E325" s="39" t="n">
        <v>-134.007</v>
      </c>
      <c r="F325" s="29" t="n">
        <f aca="false">IF(D325=0,"",E325/D325)</f>
        <v>-0.0840169278996865</v>
      </c>
      <c r="G325" s="26" t="n">
        <v>1554</v>
      </c>
      <c r="H325" s="39" t="n">
        <v>2.618</v>
      </c>
      <c r="I325" s="29" t="n">
        <f aca="false">IF(G325=0,"",H325/G325)</f>
        <v>0.00168468468468468</v>
      </c>
      <c r="J325" s="26" t="n">
        <v>2</v>
      </c>
      <c r="K325" s="43" t="n">
        <v>0.3353</v>
      </c>
      <c r="L325" s="43" t="n">
        <v>0.611</v>
      </c>
      <c r="M325" s="43" t="n">
        <v>0.4878</v>
      </c>
      <c r="N325" s="43" t="n">
        <v>0.3922</v>
      </c>
      <c r="O325" s="43" t="n">
        <v>0.3353</v>
      </c>
      <c r="P325" s="26" t="n">
        <v>8</v>
      </c>
      <c r="Q325" s="26" t="n">
        <v>19</v>
      </c>
    </row>
    <row r="326" customFormat="false" ht="15" hidden="false" customHeight="false" outlineLevel="0" collapsed="false">
      <c r="A326" s="8" t="s">
        <v>87</v>
      </c>
      <c r="B326" s="8" t="s">
        <v>253</v>
      </c>
      <c r="C326" s="26" t="n">
        <v>2534</v>
      </c>
      <c r="D326" s="26" t="n">
        <v>1331</v>
      </c>
      <c r="E326" s="39" t="n">
        <v>-115.565</v>
      </c>
      <c r="F326" s="29" t="n">
        <f aca="false">IF(D326=0,"",E326/D326)</f>
        <v>-0.0868256949661908</v>
      </c>
      <c r="G326" s="26" t="n">
        <v>1203</v>
      </c>
      <c r="H326" s="39" t="n">
        <v>40.24</v>
      </c>
      <c r="I326" s="29" t="n">
        <f aca="false">IF(G326=0,"",H326/G326)</f>
        <v>0.0334497090606816</v>
      </c>
      <c r="J326" s="26" t="n">
        <v>2</v>
      </c>
      <c r="K326" s="43" t="n">
        <v>0.3414</v>
      </c>
      <c r="L326" s="43" t="n">
        <v>0.6034</v>
      </c>
      <c r="M326" s="43" t="n">
        <v>0.4874</v>
      </c>
      <c r="N326" s="43" t="n">
        <v>0.3927</v>
      </c>
      <c r="O326" s="43" t="n">
        <v>0.3414</v>
      </c>
      <c r="P326" s="26" t="n">
        <v>5</v>
      </c>
      <c r="Q326" s="26" t="n">
        <v>14</v>
      </c>
    </row>
    <row r="327" customFormat="false" ht="15" hidden="false" customHeight="false" outlineLevel="0" collapsed="false">
      <c r="A327" s="8" t="s">
        <v>87</v>
      </c>
      <c r="B327" s="8" t="s">
        <v>256</v>
      </c>
      <c r="C327" s="26" t="n">
        <v>1047</v>
      </c>
      <c r="D327" s="26" t="n">
        <v>542</v>
      </c>
      <c r="E327" s="39" t="n">
        <v>-47.326</v>
      </c>
      <c r="F327" s="29" t="n">
        <f aca="false">IF(D327=0,"",E327/D327)</f>
        <v>-0.0873173431734317</v>
      </c>
      <c r="G327" s="26" t="n">
        <v>505</v>
      </c>
      <c r="H327" s="39" t="n">
        <v>15.345</v>
      </c>
      <c r="I327" s="29" t="n">
        <f aca="false">IF(G327=0,"",H327/G327)</f>
        <v>0.0303861386138614</v>
      </c>
      <c r="J327" s="26" t="n">
        <v>2</v>
      </c>
      <c r="K327" s="43" t="n">
        <v>0.3486</v>
      </c>
      <c r="L327" s="43" t="n">
        <v>0.6065</v>
      </c>
      <c r="M327" s="43" t="n">
        <v>0.4986</v>
      </c>
      <c r="N327" s="43" t="n">
        <v>0.4031</v>
      </c>
      <c r="O327" s="43" t="n">
        <v>0.3486</v>
      </c>
      <c r="P327" s="26" t="n">
        <v>6</v>
      </c>
      <c r="Q327" s="26" t="n">
        <v>13</v>
      </c>
    </row>
    <row r="328" customFormat="false" ht="15" hidden="false" customHeight="false" outlineLevel="0" collapsed="false">
      <c r="A328" s="8" t="s">
        <v>87</v>
      </c>
      <c r="B328" s="8" t="s">
        <v>365</v>
      </c>
      <c r="C328" s="26" t="n">
        <v>3421</v>
      </c>
      <c r="D328" s="26" t="n">
        <v>1734</v>
      </c>
      <c r="E328" s="39" t="n">
        <v>-153.046</v>
      </c>
      <c r="F328" s="29" t="n">
        <f aca="false">IF(D328=0,"",E328/D328)</f>
        <v>-0.0882618223760092</v>
      </c>
      <c r="G328" s="26" t="n">
        <v>1687</v>
      </c>
      <c r="H328" s="39" t="n">
        <v>22.399</v>
      </c>
      <c r="I328" s="29" t="n">
        <f aca="false">IF(G328=0,"",H328/G328)</f>
        <v>0.0132774155305276</v>
      </c>
      <c r="J328" s="26" t="n">
        <v>2</v>
      </c>
      <c r="K328" s="43" t="n">
        <v>0.337</v>
      </c>
      <c r="L328" s="43" t="n">
        <v>0.6106</v>
      </c>
      <c r="M328" s="43" t="n">
        <v>0.4885</v>
      </c>
      <c r="N328" s="43" t="n">
        <v>0.3935</v>
      </c>
      <c r="O328" s="43" t="n">
        <v>0.337</v>
      </c>
      <c r="P328" s="26" t="n">
        <v>5</v>
      </c>
      <c r="Q328" s="26" t="n">
        <v>12</v>
      </c>
    </row>
    <row r="329" customFormat="false" ht="15" hidden="false" customHeight="false" outlineLevel="0" collapsed="false">
      <c r="A329" s="8" t="s">
        <v>87</v>
      </c>
      <c r="B329" s="8" t="s">
        <v>276</v>
      </c>
      <c r="C329" s="26" t="n">
        <v>3093</v>
      </c>
      <c r="D329" s="26" t="n">
        <v>1565</v>
      </c>
      <c r="E329" s="39" t="n">
        <v>-139.103</v>
      </c>
      <c r="F329" s="29" t="n">
        <f aca="false">IF(D329=0,"",E329/D329)</f>
        <v>-0.0888837060702876</v>
      </c>
      <c r="G329" s="26" t="n">
        <v>1528</v>
      </c>
      <c r="H329" s="39" t="n">
        <v>12.163</v>
      </c>
      <c r="I329" s="29" t="n">
        <f aca="false">IF(G329=0,"",H329/G329)</f>
        <v>0.00796007853403141</v>
      </c>
      <c r="J329" s="26" t="n">
        <v>1</v>
      </c>
      <c r="K329" s="43" t="n">
        <v>0.3349</v>
      </c>
      <c r="L329" s="43" t="n">
        <v>0.6081</v>
      </c>
      <c r="M329" s="43" t="n">
        <v>0.4863</v>
      </c>
      <c r="N329" s="43" t="n">
        <v>0.3912</v>
      </c>
      <c r="O329" s="43" t="n">
        <v>0.3349</v>
      </c>
      <c r="P329" s="26" t="n">
        <v>6</v>
      </c>
      <c r="Q329" s="26" t="n">
        <v>18</v>
      </c>
    </row>
    <row r="330" customFormat="false" ht="15" hidden="false" customHeight="false" outlineLevel="0" collapsed="false">
      <c r="A330" s="8" t="s">
        <v>87</v>
      </c>
      <c r="B330" s="8" t="s">
        <v>306</v>
      </c>
      <c r="C330" s="26" t="n">
        <v>2889</v>
      </c>
      <c r="D330" s="26" t="n">
        <v>1473</v>
      </c>
      <c r="E330" s="39" t="n">
        <v>-132.685</v>
      </c>
      <c r="F330" s="29" t="n">
        <f aca="false">IF(D330=0,"",E330/D330)</f>
        <v>-0.0900780719619824</v>
      </c>
      <c r="G330" s="26" t="n">
        <v>1416</v>
      </c>
      <c r="H330" s="39" t="n">
        <v>21.55</v>
      </c>
      <c r="I330" s="29" t="n">
        <f aca="false">IF(G330=0,"",H330/G330)</f>
        <v>0.0152189265536723</v>
      </c>
      <c r="J330" s="26" t="n">
        <v>2</v>
      </c>
      <c r="K330" s="43" t="n">
        <v>0.3375</v>
      </c>
      <c r="L330" s="43" t="n">
        <v>0.613</v>
      </c>
      <c r="M330" s="43" t="n">
        <v>0.4922</v>
      </c>
      <c r="N330" s="43" t="n">
        <v>0.3936</v>
      </c>
      <c r="O330" s="43" t="n">
        <v>0.3375</v>
      </c>
      <c r="P330" s="26" t="n">
        <v>6</v>
      </c>
      <c r="Q330" s="26" t="n">
        <v>14</v>
      </c>
    </row>
    <row r="331" customFormat="false" ht="15" hidden="false" customHeight="false" outlineLevel="0" collapsed="false">
      <c r="A331" s="8" t="s">
        <v>87</v>
      </c>
      <c r="B331" s="8" t="s">
        <v>324</v>
      </c>
      <c r="C331" s="26" t="n">
        <v>3289</v>
      </c>
      <c r="D331" s="26" t="n">
        <v>1688</v>
      </c>
      <c r="E331" s="39" t="n">
        <v>-154.386</v>
      </c>
      <c r="F331" s="29" t="n">
        <f aca="false">IF(D331=0,"",E331/D331)</f>
        <v>-0.0914609004739336</v>
      </c>
      <c r="G331" s="26" t="n">
        <v>1601</v>
      </c>
      <c r="H331" s="39" t="n">
        <v>-1.982</v>
      </c>
      <c r="I331" s="29" t="n">
        <f aca="false">IF(G331=0,"",H331/G331)</f>
        <v>-0.00123797626483448</v>
      </c>
      <c r="J331" s="26" t="n">
        <v>2</v>
      </c>
      <c r="K331" s="43" t="n">
        <v>0.3344</v>
      </c>
      <c r="L331" s="43" t="n">
        <v>0.6069</v>
      </c>
      <c r="M331" s="43" t="n">
        <v>0.4913</v>
      </c>
      <c r="N331" s="43" t="n">
        <v>0.3934</v>
      </c>
      <c r="O331" s="43" t="n">
        <v>0.3344</v>
      </c>
      <c r="P331" s="26" t="n">
        <v>6</v>
      </c>
      <c r="Q331" s="26" t="n">
        <v>17</v>
      </c>
    </row>
    <row r="332" customFormat="false" ht="15" hidden="false" customHeight="false" outlineLevel="0" collapsed="false">
      <c r="A332" s="8" t="s">
        <v>87</v>
      </c>
      <c r="B332" s="8" t="s">
        <v>363</v>
      </c>
      <c r="C332" s="26" t="n">
        <v>3296</v>
      </c>
      <c r="D332" s="26" t="n">
        <v>1683</v>
      </c>
      <c r="E332" s="39" t="n">
        <v>-154.977</v>
      </c>
      <c r="F332" s="29" t="n">
        <f aca="false">IF(D332=0,"",E332/D332)</f>
        <v>-0.0920837789661319</v>
      </c>
      <c r="G332" s="26" t="n">
        <v>1613</v>
      </c>
      <c r="H332" s="39" t="n">
        <v>18.815</v>
      </c>
      <c r="I332" s="29" t="n">
        <f aca="false">IF(G332=0,"",H332/G332)</f>
        <v>0.0116646001239926</v>
      </c>
      <c r="J332" s="26" t="n">
        <v>2</v>
      </c>
      <c r="K332" s="43" t="n">
        <v>0.3362</v>
      </c>
      <c r="L332" s="43" t="n">
        <v>0.6162</v>
      </c>
      <c r="M332" s="43" t="n">
        <v>0.4961</v>
      </c>
      <c r="N332" s="43" t="n">
        <v>0.3987</v>
      </c>
      <c r="O332" s="43" t="n">
        <v>0.3362</v>
      </c>
      <c r="P332" s="26" t="n">
        <v>6</v>
      </c>
      <c r="Q332" s="26" t="n">
        <v>14</v>
      </c>
    </row>
    <row r="333" customFormat="false" ht="15" hidden="false" customHeight="false" outlineLevel="0" collapsed="false">
      <c r="A333" s="8" t="s">
        <v>87</v>
      </c>
      <c r="B333" s="8" t="s">
        <v>254</v>
      </c>
      <c r="C333" s="26" t="n">
        <v>2238</v>
      </c>
      <c r="D333" s="26" t="n">
        <v>1165</v>
      </c>
      <c r="E333" s="39" t="n">
        <v>-107.443</v>
      </c>
      <c r="F333" s="29" t="n">
        <f aca="false">IF(D333=0,"",E333/D333)</f>
        <v>-0.0922257510729614</v>
      </c>
      <c r="G333" s="26" t="n">
        <v>1073</v>
      </c>
      <c r="H333" s="39" t="n">
        <v>-1.951</v>
      </c>
      <c r="I333" s="29" t="n">
        <f aca="false">IF(G333=0,"",H333/G333)</f>
        <v>-0.00181826654240447</v>
      </c>
      <c r="J333" s="26" t="n">
        <v>2</v>
      </c>
      <c r="K333" s="43" t="n">
        <v>0.3333</v>
      </c>
      <c r="L333" s="43" t="n">
        <v>0.6023</v>
      </c>
      <c r="M333" s="43" t="n">
        <v>0.4835</v>
      </c>
      <c r="N333" s="43" t="n">
        <v>0.3856</v>
      </c>
      <c r="O333" s="43" t="n">
        <v>0.3333</v>
      </c>
      <c r="P333" s="26" t="n">
        <v>7</v>
      </c>
      <c r="Q333" s="26" t="n">
        <v>16</v>
      </c>
    </row>
    <row r="334" customFormat="false" ht="15" hidden="false" customHeight="false" outlineLevel="0" collapsed="false">
      <c r="A334" s="8" t="s">
        <v>87</v>
      </c>
      <c r="B334" s="8" t="s">
        <v>357</v>
      </c>
      <c r="C334" s="26" t="n">
        <v>3171</v>
      </c>
      <c r="D334" s="26" t="n">
        <v>1609</v>
      </c>
      <c r="E334" s="39" t="n">
        <v>-148.712</v>
      </c>
      <c r="F334" s="29" t="n">
        <f aca="false">IF(D334=0,"",E334/D334)</f>
        <v>-0.092425108763207</v>
      </c>
      <c r="G334" s="26" t="n">
        <v>1562</v>
      </c>
      <c r="H334" s="39" t="n">
        <v>-25.424</v>
      </c>
      <c r="I334" s="29" t="n">
        <f aca="false">IF(G334=0,"",H334/G334)</f>
        <v>-0.0162765685019206</v>
      </c>
      <c r="J334" s="26" t="n">
        <v>1</v>
      </c>
      <c r="K334" s="43" t="n">
        <v>0.3321</v>
      </c>
      <c r="L334" s="43" t="n">
        <v>0.6033</v>
      </c>
      <c r="M334" s="43" t="n">
        <v>0.485</v>
      </c>
      <c r="N334" s="43" t="n">
        <v>0.3882</v>
      </c>
      <c r="O334" s="43" t="n">
        <v>0.3321</v>
      </c>
      <c r="P334" s="26" t="n">
        <v>6</v>
      </c>
      <c r="Q334" s="26" t="n">
        <v>20</v>
      </c>
    </row>
    <row r="335" customFormat="false" ht="15" hidden="false" customHeight="false" outlineLevel="0" collapsed="false">
      <c r="A335" s="8" t="s">
        <v>87</v>
      </c>
      <c r="B335" s="8" t="s">
        <v>355</v>
      </c>
      <c r="C335" s="26" t="n">
        <v>3360</v>
      </c>
      <c r="D335" s="26" t="n">
        <v>1700</v>
      </c>
      <c r="E335" s="39" t="n">
        <v>-158.032</v>
      </c>
      <c r="F335" s="29" t="n">
        <f aca="false">IF(D335=0,"",E335/D335)</f>
        <v>-0.09296</v>
      </c>
      <c r="G335" s="26" t="n">
        <v>1660</v>
      </c>
      <c r="H335" s="39" t="n">
        <v>21.51</v>
      </c>
      <c r="I335" s="29" t="n">
        <f aca="false">IF(G335=0,"",H335/G335)</f>
        <v>0.0129578313253012</v>
      </c>
      <c r="J335" s="26" t="n">
        <v>2</v>
      </c>
      <c r="K335" s="43" t="n">
        <v>0.3366</v>
      </c>
      <c r="L335" s="43" t="n">
        <v>0.6012</v>
      </c>
      <c r="M335" s="43" t="n">
        <v>0.4848</v>
      </c>
      <c r="N335" s="43" t="n">
        <v>0.3914</v>
      </c>
      <c r="O335" s="43" t="n">
        <v>0.3366</v>
      </c>
      <c r="P335" s="26" t="n">
        <v>6</v>
      </c>
      <c r="Q335" s="26" t="n">
        <v>19</v>
      </c>
    </row>
    <row r="336" customFormat="false" ht="15" hidden="false" customHeight="false" outlineLevel="0" collapsed="false">
      <c r="A336" s="8" t="s">
        <v>87</v>
      </c>
      <c r="B336" s="8" t="s">
        <v>300</v>
      </c>
      <c r="C336" s="26" t="n">
        <v>2882</v>
      </c>
      <c r="D336" s="26" t="n">
        <v>1494</v>
      </c>
      <c r="E336" s="39" t="n">
        <v>-139.144</v>
      </c>
      <c r="F336" s="29" t="n">
        <f aca="false">IF(D336=0,"",E336/D336)</f>
        <v>-0.0931352074966533</v>
      </c>
      <c r="G336" s="26" t="n">
        <v>1388</v>
      </c>
      <c r="H336" s="39" t="n">
        <v>16.699</v>
      </c>
      <c r="I336" s="29" t="n">
        <f aca="false">IF(G336=0,"",H336/G336)</f>
        <v>0.0120309798270893</v>
      </c>
      <c r="J336" s="26" t="n">
        <v>2</v>
      </c>
      <c r="K336" s="43" t="n">
        <v>0.3352</v>
      </c>
      <c r="L336" s="43" t="n">
        <v>0.6065</v>
      </c>
      <c r="M336" s="43" t="n">
        <v>0.4858</v>
      </c>
      <c r="N336" s="43" t="n">
        <v>0.39</v>
      </c>
      <c r="O336" s="43" t="n">
        <v>0.3352</v>
      </c>
      <c r="P336" s="26" t="n">
        <v>5</v>
      </c>
      <c r="Q336" s="26" t="n">
        <v>16</v>
      </c>
    </row>
    <row r="337" customFormat="false" ht="15" hidden="false" customHeight="false" outlineLevel="0" collapsed="false">
      <c r="A337" s="8" t="s">
        <v>87</v>
      </c>
      <c r="B337" s="8" t="s">
        <v>352</v>
      </c>
      <c r="C337" s="26" t="n">
        <v>3215</v>
      </c>
      <c r="D337" s="26" t="n">
        <v>1638</v>
      </c>
      <c r="E337" s="39" t="n">
        <v>-152.751</v>
      </c>
      <c r="F337" s="29" t="n">
        <f aca="false">IF(D337=0,"",E337/D337)</f>
        <v>-0.0932545787545788</v>
      </c>
      <c r="G337" s="26" t="n">
        <v>1577</v>
      </c>
      <c r="H337" s="39" t="n">
        <v>1.442</v>
      </c>
      <c r="I337" s="29" t="n">
        <f aca="false">IF(G337=0,"",H337/G337)</f>
        <v>0.000914394419784401</v>
      </c>
      <c r="J337" s="26" t="n">
        <v>1</v>
      </c>
      <c r="K337" s="43" t="n">
        <v>0.3347</v>
      </c>
      <c r="L337" s="43" t="n">
        <v>0.6068</v>
      </c>
      <c r="M337" s="43" t="n">
        <v>0.4896</v>
      </c>
      <c r="N337" s="43" t="n">
        <v>0.3932</v>
      </c>
      <c r="O337" s="43" t="n">
        <v>0.3347</v>
      </c>
      <c r="P337" s="26" t="n">
        <v>6</v>
      </c>
      <c r="Q337" s="26" t="n">
        <v>17</v>
      </c>
    </row>
    <row r="338" customFormat="false" ht="15" hidden="false" customHeight="false" outlineLevel="0" collapsed="false">
      <c r="A338" s="8" t="s">
        <v>87</v>
      </c>
      <c r="B338" s="8" t="s">
        <v>350</v>
      </c>
      <c r="C338" s="26" t="n">
        <v>3215</v>
      </c>
      <c r="D338" s="26" t="n">
        <v>1638</v>
      </c>
      <c r="E338" s="39" t="n">
        <v>-152.751</v>
      </c>
      <c r="F338" s="29" t="n">
        <f aca="false">IF(D338=0,"",E338/D338)</f>
        <v>-0.0932545787545788</v>
      </c>
      <c r="G338" s="26" t="n">
        <v>1577</v>
      </c>
      <c r="H338" s="39" t="n">
        <v>1.442</v>
      </c>
      <c r="I338" s="29" t="n">
        <f aca="false">IF(G338=0,"",H338/G338)</f>
        <v>0.000914394419784401</v>
      </c>
      <c r="J338" s="26" t="n">
        <v>1</v>
      </c>
      <c r="K338" s="43" t="n">
        <v>0.3347</v>
      </c>
      <c r="L338" s="43" t="n">
        <v>0.6068</v>
      </c>
      <c r="M338" s="43" t="n">
        <v>0.4896</v>
      </c>
      <c r="N338" s="43" t="n">
        <v>0.3932</v>
      </c>
      <c r="O338" s="43" t="n">
        <v>0.3347</v>
      </c>
      <c r="P338" s="26" t="n">
        <v>6</v>
      </c>
      <c r="Q338" s="26" t="n">
        <v>17</v>
      </c>
    </row>
    <row r="339" customFormat="false" ht="15" hidden="false" customHeight="false" outlineLevel="0" collapsed="false">
      <c r="A339" s="8" t="s">
        <v>87</v>
      </c>
      <c r="B339" s="8" t="s">
        <v>373</v>
      </c>
      <c r="C339" s="26" t="n">
        <v>2862</v>
      </c>
      <c r="D339" s="26" t="n">
        <v>1466</v>
      </c>
      <c r="E339" s="39" t="n">
        <v>-137.513</v>
      </c>
      <c r="F339" s="29" t="n">
        <f aca="false">IF(D339=0,"",E339/D339)</f>
        <v>-0.0938015006821282</v>
      </c>
      <c r="G339" s="26" t="n">
        <v>1396</v>
      </c>
      <c r="H339" s="39" t="n">
        <v>1.145</v>
      </c>
      <c r="I339" s="29" t="n">
        <f aca="false">IF(G339=0,"",H339/G339)</f>
        <v>0.000820200573065903</v>
      </c>
      <c r="J339" s="26" t="n">
        <v>2</v>
      </c>
      <c r="K339" s="43" t="n">
        <v>0.3354</v>
      </c>
      <c r="L339" s="43" t="n">
        <v>0.6013</v>
      </c>
      <c r="M339" s="43" t="n">
        <v>0.4864</v>
      </c>
      <c r="N339" s="43" t="n">
        <v>0.3892</v>
      </c>
      <c r="O339" s="43" t="n">
        <v>0.3354</v>
      </c>
      <c r="P339" s="26" t="n">
        <v>5</v>
      </c>
      <c r="Q339" s="26" t="n">
        <v>21</v>
      </c>
    </row>
    <row r="340" customFormat="false" ht="15" hidden="false" customHeight="false" outlineLevel="0" collapsed="false">
      <c r="A340" s="8" t="s">
        <v>87</v>
      </c>
      <c r="B340" s="8" t="s">
        <v>274</v>
      </c>
      <c r="C340" s="26" t="n">
        <v>3105</v>
      </c>
      <c r="D340" s="26" t="n">
        <v>1572</v>
      </c>
      <c r="E340" s="39" t="n">
        <v>-147.709</v>
      </c>
      <c r="F340" s="29" t="n">
        <f aca="false">IF(D340=0,"",E340/D340)</f>
        <v>-0.0939624681933842</v>
      </c>
      <c r="G340" s="26" t="n">
        <v>1533</v>
      </c>
      <c r="H340" s="39" t="n">
        <v>3.76</v>
      </c>
      <c r="I340" s="29" t="n">
        <f aca="false">IF(G340=0,"",H340/G340)</f>
        <v>0.00245270711024136</v>
      </c>
      <c r="J340" s="26" t="n">
        <v>1</v>
      </c>
      <c r="K340" s="43" t="n">
        <v>0.3333</v>
      </c>
      <c r="L340" s="43" t="n">
        <v>0.6081</v>
      </c>
      <c r="M340" s="43" t="n">
        <v>0.4857</v>
      </c>
      <c r="N340" s="43" t="n">
        <v>0.391</v>
      </c>
      <c r="O340" s="43" t="n">
        <v>0.3333</v>
      </c>
      <c r="P340" s="26" t="n">
        <v>6</v>
      </c>
      <c r="Q340" s="26" t="n">
        <v>18</v>
      </c>
    </row>
    <row r="341" customFormat="false" ht="15" hidden="false" customHeight="false" outlineLevel="0" collapsed="false">
      <c r="A341" s="8" t="s">
        <v>87</v>
      </c>
      <c r="B341" s="8" t="s">
        <v>323</v>
      </c>
      <c r="C341" s="26" t="n">
        <v>3136</v>
      </c>
      <c r="D341" s="26" t="n">
        <v>1583</v>
      </c>
      <c r="E341" s="39" t="n">
        <v>-148.769</v>
      </c>
      <c r="F341" s="29" t="n">
        <f aca="false">IF(D341=0,"",E341/D341)</f>
        <v>-0.0939791535060013</v>
      </c>
      <c r="G341" s="26" t="n">
        <v>1553</v>
      </c>
      <c r="H341" s="39" t="n">
        <v>-8.839</v>
      </c>
      <c r="I341" s="29" t="n">
        <f aca="false">IF(G341=0,"",H341/G341)</f>
        <v>-0.00569156471345782</v>
      </c>
      <c r="J341" s="26" t="n">
        <v>1</v>
      </c>
      <c r="K341" s="43" t="n">
        <v>0.3326</v>
      </c>
      <c r="L341" s="43" t="n">
        <v>0.6055</v>
      </c>
      <c r="M341" s="43" t="n">
        <v>0.4853</v>
      </c>
      <c r="N341" s="43" t="n">
        <v>0.3878</v>
      </c>
      <c r="O341" s="43" t="n">
        <v>0.3326</v>
      </c>
      <c r="P341" s="26" t="n">
        <v>6</v>
      </c>
      <c r="Q341" s="26" t="n">
        <v>18</v>
      </c>
    </row>
    <row r="342" customFormat="false" ht="15" hidden="false" customHeight="false" outlineLevel="0" collapsed="false">
      <c r="A342" s="8" t="s">
        <v>87</v>
      </c>
      <c r="B342" s="8" t="s">
        <v>302</v>
      </c>
      <c r="C342" s="26" t="n">
        <v>3153</v>
      </c>
      <c r="D342" s="26" t="n">
        <v>1600</v>
      </c>
      <c r="E342" s="39" t="n">
        <v>-150.587</v>
      </c>
      <c r="F342" s="29" t="n">
        <f aca="false">IF(D342=0,"",E342/D342)</f>
        <v>-0.094116875</v>
      </c>
      <c r="G342" s="26" t="n">
        <v>1553</v>
      </c>
      <c r="H342" s="39" t="n">
        <v>-14.846</v>
      </c>
      <c r="I342" s="29" t="n">
        <f aca="false">IF(G342=0,"",H342/G342)</f>
        <v>-0.00955956213779781</v>
      </c>
      <c r="J342" s="26" t="n">
        <v>1</v>
      </c>
      <c r="K342" s="43" t="n">
        <v>0.3321</v>
      </c>
      <c r="L342" s="43" t="n">
        <v>0.6096</v>
      </c>
      <c r="M342" s="43" t="n">
        <v>0.4878</v>
      </c>
      <c r="N342" s="43" t="n">
        <v>0.3895</v>
      </c>
      <c r="O342" s="43" t="n">
        <v>0.3321</v>
      </c>
      <c r="P342" s="26" t="n">
        <v>6</v>
      </c>
      <c r="Q342" s="26" t="n">
        <v>18</v>
      </c>
    </row>
    <row r="343" customFormat="false" ht="15" hidden="false" customHeight="false" outlineLevel="0" collapsed="false">
      <c r="A343" s="8" t="s">
        <v>87</v>
      </c>
      <c r="B343" s="8" t="s">
        <v>242</v>
      </c>
      <c r="C343" s="26" t="n">
        <v>814</v>
      </c>
      <c r="D343" s="26" t="n">
        <v>397</v>
      </c>
      <c r="E343" s="39" t="n">
        <v>-37.648</v>
      </c>
      <c r="F343" s="29" t="n">
        <f aca="false">IF(D343=0,"",E343/D343)</f>
        <v>-0.094831234256927</v>
      </c>
      <c r="G343" s="26" t="n">
        <v>417</v>
      </c>
      <c r="H343" s="39" t="n">
        <v>-23.279</v>
      </c>
      <c r="I343" s="29" t="n">
        <f aca="false">IF(G343=0,"",H343/G343)</f>
        <v>-0.0558249400479616</v>
      </c>
      <c r="J343" s="26" t="n">
        <v>1</v>
      </c>
      <c r="K343" s="43" t="n">
        <v>0.3182</v>
      </c>
      <c r="L343" s="43" t="n">
        <v>0.5958</v>
      </c>
      <c r="M343" s="43" t="n">
        <v>0.4754</v>
      </c>
      <c r="N343" s="43" t="n">
        <v>0.3673</v>
      </c>
      <c r="O343" s="43" t="n">
        <v>0.3182</v>
      </c>
      <c r="P343" s="26" t="n">
        <v>6</v>
      </c>
      <c r="Q343" s="26" t="n">
        <v>14</v>
      </c>
    </row>
    <row r="344" customFormat="false" ht="15" hidden="false" customHeight="false" outlineLevel="0" collapsed="false">
      <c r="A344" s="8" t="s">
        <v>87</v>
      </c>
      <c r="B344" s="8" t="s">
        <v>372</v>
      </c>
      <c r="C344" s="26" t="n">
        <v>3263</v>
      </c>
      <c r="D344" s="26" t="n">
        <v>1675</v>
      </c>
      <c r="E344" s="39" t="n">
        <v>-159.295</v>
      </c>
      <c r="F344" s="29" t="n">
        <f aca="false">IF(D344=0,"",E344/D344)</f>
        <v>-0.0951014925373134</v>
      </c>
      <c r="G344" s="26" t="n">
        <v>1588</v>
      </c>
      <c r="H344" s="39" t="n">
        <v>3.086</v>
      </c>
      <c r="I344" s="29" t="n">
        <f aca="false">IF(G344=0,"",H344/G344)</f>
        <v>0.00194332493702771</v>
      </c>
      <c r="J344" s="26" t="n">
        <v>1</v>
      </c>
      <c r="K344" s="43" t="n">
        <v>0.3344</v>
      </c>
      <c r="L344" s="43" t="n">
        <v>0.6105</v>
      </c>
      <c r="M344" s="43" t="n">
        <v>0.491</v>
      </c>
      <c r="N344" s="43" t="n">
        <v>0.3963</v>
      </c>
      <c r="O344" s="43" t="n">
        <v>0.3344</v>
      </c>
      <c r="P344" s="26" t="n">
        <v>6</v>
      </c>
      <c r="Q344" s="26" t="n">
        <v>17</v>
      </c>
    </row>
    <row r="345" customFormat="false" ht="15" hidden="false" customHeight="false" outlineLevel="0" collapsed="false">
      <c r="A345" s="8" t="s">
        <v>87</v>
      </c>
      <c r="B345" s="8" t="s">
        <v>328</v>
      </c>
      <c r="C345" s="26" t="n">
        <v>3498</v>
      </c>
      <c r="D345" s="26" t="n">
        <v>1796</v>
      </c>
      <c r="E345" s="39" t="n">
        <v>-172.391</v>
      </c>
      <c r="F345" s="29" t="n">
        <f aca="false">IF(D345=0,"",E345/D345)</f>
        <v>-0.0959860801781737</v>
      </c>
      <c r="G345" s="26" t="n">
        <v>1702</v>
      </c>
      <c r="H345" s="39" t="n">
        <v>-38.752</v>
      </c>
      <c r="I345" s="29" t="n">
        <f aca="false">IF(G345=0,"",H345/G345)</f>
        <v>-0.0227685076380729</v>
      </c>
      <c r="J345" s="26" t="n">
        <v>1</v>
      </c>
      <c r="K345" s="43" t="n">
        <v>0.2536</v>
      </c>
      <c r="L345" s="43" t="n">
        <v>0.6026</v>
      </c>
      <c r="M345" s="43" t="n">
        <v>0.4837</v>
      </c>
      <c r="N345" s="43" t="n">
        <v>0.3193</v>
      </c>
      <c r="O345" s="43" t="n">
        <v>0.2536</v>
      </c>
      <c r="P345" s="26" t="n">
        <v>5</v>
      </c>
      <c r="Q345" s="26" t="n">
        <v>8</v>
      </c>
    </row>
    <row r="346" customFormat="false" ht="15" hidden="false" customHeight="false" outlineLevel="0" collapsed="false">
      <c r="A346" s="8" t="s">
        <v>87</v>
      </c>
      <c r="B346" s="8" t="s">
        <v>364</v>
      </c>
      <c r="C346" s="26" t="n">
        <v>3212</v>
      </c>
      <c r="D346" s="26" t="n">
        <v>1617</v>
      </c>
      <c r="E346" s="39" t="n">
        <v>-155.638</v>
      </c>
      <c r="F346" s="29" t="n">
        <f aca="false">IF(D346=0,"",E346/D346)</f>
        <v>-0.0962510822510823</v>
      </c>
      <c r="G346" s="26" t="n">
        <v>1595</v>
      </c>
      <c r="H346" s="39" t="n">
        <v>10.008</v>
      </c>
      <c r="I346" s="29" t="n">
        <f aca="false">IF(G346=0,"",H346/G346)</f>
        <v>0.00627460815047022</v>
      </c>
      <c r="J346" s="26" t="n">
        <v>1</v>
      </c>
      <c r="K346" s="43" t="n">
        <v>0.335</v>
      </c>
      <c r="L346" s="43" t="n">
        <v>0.6024</v>
      </c>
      <c r="M346" s="43" t="n">
        <v>0.4885</v>
      </c>
      <c r="N346" s="43" t="n">
        <v>0.3867</v>
      </c>
      <c r="O346" s="43" t="n">
        <v>0.335</v>
      </c>
      <c r="P346" s="26" t="n">
        <v>6</v>
      </c>
      <c r="Q346" s="26" t="n">
        <v>17</v>
      </c>
    </row>
    <row r="347" customFormat="false" ht="15" hidden="false" customHeight="false" outlineLevel="0" collapsed="false">
      <c r="A347" s="8" t="s">
        <v>87</v>
      </c>
      <c r="B347" s="8" t="s">
        <v>286</v>
      </c>
      <c r="C347" s="26" t="n">
        <v>2535</v>
      </c>
      <c r="D347" s="26" t="n">
        <v>1306</v>
      </c>
      <c r="E347" s="39" t="n">
        <v>-126.097</v>
      </c>
      <c r="F347" s="29" t="n">
        <f aca="false">IF(D347=0,"",E347/D347)</f>
        <v>-0.096552067381317</v>
      </c>
      <c r="G347" s="26" t="n">
        <v>1229</v>
      </c>
      <c r="H347" s="39" t="n">
        <v>-9.493</v>
      </c>
      <c r="I347" s="29" t="n">
        <f aca="false">IF(G347=0,"",H347/G347)</f>
        <v>-0.00772416598860863</v>
      </c>
      <c r="J347" s="26" t="n">
        <v>1</v>
      </c>
      <c r="K347" s="43" t="n">
        <v>0.3325</v>
      </c>
      <c r="L347" s="43" t="n">
        <v>0.6091</v>
      </c>
      <c r="M347" s="43" t="n">
        <v>0.486</v>
      </c>
      <c r="N347" s="43" t="n">
        <v>0.3909</v>
      </c>
      <c r="O347" s="43" t="n">
        <v>0.3325</v>
      </c>
      <c r="P347" s="26" t="n">
        <v>5</v>
      </c>
      <c r="Q347" s="26" t="n">
        <v>18</v>
      </c>
    </row>
    <row r="348" customFormat="false" ht="15" hidden="false" customHeight="false" outlineLevel="0" collapsed="false">
      <c r="A348" s="8" t="s">
        <v>87</v>
      </c>
      <c r="B348" s="8" t="s">
        <v>356</v>
      </c>
      <c r="C348" s="26" t="n">
        <v>3279</v>
      </c>
      <c r="D348" s="26" t="n">
        <v>1653</v>
      </c>
      <c r="E348" s="39" t="n">
        <v>-160.727</v>
      </c>
      <c r="F348" s="29" t="n">
        <f aca="false">IF(D348=0,"",E348/D348)</f>
        <v>-0.0972335148215366</v>
      </c>
      <c r="G348" s="26" t="n">
        <v>1626</v>
      </c>
      <c r="H348" s="39" t="n">
        <v>32.363</v>
      </c>
      <c r="I348" s="29" t="n">
        <f aca="false">IF(G348=0,"",H348/G348)</f>
        <v>0.0199034440344403</v>
      </c>
      <c r="J348" s="26" t="n">
        <v>3</v>
      </c>
      <c r="K348" s="43" t="n">
        <v>0.337</v>
      </c>
      <c r="L348" s="43" t="n">
        <v>0.6084</v>
      </c>
      <c r="M348" s="43" t="n">
        <v>0.4907</v>
      </c>
      <c r="N348" s="43" t="n">
        <v>0.3922</v>
      </c>
      <c r="O348" s="43" t="n">
        <v>0.337</v>
      </c>
      <c r="P348" s="26" t="n">
        <v>6</v>
      </c>
      <c r="Q348" s="26" t="n">
        <v>19</v>
      </c>
    </row>
    <row r="349" customFormat="false" ht="15" hidden="false" customHeight="false" outlineLevel="0" collapsed="false">
      <c r="A349" s="8" t="s">
        <v>87</v>
      </c>
      <c r="B349" s="8" t="s">
        <v>334</v>
      </c>
      <c r="C349" s="26" t="n">
        <v>3165</v>
      </c>
      <c r="D349" s="26" t="n">
        <v>1607</v>
      </c>
      <c r="E349" s="39" t="n">
        <v>-156.404</v>
      </c>
      <c r="F349" s="29" t="n">
        <f aca="false">IF(D349=0,"",E349/D349)</f>
        <v>-0.097326695706285</v>
      </c>
      <c r="G349" s="26" t="n">
        <v>1558</v>
      </c>
      <c r="H349" s="39" t="n">
        <v>-15.068</v>
      </c>
      <c r="I349" s="29" t="n">
        <f aca="false">IF(G349=0,"",H349/G349)</f>
        <v>-0.00967137355584082</v>
      </c>
      <c r="J349" s="26" t="n">
        <v>1</v>
      </c>
      <c r="K349" s="43" t="n">
        <v>0.3321</v>
      </c>
      <c r="L349" s="43" t="n">
        <v>0.6051</v>
      </c>
      <c r="M349" s="43" t="n">
        <v>0.4863</v>
      </c>
      <c r="N349" s="43" t="n">
        <v>0.388</v>
      </c>
      <c r="O349" s="43" t="n">
        <v>0.3321</v>
      </c>
      <c r="P349" s="26" t="n">
        <v>6</v>
      </c>
      <c r="Q349" s="26" t="n">
        <v>18</v>
      </c>
    </row>
    <row r="350" customFormat="false" ht="15" hidden="false" customHeight="false" outlineLevel="0" collapsed="false">
      <c r="A350" s="8" t="s">
        <v>87</v>
      </c>
      <c r="B350" s="8" t="s">
        <v>353</v>
      </c>
      <c r="C350" s="26" t="n">
        <v>3243</v>
      </c>
      <c r="D350" s="26" t="n">
        <v>1646</v>
      </c>
      <c r="E350" s="39" t="n">
        <v>-160.225</v>
      </c>
      <c r="F350" s="29" t="n">
        <f aca="false">IF(D350=0,"",E350/D350)</f>
        <v>-0.0973420413122722</v>
      </c>
      <c r="G350" s="26" t="n">
        <v>1597</v>
      </c>
      <c r="H350" s="39" t="n">
        <v>-27.82</v>
      </c>
      <c r="I350" s="29" t="n">
        <f aca="false">IF(G350=0,"",H350/G350)</f>
        <v>-0.0174201628052599</v>
      </c>
      <c r="J350" s="26" t="n">
        <v>1</v>
      </c>
      <c r="K350" s="43" t="n">
        <v>0.3309</v>
      </c>
      <c r="L350" s="43" t="n">
        <v>0.6016</v>
      </c>
      <c r="M350" s="43" t="n">
        <v>0.4817</v>
      </c>
      <c r="N350" s="43" t="n">
        <v>0.383</v>
      </c>
      <c r="O350" s="43" t="n">
        <v>0.3309</v>
      </c>
      <c r="P350" s="26" t="n">
        <v>6</v>
      </c>
      <c r="Q350" s="26" t="n">
        <v>18</v>
      </c>
    </row>
    <row r="351" customFormat="false" ht="15" hidden="false" customHeight="false" outlineLevel="0" collapsed="false">
      <c r="A351" s="8" t="s">
        <v>87</v>
      </c>
      <c r="B351" s="8" t="s">
        <v>251</v>
      </c>
      <c r="C351" s="26" t="n">
        <v>1692</v>
      </c>
      <c r="D351" s="26" t="n">
        <v>889</v>
      </c>
      <c r="E351" s="39" t="n">
        <v>-86.602</v>
      </c>
      <c r="F351" s="29" t="n">
        <f aca="false">IF(D351=0,"",E351/D351)</f>
        <v>-0.0974150731158605</v>
      </c>
      <c r="G351" s="26" t="n">
        <v>803</v>
      </c>
      <c r="H351" s="39" t="n">
        <v>44.54</v>
      </c>
      <c r="I351" s="29" t="n">
        <f aca="false">IF(G351=0,"",H351/G351)</f>
        <v>0.05546699875467</v>
      </c>
      <c r="J351" s="26" t="n">
        <v>3</v>
      </c>
      <c r="K351" s="43" t="n">
        <v>0.3475</v>
      </c>
      <c r="L351" s="43" t="n">
        <v>0.6105</v>
      </c>
      <c r="M351" s="43" t="n">
        <v>0.4941</v>
      </c>
      <c r="N351" s="43" t="n">
        <v>0.4001</v>
      </c>
      <c r="O351" s="43" t="n">
        <v>0.3475</v>
      </c>
      <c r="P351" s="26" t="n">
        <v>6</v>
      </c>
      <c r="Q351" s="26" t="n">
        <v>13</v>
      </c>
    </row>
    <row r="352" customFormat="false" ht="15" hidden="false" customHeight="false" outlineLevel="0" collapsed="false">
      <c r="A352" s="8" t="s">
        <v>87</v>
      </c>
      <c r="B352" s="8" t="s">
        <v>354</v>
      </c>
      <c r="C352" s="26" t="n">
        <v>3176</v>
      </c>
      <c r="D352" s="26" t="n">
        <v>1609</v>
      </c>
      <c r="E352" s="39" t="n">
        <v>-156.988</v>
      </c>
      <c r="F352" s="29" t="n">
        <f aca="false">IF(D352=0,"",E352/D352)</f>
        <v>-0.0975686761963953</v>
      </c>
      <c r="G352" s="26" t="n">
        <v>1567</v>
      </c>
      <c r="H352" s="39" t="n">
        <v>-12.486</v>
      </c>
      <c r="I352" s="29" t="n">
        <f aca="false">IF(G352=0,"",H352/G352)</f>
        <v>-0.00796809189534142</v>
      </c>
      <c r="J352" s="26" t="n">
        <v>1</v>
      </c>
      <c r="K352" s="43" t="n">
        <v>0.3325</v>
      </c>
      <c r="L352" s="43" t="n">
        <v>0.6036</v>
      </c>
      <c r="M352" s="43" t="n">
        <v>0.4849</v>
      </c>
      <c r="N352" s="43" t="n">
        <v>0.3876</v>
      </c>
      <c r="O352" s="43" t="n">
        <v>0.3325</v>
      </c>
      <c r="P352" s="26" t="n">
        <v>6</v>
      </c>
      <c r="Q352" s="26" t="n">
        <v>18</v>
      </c>
    </row>
    <row r="353" customFormat="false" ht="15" hidden="false" customHeight="false" outlineLevel="0" collapsed="false">
      <c r="A353" s="8" t="s">
        <v>87</v>
      </c>
      <c r="B353" s="8" t="s">
        <v>265</v>
      </c>
      <c r="C353" s="26" t="n">
        <v>3123</v>
      </c>
      <c r="D353" s="26" t="n">
        <v>1586</v>
      </c>
      <c r="E353" s="39" t="n">
        <v>-154.998</v>
      </c>
      <c r="F353" s="29" t="n">
        <f aca="false">IF(D353=0,"",E353/D353)</f>
        <v>-0.0977288776796974</v>
      </c>
      <c r="G353" s="26" t="n">
        <v>1537</v>
      </c>
      <c r="H353" s="39" t="n">
        <v>-17.749</v>
      </c>
      <c r="I353" s="29" t="n">
        <f aca="false">IF(G353=0,"",H353/G353)</f>
        <v>-0.0115478204294079</v>
      </c>
      <c r="J353" s="26" t="n">
        <v>1</v>
      </c>
      <c r="K353" s="43" t="n">
        <v>0.3317</v>
      </c>
      <c r="L353" s="43" t="n">
        <v>0.6042</v>
      </c>
      <c r="M353" s="43" t="n">
        <v>0.4841</v>
      </c>
      <c r="N353" s="43" t="n">
        <v>0.3868</v>
      </c>
      <c r="O353" s="43" t="n">
        <v>0.3317</v>
      </c>
      <c r="P353" s="26" t="n">
        <v>6</v>
      </c>
      <c r="Q353" s="26" t="n">
        <v>18</v>
      </c>
    </row>
    <row r="354" customFormat="false" ht="15" hidden="false" customHeight="false" outlineLevel="0" collapsed="false">
      <c r="A354" s="8" t="s">
        <v>87</v>
      </c>
      <c r="B354" s="8" t="s">
        <v>293</v>
      </c>
      <c r="C354" s="26" t="n">
        <v>2636</v>
      </c>
      <c r="D354" s="26" t="n">
        <v>1373</v>
      </c>
      <c r="E354" s="39" t="n">
        <v>-134.53</v>
      </c>
      <c r="F354" s="29" t="n">
        <f aca="false">IF(D354=0,"",E354/D354)</f>
        <v>-0.0979825200291333</v>
      </c>
      <c r="G354" s="26" t="n">
        <v>1263</v>
      </c>
      <c r="H354" s="39" t="n">
        <v>-4.997</v>
      </c>
      <c r="I354" s="29" t="n">
        <f aca="false">IF(G354=0,"",H354/G354)</f>
        <v>-0.00395645288994458</v>
      </c>
      <c r="J354" s="26" t="n">
        <v>1</v>
      </c>
      <c r="K354" s="43" t="n">
        <v>0.3342</v>
      </c>
      <c r="L354" s="43" t="n">
        <v>0.6051</v>
      </c>
      <c r="M354" s="43" t="n">
        <v>0.4879</v>
      </c>
      <c r="N354" s="43" t="n">
        <v>0.3919</v>
      </c>
      <c r="O354" s="43" t="n">
        <v>0.3342</v>
      </c>
      <c r="P354" s="26" t="n">
        <v>6</v>
      </c>
      <c r="Q354" s="26" t="n">
        <v>18</v>
      </c>
    </row>
    <row r="355" customFormat="false" ht="15" hidden="false" customHeight="false" outlineLevel="0" collapsed="false">
      <c r="A355" s="8" t="s">
        <v>87</v>
      </c>
      <c r="B355" s="8" t="s">
        <v>313</v>
      </c>
      <c r="C355" s="26" t="n">
        <v>3107</v>
      </c>
      <c r="D355" s="26" t="n">
        <v>1576</v>
      </c>
      <c r="E355" s="39" t="n">
        <v>-154.444</v>
      </c>
      <c r="F355" s="29" t="n">
        <f aca="false">IF(D355=0,"",E355/D355)</f>
        <v>-0.097997461928934</v>
      </c>
      <c r="G355" s="26" t="n">
        <v>1531</v>
      </c>
      <c r="H355" s="39" t="n">
        <v>-20.192</v>
      </c>
      <c r="I355" s="29" t="n">
        <f aca="false">IF(G355=0,"",H355/G355)</f>
        <v>-0.0131887655127368</v>
      </c>
      <c r="J355" s="26" t="n">
        <v>1</v>
      </c>
      <c r="K355" s="43" t="n">
        <v>0.3315</v>
      </c>
      <c r="L355" s="43" t="n">
        <v>0.6057</v>
      </c>
      <c r="M355" s="43" t="n">
        <v>0.4837</v>
      </c>
      <c r="N355" s="43" t="n">
        <v>0.3865</v>
      </c>
      <c r="O355" s="43" t="n">
        <v>0.3315</v>
      </c>
      <c r="P355" s="26" t="n">
        <v>6</v>
      </c>
      <c r="Q355" s="26" t="n">
        <v>17</v>
      </c>
    </row>
    <row r="356" customFormat="false" ht="15" hidden="false" customHeight="false" outlineLevel="0" collapsed="false">
      <c r="A356" s="8" t="s">
        <v>87</v>
      </c>
      <c r="B356" s="8" t="s">
        <v>301</v>
      </c>
      <c r="C356" s="26" t="n">
        <v>3118</v>
      </c>
      <c r="D356" s="26" t="n">
        <v>1593</v>
      </c>
      <c r="E356" s="39" t="n">
        <v>-156.485</v>
      </c>
      <c r="F356" s="29" t="n">
        <f aca="false">IF(D356=0,"",E356/D356)</f>
        <v>-0.09823289391086</v>
      </c>
      <c r="G356" s="26" t="n">
        <v>1525</v>
      </c>
      <c r="H356" s="39" t="n">
        <v>3.988</v>
      </c>
      <c r="I356" s="29" t="n">
        <f aca="false">IF(G356=0,"",H356/G356)</f>
        <v>0.00261508196721311</v>
      </c>
      <c r="J356" s="26" t="n">
        <v>2</v>
      </c>
      <c r="K356" s="43" t="n">
        <v>0.3339</v>
      </c>
      <c r="L356" s="43" t="n">
        <v>0.6074</v>
      </c>
      <c r="M356" s="43" t="n">
        <v>0.4875</v>
      </c>
      <c r="N356" s="43" t="n">
        <v>0.3894</v>
      </c>
      <c r="O356" s="43" t="n">
        <v>0.3339</v>
      </c>
      <c r="P356" s="26" t="n">
        <v>6</v>
      </c>
      <c r="Q356" s="26" t="n">
        <v>18</v>
      </c>
    </row>
    <row r="357" customFormat="false" ht="15" hidden="false" customHeight="false" outlineLevel="0" collapsed="false">
      <c r="A357" s="8" t="s">
        <v>87</v>
      </c>
      <c r="B357" s="8" t="s">
        <v>315</v>
      </c>
      <c r="C357" s="26" t="n">
        <v>3972</v>
      </c>
      <c r="D357" s="26" t="n">
        <v>2066</v>
      </c>
      <c r="E357" s="39" t="n">
        <v>-203.127</v>
      </c>
      <c r="F357" s="29" t="n">
        <f aca="false">IF(D357=0,"",E357/D357)</f>
        <v>-0.0983189738625363</v>
      </c>
      <c r="G357" s="26" t="n">
        <v>1906</v>
      </c>
      <c r="H357" s="39" t="n">
        <v>-22.026</v>
      </c>
      <c r="I357" s="29" t="n">
        <f aca="false">IF(G357=0,"",H357/G357)</f>
        <v>-0.0115561385099685</v>
      </c>
      <c r="J357" s="26" t="n">
        <v>2</v>
      </c>
      <c r="K357" s="43" t="n">
        <v>0.3761</v>
      </c>
      <c r="L357" s="43" t="n">
        <v>0.6032</v>
      </c>
      <c r="M357" s="43" t="n">
        <v>0.3764</v>
      </c>
      <c r="N357" s="43" t="n">
        <v>0.175</v>
      </c>
      <c r="O357" s="43" t="n">
        <v>0.0974</v>
      </c>
      <c r="P357" s="26" t="n">
        <v>7</v>
      </c>
      <c r="Q357" s="26" t="n">
        <v>7</v>
      </c>
    </row>
    <row r="358" customFormat="false" ht="15" hidden="false" customHeight="false" outlineLevel="0" collapsed="false">
      <c r="A358" s="8" t="s">
        <v>87</v>
      </c>
      <c r="B358" s="8" t="s">
        <v>287</v>
      </c>
      <c r="C358" s="26" t="n">
        <v>2788</v>
      </c>
      <c r="D358" s="26" t="n">
        <v>1436</v>
      </c>
      <c r="E358" s="39" t="n">
        <v>-141.342</v>
      </c>
      <c r="F358" s="29" t="n">
        <f aca="false">IF(D358=0,"",E358/D358)</f>
        <v>-0.0984275766016713</v>
      </c>
      <c r="G358" s="26" t="n">
        <v>1352</v>
      </c>
      <c r="H358" s="39" t="n">
        <v>-54.652</v>
      </c>
      <c r="I358" s="29" t="n">
        <f aca="false">IF(G358=0,"",H358/G358)</f>
        <v>-0.0404230769230769</v>
      </c>
      <c r="J358" s="26" t="n">
        <v>1</v>
      </c>
      <c r="K358" s="43" t="n">
        <v>0.3275</v>
      </c>
      <c r="L358" s="43" t="n">
        <v>0.6004</v>
      </c>
      <c r="M358" s="43" t="n">
        <v>0.4839</v>
      </c>
      <c r="N358" s="43" t="n">
        <v>0.3881</v>
      </c>
      <c r="O358" s="43" t="n">
        <v>0.3275</v>
      </c>
      <c r="P358" s="26" t="n">
        <v>6</v>
      </c>
      <c r="Q358" s="26" t="n">
        <v>20</v>
      </c>
    </row>
    <row r="359" customFormat="false" ht="15" hidden="false" customHeight="false" outlineLevel="0" collapsed="false">
      <c r="A359" s="8" t="s">
        <v>87</v>
      </c>
      <c r="B359" s="8" t="s">
        <v>332</v>
      </c>
      <c r="C359" s="26" t="n">
        <v>3152</v>
      </c>
      <c r="D359" s="26" t="n">
        <v>1597</v>
      </c>
      <c r="E359" s="39" t="n">
        <v>-157.233</v>
      </c>
      <c r="F359" s="29" t="n">
        <f aca="false">IF(D359=0,"",E359/D359)</f>
        <v>-0.0984552285535379</v>
      </c>
      <c r="G359" s="26" t="n">
        <v>1555</v>
      </c>
      <c r="H359" s="39" t="n">
        <v>-20.171</v>
      </c>
      <c r="I359" s="29" t="n">
        <f aca="false">IF(G359=0,"",H359/G359)</f>
        <v>-0.0129717041800643</v>
      </c>
      <c r="J359" s="26" t="n">
        <v>1</v>
      </c>
      <c r="K359" s="43" t="n">
        <v>0.3309</v>
      </c>
      <c r="L359" s="43" t="n">
        <v>0.6034</v>
      </c>
      <c r="M359" s="43" t="n">
        <v>0.4851</v>
      </c>
      <c r="N359" s="43" t="n">
        <v>0.3874</v>
      </c>
      <c r="O359" s="43" t="n">
        <v>0.3309</v>
      </c>
      <c r="P359" s="26" t="n">
        <v>6</v>
      </c>
      <c r="Q359" s="26" t="n">
        <v>18</v>
      </c>
    </row>
    <row r="360" customFormat="false" ht="15" hidden="false" customHeight="false" outlineLevel="0" collapsed="false">
      <c r="A360" s="8" t="s">
        <v>87</v>
      </c>
      <c r="B360" s="8" t="s">
        <v>277</v>
      </c>
      <c r="C360" s="26" t="n">
        <v>2619</v>
      </c>
      <c r="D360" s="26" t="n">
        <v>1340</v>
      </c>
      <c r="E360" s="39" t="n">
        <v>-132.208</v>
      </c>
      <c r="F360" s="29" t="n">
        <f aca="false">IF(D360=0,"",E360/D360)</f>
        <v>-0.0986626865671642</v>
      </c>
      <c r="G360" s="26" t="n">
        <v>1279</v>
      </c>
      <c r="H360" s="39" t="n">
        <v>-33.612</v>
      </c>
      <c r="I360" s="29" t="n">
        <f aca="false">IF(G360=0,"",H360/G360)</f>
        <v>-0.0262799061767006</v>
      </c>
      <c r="J360" s="26" t="n">
        <v>0</v>
      </c>
      <c r="K360" s="43" t="n">
        <v>0.3295</v>
      </c>
      <c r="L360" s="43" t="n">
        <v>0.6052</v>
      </c>
      <c r="M360" s="43" t="n">
        <v>0.4861</v>
      </c>
      <c r="N360" s="43" t="n">
        <v>0.3876</v>
      </c>
      <c r="O360" s="43" t="n">
        <v>0.3295</v>
      </c>
      <c r="P360" s="26" t="n">
        <v>7</v>
      </c>
      <c r="Q360" s="26" t="n">
        <v>17</v>
      </c>
    </row>
    <row r="361" customFormat="false" ht="15" hidden="false" customHeight="false" outlineLevel="0" collapsed="false">
      <c r="A361" s="8" t="s">
        <v>87</v>
      </c>
      <c r="B361" s="8" t="s">
        <v>282</v>
      </c>
      <c r="C361" s="26" t="n">
        <v>1322</v>
      </c>
      <c r="D361" s="26" t="n">
        <v>640</v>
      </c>
      <c r="E361" s="39" t="n">
        <v>-63.214</v>
      </c>
      <c r="F361" s="29" t="n">
        <f aca="false">IF(D361=0,"",E361/D361)</f>
        <v>-0.098771875</v>
      </c>
      <c r="G361" s="26" t="n">
        <v>682</v>
      </c>
      <c r="H361" s="39" t="n">
        <v>16.098</v>
      </c>
      <c r="I361" s="29" t="n">
        <f aca="false">IF(G361=0,"",H361/G361)</f>
        <v>0.0236041055718475</v>
      </c>
      <c r="J361" s="26" t="n">
        <v>2</v>
      </c>
      <c r="K361" s="43" t="n">
        <v>0.3374</v>
      </c>
      <c r="L361" s="43" t="n">
        <v>0.5968</v>
      </c>
      <c r="M361" s="43" t="n">
        <v>0.4834</v>
      </c>
      <c r="N361" s="43" t="n">
        <v>0.3911</v>
      </c>
      <c r="O361" s="43" t="n">
        <v>0.3374</v>
      </c>
      <c r="P361" s="26" t="n">
        <v>7</v>
      </c>
      <c r="Q361" s="26" t="n">
        <v>13</v>
      </c>
    </row>
    <row r="362" customFormat="false" ht="15" hidden="false" customHeight="false" outlineLevel="0" collapsed="false">
      <c r="A362" s="8" t="s">
        <v>87</v>
      </c>
      <c r="B362" s="8" t="s">
        <v>263</v>
      </c>
      <c r="C362" s="26" t="n">
        <v>3040</v>
      </c>
      <c r="D362" s="26" t="n">
        <v>1548</v>
      </c>
      <c r="E362" s="39" t="n">
        <v>-152.96</v>
      </c>
      <c r="F362" s="29" t="n">
        <f aca="false">IF(D362=0,"",E362/D362)</f>
        <v>-0.0988113695090439</v>
      </c>
      <c r="G362" s="26" t="n">
        <v>1492</v>
      </c>
      <c r="H362" s="39" t="n">
        <v>-7.907</v>
      </c>
      <c r="I362" s="29" t="n">
        <f aca="false">IF(G362=0,"",H362/G362)</f>
        <v>-0.00529959785522788</v>
      </c>
      <c r="J362" s="26" t="n">
        <v>1</v>
      </c>
      <c r="K362" s="43" t="n">
        <v>0.3326</v>
      </c>
      <c r="L362" s="43" t="n">
        <v>0.6056</v>
      </c>
      <c r="M362" s="43" t="n">
        <v>0.4862</v>
      </c>
      <c r="N362" s="43" t="n">
        <v>0.3882</v>
      </c>
      <c r="O362" s="43" t="n">
        <v>0.3326</v>
      </c>
      <c r="P362" s="26" t="n">
        <v>5</v>
      </c>
      <c r="Q362" s="26" t="n">
        <v>18</v>
      </c>
    </row>
    <row r="363" customFormat="false" ht="15" hidden="false" customHeight="false" outlineLevel="0" collapsed="false">
      <c r="A363" s="8" t="s">
        <v>87</v>
      </c>
      <c r="B363" s="8" t="s">
        <v>380</v>
      </c>
      <c r="C363" s="26" t="n">
        <v>2040</v>
      </c>
      <c r="D363" s="26" t="n">
        <v>1045</v>
      </c>
      <c r="E363" s="39" t="n">
        <v>-103.266</v>
      </c>
      <c r="F363" s="29" t="n">
        <f aca="false">IF(D363=0,"",E363/D363)</f>
        <v>-0.0988191387559809</v>
      </c>
      <c r="G363" s="26" t="n">
        <v>995</v>
      </c>
      <c r="H363" s="39" t="n">
        <v>-5.37</v>
      </c>
      <c r="I363" s="29" t="n">
        <f aca="false">IF(G363=0,"",H363/G363)</f>
        <v>-0.00539698492462312</v>
      </c>
      <c r="J363" s="26" t="n">
        <v>2</v>
      </c>
      <c r="K363" s="43" t="n">
        <v>0.3353</v>
      </c>
      <c r="L363" s="43" t="n">
        <v>0.5966</v>
      </c>
      <c r="M363" s="43" t="n">
        <v>0.4873</v>
      </c>
      <c r="N363" s="43" t="n">
        <v>0.3897</v>
      </c>
      <c r="O363" s="43" t="n">
        <v>0.3353</v>
      </c>
      <c r="P363" s="26" t="n">
        <v>5</v>
      </c>
      <c r="Q363" s="26" t="n">
        <v>17</v>
      </c>
    </row>
    <row r="364" customFormat="false" ht="15" hidden="false" customHeight="false" outlineLevel="0" collapsed="false">
      <c r="A364" s="8" t="s">
        <v>87</v>
      </c>
      <c r="B364" s="8" t="s">
        <v>367</v>
      </c>
      <c r="C364" s="26" t="n">
        <v>3182</v>
      </c>
      <c r="D364" s="26" t="n">
        <v>1618</v>
      </c>
      <c r="E364" s="39" t="n">
        <v>-160.209</v>
      </c>
      <c r="F364" s="29" t="n">
        <f aca="false">IF(D364=0,"",E364/D364)</f>
        <v>-0.0990166872682324</v>
      </c>
      <c r="G364" s="26" t="n">
        <v>1564</v>
      </c>
      <c r="H364" s="39" t="n">
        <v>-16.533</v>
      </c>
      <c r="I364" s="29" t="n">
        <f aca="false">IF(G364=0,"",H364/G364)</f>
        <v>-0.0105709718670077</v>
      </c>
      <c r="J364" s="26" t="n">
        <v>1</v>
      </c>
      <c r="K364" s="43" t="n">
        <v>0.3325</v>
      </c>
      <c r="L364" s="43" t="n">
        <v>0.6012</v>
      </c>
      <c r="M364" s="43" t="n">
        <v>0.4833</v>
      </c>
      <c r="N364" s="43" t="n">
        <v>0.3878</v>
      </c>
      <c r="O364" s="43" t="n">
        <v>0.3325</v>
      </c>
      <c r="P364" s="26" t="n">
        <v>6</v>
      </c>
      <c r="Q364" s="26" t="n">
        <v>18</v>
      </c>
    </row>
    <row r="365" customFormat="false" ht="15" hidden="false" customHeight="false" outlineLevel="0" collapsed="false">
      <c r="A365" s="8" t="s">
        <v>87</v>
      </c>
      <c r="B365" s="8" t="s">
        <v>321</v>
      </c>
      <c r="C365" s="26" t="n">
        <v>3171</v>
      </c>
      <c r="D365" s="26" t="n">
        <v>1607</v>
      </c>
      <c r="E365" s="39" t="n">
        <v>-159.517</v>
      </c>
      <c r="F365" s="29" t="n">
        <f aca="false">IF(D365=0,"",E365/D365)</f>
        <v>-0.0992638456751711</v>
      </c>
      <c r="G365" s="26" t="n">
        <v>1564</v>
      </c>
      <c r="H365" s="39" t="n">
        <v>-0.267</v>
      </c>
      <c r="I365" s="29" t="n">
        <f aca="false">IF(G365=0,"",H365/G365)</f>
        <v>-0.000170716112531969</v>
      </c>
      <c r="J365" s="26" t="n">
        <v>1</v>
      </c>
      <c r="K365" s="43" t="n">
        <v>0.3333</v>
      </c>
      <c r="L365" s="43" t="n">
        <v>0.6052</v>
      </c>
      <c r="M365" s="43" t="n">
        <v>0.485</v>
      </c>
      <c r="N365" s="43" t="n">
        <v>0.3888</v>
      </c>
      <c r="O365" s="43" t="n">
        <v>0.3333</v>
      </c>
      <c r="P365" s="26" t="n">
        <v>6</v>
      </c>
      <c r="Q365" s="26" t="n">
        <v>18</v>
      </c>
    </row>
    <row r="366" customFormat="false" ht="15" hidden="false" customHeight="false" outlineLevel="0" collapsed="false">
      <c r="A366" s="8" t="s">
        <v>87</v>
      </c>
      <c r="B366" s="8" t="s">
        <v>375</v>
      </c>
      <c r="C366" s="26" t="n">
        <v>2827</v>
      </c>
      <c r="D366" s="26" t="n">
        <v>1446</v>
      </c>
      <c r="E366" s="39" t="n">
        <v>-143.703</v>
      </c>
      <c r="F366" s="29" t="n">
        <f aca="false">IF(D366=0,"",E366/D366)</f>
        <v>-0.0993796680497925</v>
      </c>
      <c r="G366" s="26" t="n">
        <v>1381</v>
      </c>
      <c r="H366" s="39" t="n">
        <v>13.194</v>
      </c>
      <c r="I366" s="29" t="n">
        <f aca="false">IF(G366=0,"",H366/G366)</f>
        <v>0.00955394641564084</v>
      </c>
      <c r="J366" s="26" t="n">
        <v>2</v>
      </c>
      <c r="K366" s="43" t="n">
        <v>0.336</v>
      </c>
      <c r="L366" s="43" t="n">
        <v>0.6021</v>
      </c>
      <c r="M366" s="43" t="n">
        <v>0.4878</v>
      </c>
      <c r="N366" s="43" t="n">
        <v>0.3905</v>
      </c>
      <c r="O366" s="43" t="n">
        <v>0.336</v>
      </c>
      <c r="P366" s="26" t="n">
        <v>5</v>
      </c>
      <c r="Q366" s="26" t="n">
        <v>20</v>
      </c>
    </row>
    <row r="367" customFormat="false" ht="15" hidden="false" customHeight="false" outlineLevel="0" collapsed="false">
      <c r="A367" s="8" t="s">
        <v>87</v>
      </c>
      <c r="B367" s="8" t="s">
        <v>316</v>
      </c>
      <c r="C367" s="26" t="n">
        <v>3243</v>
      </c>
      <c r="D367" s="26" t="n">
        <v>1636</v>
      </c>
      <c r="E367" s="39" t="n">
        <v>-162.6</v>
      </c>
      <c r="F367" s="29" t="n">
        <f aca="false">IF(D367=0,"",E367/D367)</f>
        <v>-0.0993887530562347</v>
      </c>
      <c r="G367" s="26" t="n">
        <v>1607</v>
      </c>
      <c r="H367" s="39" t="n">
        <v>-21.179</v>
      </c>
      <c r="I367" s="29" t="n">
        <f aca="false">IF(G367=0,"",H367/G367)</f>
        <v>-0.0131792159303049</v>
      </c>
      <c r="J367" s="26" t="n">
        <v>1</v>
      </c>
      <c r="K367" s="43" t="n">
        <v>0.3315</v>
      </c>
      <c r="L367" s="43" t="n">
        <v>0.5991</v>
      </c>
      <c r="M367" s="43" t="n">
        <v>0.4792</v>
      </c>
      <c r="N367" s="43" t="n">
        <v>0.3861</v>
      </c>
      <c r="O367" s="43" t="n">
        <v>0.3315</v>
      </c>
      <c r="P367" s="26" t="n">
        <v>6</v>
      </c>
      <c r="Q367" s="26" t="n">
        <v>15</v>
      </c>
    </row>
    <row r="368" customFormat="false" ht="15" hidden="false" customHeight="false" outlineLevel="0" collapsed="false">
      <c r="A368" s="8" t="s">
        <v>87</v>
      </c>
      <c r="B368" s="8" t="s">
        <v>249</v>
      </c>
      <c r="C368" s="26" t="n">
        <v>2095</v>
      </c>
      <c r="D368" s="26" t="n">
        <v>1096</v>
      </c>
      <c r="E368" s="39" t="n">
        <v>-108.978</v>
      </c>
      <c r="F368" s="29" t="n">
        <f aca="false">IF(D368=0,"",E368/D368)</f>
        <v>-0.0994324817518248</v>
      </c>
      <c r="G368" s="26" t="n">
        <v>999</v>
      </c>
      <c r="H368" s="39" t="n">
        <v>-25.004</v>
      </c>
      <c r="I368" s="29" t="n">
        <f aca="false">IF(G368=0,"",H368/G368)</f>
        <v>-0.025029029029029</v>
      </c>
      <c r="J368" s="26" t="n">
        <v>0</v>
      </c>
      <c r="K368" s="43" t="n">
        <v>0.3255</v>
      </c>
      <c r="L368" s="43" t="n">
        <v>0.601</v>
      </c>
      <c r="M368" s="43" t="n">
        <v>0.4826</v>
      </c>
      <c r="N368" s="43" t="n">
        <v>0.3823</v>
      </c>
      <c r="O368" s="43" t="n">
        <v>0.3255</v>
      </c>
      <c r="P368" s="26" t="n">
        <v>5</v>
      </c>
      <c r="Q368" s="26" t="n">
        <v>15</v>
      </c>
    </row>
    <row r="369" customFormat="false" ht="15" hidden="false" customHeight="false" outlineLevel="0" collapsed="false">
      <c r="A369" s="8" t="s">
        <v>87</v>
      </c>
      <c r="B369" s="8" t="s">
        <v>266</v>
      </c>
      <c r="C369" s="26" t="n">
        <v>2765</v>
      </c>
      <c r="D369" s="26" t="n">
        <v>1427</v>
      </c>
      <c r="E369" s="39" t="n">
        <v>-142.423</v>
      </c>
      <c r="F369" s="29" t="n">
        <f aca="false">IF(D369=0,"",E369/D369)</f>
        <v>-0.0998058864751226</v>
      </c>
      <c r="G369" s="26" t="n">
        <v>1338</v>
      </c>
      <c r="H369" s="39" t="n">
        <v>5.12</v>
      </c>
      <c r="I369" s="29" t="n">
        <f aca="false">IF(G369=0,"",H369/G369)</f>
        <v>0.00382660687593423</v>
      </c>
      <c r="J369" s="26" t="n">
        <v>1</v>
      </c>
      <c r="K369" s="43" t="n">
        <v>0.3338</v>
      </c>
      <c r="L369" s="43" t="n">
        <v>0.6054</v>
      </c>
      <c r="M369" s="43" t="n">
        <v>0.4846</v>
      </c>
      <c r="N369" s="43" t="n">
        <v>0.3892</v>
      </c>
      <c r="O369" s="43" t="n">
        <v>0.3338</v>
      </c>
      <c r="P369" s="26" t="n">
        <v>5</v>
      </c>
      <c r="Q369" s="26" t="n">
        <v>19</v>
      </c>
    </row>
    <row r="370" customFormat="false" ht="15" hidden="false" customHeight="false" outlineLevel="0" collapsed="false">
      <c r="A370" s="8" t="s">
        <v>87</v>
      </c>
      <c r="B370" s="8" t="s">
        <v>347</v>
      </c>
      <c r="C370" s="26" t="n">
        <v>3214</v>
      </c>
      <c r="D370" s="26" t="n">
        <v>1629</v>
      </c>
      <c r="E370" s="39" t="n">
        <v>-163.015</v>
      </c>
      <c r="F370" s="29" t="n">
        <f aca="false">IF(D370=0,"",E370/D370)</f>
        <v>-0.100070595457336</v>
      </c>
      <c r="G370" s="26" t="n">
        <v>1585</v>
      </c>
      <c r="H370" s="39" t="n">
        <v>-30.807</v>
      </c>
      <c r="I370" s="29" t="n">
        <f aca="false">IF(G370=0,"",H370/G370)</f>
        <v>-0.0194365930599369</v>
      </c>
      <c r="J370" s="26" t="n">
        <v>1</v>
      </c>
      <c r="K370" s="43" t="n">
        <v>0.3301</v>
      </c>
      <c r="L370" s="43" t="n">
        <v>0.6005</v>
      </c>
      <c r="M370" s="43" t="n">
        <v>0.4804</v>
      </c>
      <c r="N370" s="43" t="n">
        <v>0.3833</v>
      </c>
      <c r="O370" s="43" t="n">
        <v>0.3301</v>
      </c>
      <c r="P370" s="26" t="n">
        <v>6</v>
      </c>
      <c r="Q370" s="26" t="n">
        <v>18</v>
      </c>
    </row>
    <row r="371" customFormat="false" ht="15" hidden="false" customHeight="false" outlineLevel="0" collapsed="false">
      <c r="A371" s="8" t="s">
        <v>87</v>
      </c>
      <c r="B371" s="8" t="s">
        <v>318</v>
      </c>
      <c r="C371" s="26" t="n">
        <v>3238</v>
      </c>
      <c r="D371" s="26" t="n">
        <v>1658</v>
      </c>
      <c r="E371" s="39" t="n">
        <v>-166.677</v>
      </c>
      <c r="F371" s="29" t="n">
        <f aca="false">IF(D371=0,"",E371/D371)</f>
        <v>-0.100528950542823</v>
      </c>
      <c r="G371" s="26" t="n">
        <v>1580</v>
      </c>
      <c r="H371" s="39" t="n">
        <v>-4.654</v>
      </c>
      <c r="I371" s="29" t="n">
        <f aca="false">IF(G371=0,"",H371/G371)</f>
        <v>-0.00294556962025316</v>
      </c>
      <c r="J371" s="26" t="n">
        <v>1</v>
      </c>
      <c r="K371" s="43" t="n">
        <v>0.3326</v>
      </c>
      <c r="L371" s="43" t="n">
        <v>0.6044</v>
      </c>
      <c r="M371" s="43" t="n">
        <v>0.4889</v>
      </c>
      <c r="N371" s="43" t="n">
        <v>0.391</v>
      </c>
      <c r="O371" s="43" t="n">
        <v>0.3326</v>
      </c>
      <c r="P371" s="26" t="n">
        <v>6</v>
      </c>
      <c r="Q371" s="26" t="n">
        <v>17</v>
      </c>
    </row>
    <row r="372" customFormat="false" ht="15" hidden="false" customHeight="false" outlineLevel="0" collapsed="false">
      <c r="A372" s="8" t="s">
        <v>87</v>
      </c>
      <c r="B372" s="8" t="s">
        <v>335</v>
      </c>
      <c r="C372" s="26" t="n">
        <v>3145</v>
      </c>
      <c r="D372" s="26" t="n">
        <v>1598</v>
      </c>
      <c r="E372" s="39" t="n">
        <v>-162.543</v>
      </c>
      <c r="F372" s="29" t="n">
        <f aca="false">IF(D372=0,"",E372/D372)</f>
        <v>-0.101716520650814</v>
      </c>
      <c r="G372" s="26" t="n">
        <v>1547</v>
      </c>
      <c r="H372" s="39" t="n">
        <v>-12.868</v>
      </c>
      <c r="I372" s="29" t="n">
        <f aca="false">IF(G372=0,"",H372/G372)</f>
        <v>-0.0083180349062702</v>
      </c>
      <c r="J372" s="26" t="n">
        <v>1</v>
      </c>
      <c r="K372" s="43" t="n">
        <v>0.3316</v>
      </c>
      <c r="L372" s="43" t="n">
        <v>0.6057</v>
      </c>
      <c r="M372" s="43" t="n">
        <v>0.4862</v>
      </c>
      <c r="N372" s="43" t="n">
        <v>0.3879</v>
      </c>
      <c r="O372" s="43" t="n">
        <v>0.3316</v>
      </c>
      <c r="P372" s="26" t="n">
        <v>6</v>
      </c>
      <c r="Q372" s="26" t="n">
        <v>17</v>
      </c>
    </row>
    <row r="373" customFormat="false" ht="15" hidden="false" customHeight="false" outlineLevel="0" collapsed="false">
      <c r="A373" s="8" t="s">
        <v>87</v>
      </c>
      <c r="B373" s="8" t="s">
        <v>264</v>
      </c>
      <c r="C373" s="26" t="n">
        <v>3169</v>
      </c>
      <c r="D373" s="26" t="n">
        <v>1610</v>
      </c>
      <c r="E373" s="39" t="n">
        <v>-163.879</v>
      </c>
      <c r="F373" s="29" t="n">
        <f aca="false">IF(D373=0,"",E373/D373)</f>
        <v>-0.101788198757764</v>
      </c>
      <c r="G373" s="26" t="n">
        <v>1559</v>
      </c>
      <c r="H373" s="39" t="n">
        <v>-10.203</v>
      </c>
      <c r="I373" s="29" t="n">
        <f aca="false">IF(G373=0,"",H373/G373)</f>
        <v>-0.0065445798588839</v>
      </c>
      <c r="J373" s="26" t="n">
        <v>1</v>
      </c>
      <c r="K373" s="43" t="n">
        <v>0.332</v>
      </c>
      <c r="L373" s="43" t="n">
        <v>0.6049</v>
      </c>
      <c r="M373" s="43" t="n">
        <v>0.486</v>
      </c>
      <c r="N373" s="43" t="n">
        <v>0.3878</v>
      </c>
      <c r="O373" s="43" t="n">
        <v>0.332</v>
      </c>
      <c r="P373" s="26" t="n">
        <v>6</v>
      </c>
      <c r="Q373" s="26" t="n">
        <v>18</v>
      </c>
    </row>
    <row r="374" customFormat="false" ht="15" hidden="false" customHeight="false" outlineLevel="0" collapsed="false">
      <c r="A374" s="8" t="s">
        <v>87</v>
      </c>
      <c r="B374" s="8" t="s">
        <v>339</v>
      </c>
      <c r="C374" s="26" t="n">
        <v>3169</v>
      </c>
      <c r="D374" s="26" t="n">
        <v>1610</v>
      </c>
      <c r="E374" s="39" t="n">
        <v>-163.879</v>
      </c>
      <c r="F374" s="29" t="n">
        <f aca="false">IF(D374=0,"",E374/D374)</f>
        <v>-0.101788198757764</v>
      </c>
      <c r="G374" s="26" t="n">
        <v>1559</v>
      </c>
      <c r="H374" s="39" t="n">
        <v>-10.203</v>
      </c>
      <c r="I374" s="29" t="n">
        <f aca="false">IF(G374=0,"",H374/G374)</f>
        <v>-0.0065445798588839</v>
      </c>
      <c r="J374" s="26" t="n">
        <v>1</v>
      </c>
      <c r="K374" s="43" t="n">
        <v>0.332</v>
      </c>
      <c r="L374" s="43" t="n">
        <v>0.6049</v>
      </c>
      <c r="M374" s="43" t="n">
        <v>0.486</v>
      </c>
      <c r="N374" s="43" t="n">
        <v>0.3878</v>
      </c>
      <c r="O374" s="43" t="n">
        <v>0.332</v>
      </c>
      <c r="P374" s="26" t="n">
        <v>6</v>
      </c>
      <c r="Q374" s="26" t="n">
        <v>18</v>
      </c>
    </row>
    <row r="375" customFormat="false" ht="15" hidden="false" customHeight="false" outlineLevel="0" collapsed="false">
      <c r="A375" s="8" t="s">
        <v>87</v>
      </c>
      <c r="B375" s="8" t="s">
        <v>340</v>
      </c>
      <c r="C375" s="26" t="n">
        <v>3172</v>
      </c>
      <c r="D375" s="26" t="n">
        <v>1610</v>
      </c>
      <c r="E375" s="39" t="n">
        <v>-163.879</v>
      </c>
      <c r="F375" s="29" t="n">
        <f aca="false">IF(D375=0,"",E375/D375)</f>
        <v>-0.101788198757764</v>
      </c>
      <c r="G375" s="26" t="n">
        <v>1562</v>
      </c>
      <c r="H375" s="39" t="n">
        <v>-13.285</v>
      </c>
      <c r="I375" s="29" t="n">
        <f aca="false">IF(G375=0,"",H375/G375)</f>
        <v>-0.00850512163892446</v>
      </c>
      <c r="J375" s="26" t="n">
        <v>1</v>
      </c>
      <c r="K375" s="43" t="n">
        <v>0.3317</v>
      </c>
      <c r="L375" s="43" t="n">
        <v>0.605</v>
      </c>
      <c r="M375" s="43" t="n">
        <v>0.4864</v>
      </c>
      <c r="N375" s="43" t="n">
        <v>0.3884</v>
      </c>
      <c r="O375" s="43" t="n">
        <v>0.3317</v>
      </c>
      <c r="P375" s="26" t="n">
        <v>6</v>
      </c>
      <c r="Q375" s="26" t="n">
        <v>18</v>
      </c>
    </row>
    <row r="376" customFormat="false" ht="15" hidden="false" customHeight="false" outlineLevel="0" collapsed="false">
      <c r="A376" s="8" t="s">
        <v>87</v>
      </c>
      <c r="B376" s="8" t="s">
        <v>338</v>
      </c>
      <c r="C376" s="26" t="n">
        <v>3168</v>
      </c>
      <c r="D376" s="26" t="n">
        <v>1610</v>
      </c>
      <c r="E376" s="39" t="n">
        <v>-163.88</v>
      </c>
      <c r="F376" s="29" t="n">
        <f aca="false">IF(D376=0,"",E376/D376)</f>
        <v>-0.101788819875776</v>
      </c>
      <c r="G376" s="26" t="n">
        <v>1558</v>
      </c>
      <c r="H376" s="39" t="n">
        <v>-12.097</v>
      </c>
      <c r="I376" s="29" t="n">
        <f aca="false">IF(G376=0,"",H376/G376)</f>
        <v>-0.00776444159178434</v>
      </c>
      <c r="J376" s="26" t="n">
        <v>1</v>
      </c>
      <c r="K376" s="43" t="n">
        <v>0.3318</v>
      </c>
      <c r="L376" s="43" t="n">
        <v>0.6061</v>
      </c>
      <c r="M376" s="43" t="n">
        <v>0.4864</v>
      </c>
      <c r="N376" s="43" t="n">
        <v>0.3879</v>
      </c>
      <c r="O376" s="43" t="n">
        <v>0.3318</v>
      </c>
      <c r="P376" s="26" t="n">
        <v>6</v>
      </c>
      <c r="Q376" s="26" t="n">
        <v>18</v>
      </c>
    </row>
    <row r="377" customFormat="false" ht="15" hidden="false" customHeight="false" outlineLevel="0" collapsed="false">
      <c r="A377" s="8" t="s">
        <v>87</v>
      </c>
      <c r="B377" s="8" t="s">
        <v>349</v>
      </c>
      <c r="C377" s="26" t="n">
        <v>3137</v>
      </c>
      <c r="D377" s="26" t="n">
        <v>1592</v>
      </c>
      <c r="E377" s="39" t="n">
        <v>-162.693</v>
      </c>
      <c r="F377" s="29" t="n">
        <f aca="false">IF(D377=0,"",E377/D377)</f>
        <v>-0.102194095477387</v>
      </c>
      <c r="G377" s="26" t="n">
        <v>1545</v>
      </c>
      <c r="H377" s="39" t="n">
        <v>-20.056</v>
      </c>
      <c r="I377" s="29" t="n">
        <f aca="false">IF(G377=0,"",H377/G377)</f>
        <v>-0.0129812297734628</v>
      </c>
      <c r="J377" s="26" t="n">
        <v>1</v>
      </c>
      <c r="K377" s="43" t="n">
        <v>0.3309</v>
      </c>
      <c r="L377" s="43" t="n">
        <v>0.605</v>
      </c>
      <c r="M377" s="43" t="n">
        <v>0.4829</v>
      </c>
      <c r="N377" s="43" t="n">
        <v>0.3848</v>
      </c>
      <c r="O377" s="43" t="n">
        <v>0.3309</v>
      </c>
      <c r="P377" s="26" t="n">
        <v>6</v>
      </c>
      <c r="Q377" s="26" t="n">
        <v>18</v>
      </c>
    </row>
    <row r="378" customFormat="false" ht="15" hidden="false" customHeight="false" outlineLevel="0" collapsed="false">
      <c r="A378" s="8" t="s">
        <v>87</v>
      </c>
      <c r="B378" s="8" t="s">
        <v>309</v>
      </c>
      <c r="C378" s="26" t="n">
        <v>2745</v>
      </c>
      <c r="D378" s="26" t="n">
        <v>1380</v>
      </c>
      <c r="E378" s="39" t="n">
        <v>-141.173</v>
      </c>
      <c r="F378" s="29" t="n">
        <f aca="false">IF(D378=0,"",E378/D378)</f>
        <v>-0.102299275362319</v>
      </c>
      <c r="G378" s="26" t="n">
        <v>1365</v>
      </c>
      <c r="H378" s="39" t="n">
        <v>-22.868</v>
      </c>
      <c r="I378" s="29" t="n">
        <f aca="false">IF(G378=0,"",H378/G378)</f>
        <v>-0.0167531135531136</v>
      </c>
      <c r="J378" s="26" t="n">
        <v>1</v>
      </c>
      <c r="K378" s="43" t="n">
        <v>0.3308</v>
      </c>
      <c r="L378" s="43" t="n">
        <v>0.6087</v>
      </c>
      <c r="M378" s="43" t="n">
        <v>0.4874</v>
      </c>
      <c r="N378" s="43" t="n">
        <v>0.3872</v>
      </c>
      <c r="O378" s="43" t="n">
        <v>0.3308</v>
      </c>
      <c r="P378" s="26" t="n">
        <v>6</v>
      </c>
      <c r="Q378" s="26" t="n">
        <v>15</v>
      </c>
    </row>
    <row r="379" customFormat="false" ht="15" hidden="false" customHeight="false" outlineLevel="0" collapsed="false">
      <c r="A379" s="8" t="s">
        <v>87</v>
      </c>
      <c r="B379" s="8" t="s">
        <v>343</v>
      </c>
      <c r="C379" s="26" t="n">
        <v>3174</v>
      </c>
      <c r="D379" s="26" t="n">
        <v>1611</v>
      </c>
      <c r="E379" s="39" t="n">
        <v>-165.081</v>
      </c>
      <c r="F379" s="29" t="n">
        <f aca="false">IF(D379=0,"",E379/D379)</f>
        <v>-0.10247113594041</v>
      </c>
      <c r="G379" s="26" t="n">
        <v>1563</v>
      </c>
      <c r="H379" s="39" t="n">
        <v>-11.277</v>
      </c>
      <c r="I379" s="29" t="n">
        <f aca="false">IF(G379=0,"",H379/G379)</f>
        <v>-0.00721497120921305</v>
      </c>
      <c r="J379" s="26" t="n">
        <v>1</v>
      </c>
      <c r="K379" s="43" t="n">
        <v>0.3318</v>
      </c>
      <c r="L379" s="43" t="n">
        <v>0.6014</v>
      </c>
      <c r="M379" s="43" t="n">
        <v>0.4839</v>
      </c>
      <c r="N379" s="43" t="n">
        <v>0.3885</v>
      </c>
      <c r="O379" s="43" t="n">
        <v>0.3318</v>
      </c>
      <c r="P379" s="26" t="n">
        <v>6</v>
      </c>
      <c r="Q379" s="26" t="n">
        <v>18</v>
      </c>
    </row>
    <row r="380" customFormat="false" ht="15" hidden="false" customHeight="false" outlineLevel="0" collapsed="false">
      <c r="A380" s="8" t="s">
        <v>87</v>
      </c>
      <c r="B380" s="8" t="s">
        <v>326</v>
      </c>
      <c r="C380" s="26" t="n">
        <v>3779</v>
      </c>
      <c r="D380" s="26" t="n">
        <v>1963</v>
      </c>
      <c r="E380" s="39" t="n">
        <v>-202.416</v>
      </c>
      <c r="F380" s="29" t="n">
        <f aca="false">IF(D380=0,"",E380/D380)</f>
        <v>-0.10311563932756</v>
      </c>
      <c r="G380" s="26" t="n">
        <v>1816</v>
      </c>
      <c r="H380" s="39" t="n">
        <v>3.014</v>
      </c>
      <c r="I380" s="29" t="n">
        <f aca="false">IF(G380=0,"",H380/G380)</f>
        <v>0.00165969162995595</v>
      </c>
      <c r="J380" s="26" t="n">
        <v>2</v>
      </c>
      <c r="K380" s="43" t="n">
        <v>0.1979</v>
      </c>
      <c r="L380" s="43" t="n">
        <v>0.6041</v>
      </c>
      <c r="M380" s="43" t="n">
        <v>0.3768</v>
      </c>
      <c r="N380" s="43" t="n">
        <v>0.2474</v>
      </c>
      <c r="O380" s="43" t="n">
        <v>0.1979</v>
      </c>
      <c r="P380" s="26" t="n">
        <v>4</v>
      </c>
      <c r="Q380" s="26" t="n">
        <v>7</v>
      </c>
    </row>
    <row r="381" customFormat="false" ht="15" hidden="false" customHeight="false" outlineLevel="0" collapsed="false">
      <c r="A381" s="8" t="s">
        <v>87</v>
      </c>
      <c r="B381" s="8" t="s">
        <v>283</v>
      </c>
      <c r="C381" s="26" t="n">
        <v>2787</v>
      </c>
      <c r="D381" s="26" t="n">
        <v>1427</v>
      </c>
      <c r="E381" s="39" t="n">
        <v>-147.218</v>
      </c>
      <c r="F381" s="29" t="n">
        <f aca="false">IF(D381=0,"",E381/D381)</f>
        <v>-0.10316608269096</v>
      </c>
      <c r="G381" s="26" t="n">
        <v>1360</v>
      </c>
      <c r="H381" s="39" t="n">
        <v>9.414</v>
      </c>
      <c r="I381" s="29" t="n">
        <f aca="false">IF(G381=0,"",H381/G381)</f>
        <v>0.00692205882352941</v>
      </c>
      <c r="J381" s="26" t="n">
        <v>2</v>
      </c>
      <c r="K381" s="43" t="n">
        <v>0.3341</v>
      </c>
      <c r="L381" s="43" t="n">
        <v>0.6132</v>
      </c>
      <c r="M381" s="43" t="n">
        <v>0.4898</v>
      </c>
      <c r="N381" s="43" t="n">
        <v>0.3925</v>
      </c>
      <c r="O381" s="43" t="n">
        <v>0.3341</v>
      </c>
      <c r="P381" s="26" t="n">
        <v>6</v>
      </c>
      <c r="Q381" s="26" t="n">
        <v>21</v>
      </c>
    </row>
    <row r="382" customFormat="false" ht="15" hidden="false" customHeight="false" outlineLevel="0" collapsed="false">
      <c r="A382" s="8" t="s">
        <v>87</v>
      </c>
      <c r="B382" s="8" t="s">
        <v>333</v>
      </c>
      <c r="C382" s="26" t="n">
        <v>3270</v>
      </c>
      <c r="D382" s="26" t="n">
        <v>1670</v>
      </c>
      <c r="E382" s="39" t="n">
        <v>-172.758</v>
      </c>
      <c r="F382" s="29" t="n">
        <f aca="false">IF(D382=0,"",E382/D382)</f>
        <v>-0.103447904191617</v>
      </c>
      <c r="G382" s="26" t="n">
        <v>1600</v>
      </c>
      <c r="H382" s="39" t="n">
        <v>-25.65</v>
      </c>
      <c r="I382" s="29" t="n">
        <f aca="false">IF(G382=0,"",H382/G382)</f>
        <v>-0.01603125</v>
      </c>
      <c r="J382" s="26" t="n">
        <v>2</v>
      </c>
      <c r="K382" s="43" t="n">
        <v>0.3303</v>
      </c>
      <c r="L382" s="43" t="n">
        <v>0.5985</v>
      </c>
      <c r="M382" s="43" t="n">
        <v>0.4789</v>
      </c>
      <c r="N382" s="43" t="n">
        <v>0.3853</v>
      </c>
      <c r="O382" s="43" t="n">
        <v>0.3303</v>
      </c>
      <c r="P382" s="26" t="n">
        <v>7</v>
      </c>
      <c r="Q382" s="26" t="n">
        <v>15</v>
      </c>
    </row>
    <row r="383" customFormat="false" ht="15" hidden="false" customHeight="false" outlineLevel="0" collapsed="false">
      <c r="A383" s="8" t="s">
        <v>87</v>
      </c>
      <c r="B383" s="8" t="s">
        <v>311</v>
      </c>
      <c r="C383" s="26" t="n">
        <v>3156</v>
      </c>
      <c r="D383" s="26" t="n">
        <v>1610</v>
      </c>
      <c r="E383" s="39" t="n">
        <v>-167.007</v>
      </c>
      <c r="F383" s="29" t="n">
        <f aca="false">IF(D383=0,"",E383/D383)</f>
        <v>-0.103731055900621</v>
      </c>
      <c r="G383" s="26" t="n">
        <v>1546</v>
      </c>
      <c r="H383" s="39" t="n">
        <v>-8.781</v>
      </c>
      <c r="I383" s="29" t="n">
        <f aca="false">IF(G383=0,"",H383/G383)</f>
        <v>-0.00567981888745149</v>
      </c>
      <c r="J383" s="26" t="n">
        <v>2</v>
      </c>
      <c r="K383" s="43" t="n">
        <v>0.3317</v>
      </c>
      <c r="L383" s="43" t="n">
        <v>0.6061</v>
      </c>
      <c r="M383" s="43" t="n">
        <v>0.4861</v>
      </c>
      <c r="N383" s="43" t="n">
        <v>0.3875</v>
      </c>
      <c r="O383" s="43" t="n">
        <v>0.3317</v>
      </c>
      <c r="P383" s="26" t="n">
        <v>6</v>
      </c>
      <c r="Q383" s="26" t="n">
        <v>18</v>
      </c>
    </row>
    <row r="384" customFormat="false" ht="15" hidden="false" customHeight="false" outlineLevel="0" collapsed="false">
      <c r="A384" s="8" t="s">
        <v>87</v>
      </c>
      <c r="B384" s="8" t="s">
        <v>348</v>
      </c>
      <c r="C384" s="26" t="n">
        <v>3056</v>
      </c>
      <c r="D384" s="26" t="n">
        <v>1549</v>
      </c>
      <c r="E384" s="39" t="n">
        <v>-160.71</v>
      </c>
      <c r="F384" s="29" t="n">
        <f aca="false">IF(D384=0,"",E384/D384)</f>
        <v>-0.10375080697224</v>
      </c>
      <c r="G384" s="26" t="n">
        <v>1507</v>
      </c>
      <c r="H384" s="39" t="n">
        <v>-1.605</v>
      </c>
      <c r="I384" s="29" t="n">
        <f aca="false">IF(G384=0,"",H384/G384)</f>
        <v>-0.0010650298606503</v>
      </c>
      <c r="J384" s="26" t="n">
        <v>1</v>
      </c>
      <c r="K384" s="43" t="n">
        <v>0.3325</v>
      </c>
      <c r="L384" s="43" t="n">
        <v>0.6034</v>
      </c>
      <c r="M384" s="43" t="n">
        <v>0.4843</v>
      </c>
      <c r="N384" s="43" t="n">
        <v>0.3861</v>
      </c>
      <c r="O384" s="43" t="n">
        <v>0.3325</v>
      </c>
      <c r="P384" s="26" t="n">
        <v>6</v>
      </c>
      <c r="Q384" s="26" t="n">
        <v>21</v>
      </c>
    </row>
    <row r="385" customFormat="false" ht="15" hidden="false" customHeight="false" outlineLevel="0" collapsed="false">
      <c r="A385" s="8" t="s">
        <v>87</v>
      </c>
      <c r="B385" s="8" t="s">
        <v>345</v>
      </c>
      <c r="C385" s="26" t="n">
        <v>3195</v>
      </c>
      <c r="D385" s="26" t="n">
        <v>1628</v>
      </c>
      <c r="E385" s="39" t="n">
        <v>-169.023</v>
      </c>
      <c r="F385" s="29" t="n">
        <f aca="false">IF(D385=0,"",E385/D385)</f>
        <v>-0.103822481572482</v>
      </c>
      <c r="G385" s="26" t="n">
        <v>1567</v>
      </c>
      <c r="H385" s="39" t="n">
        <v>-18.376</v>
      </c>
      <c r="I385" s="29" t="n">
        <f aca="false">IF(G385=0,"",H385/G385)</f>
        <v>-0.0117268666241225</v>
      </c>
      <c r="J385" s="26" t="n">
        <v>1</v>
      </c>
      <c r="K385" s="43" t="n">
        <v>0.3308</v>
      </c>
      <c r="L385" s="43" t="n">
        <v>0.6066</v>
      </c>
      <c r="M385" s="43" t="n">
        <v>0.4867</v>
      </c>
      <c r="N385" s="43" t="n">
        <v>0.3884</v>
      </c>
      <c r="O385" s="43" t="n">
        <v>0.3308</v>
      </c>
      <c r="P385" s="26" t="n">
        <v>6</v>
      </c>
      <c r="Q385" s="26" t="n">
        <v>18</v>
      </c>
    </row>
    <row r="386" customFormat="false" ht="15" hidden="false" customHeight="false" outlineLevel="0" collapsed="false">
      <c r="A386" s="8" t="s">
        <v>87</v>
      </c>
      <c r="B386" s="8" t="s">
        <v>346</v>
      </c>
      <c r="C386" s="26" t="n">
        <v>3195</v>
      </c>
      <c r="D386" s="26" t="n">
        <v>1628</v>
      </c>
      <c r="E386" s="39" t="n">
        <v>-169.036</v>
      </c>
      <c r="F386" s="29" t="n">
        <f aca="false">IF(D386=0,"",E386/D386)</f>
        <v>-0.103830466830467</v>
      </c>
      <c r="G386" s="26" t="n">
        <v>1567</v>
      </c>
      <c r="H386" s="39" t="n">
        <v>-18.376</v>
      </c>
      <c r="I386" s="29" t="n">
        <f aca="false">IF(G386=0,"",H386/G386)</f>
        <v>-0.0117268666241225</v>
      </c>
      <c r="J386" s="26" t="n">
        <v>1</v>
      </c>
      <c r="K386" s="43" t="n">
        <v>0.3308</v>
      </c>
      <c r="L386" s="43" t="n">
        <v>0.6069</v>
      </c>
      <c r="M386" s="43" t="n">
        <v>0.487</v>
      </c>
      <c r="N386" s="43" t="n">
        <v>0.3887</v>
      </c>
      <c r="O386" s="43" t="n">
        <v>0.3308</v>
      </c>
      <c r="P386" s="26" t="n">
        <v>6</v>
      </c>
      <c r="Q386" s="26" t="n">
        <v>18</v>
      </c>
    </row>
    <row r="387" customFormat="false" ht="15" hidden="false" customHeight="false" outlineLevel="0" collapsed="false">
      <c r="A387" s="8" t="s">
        <v>87</v>
      </c>
      <c r="B387" s="8" t="s">
        <v>358</v>
      </c>
      <c r="C387" s="26" t="n">
        <v>3109</v>
      </c>
      <c r="D387" s="26" t="n">
        <v>1579</v>
      </c>
      <c r="E387" s="39" t="n">
        <v>-163.959</v>
      </c>
      <c r="F387" s="29" t="n">
        <f aca="false">IF(D387=0,"",E387/D387)</f>
        <v>-0.103837238758708</v>
      </c>
      <c r="G387" s="26" t="n">
        <v>1530</v>
      </c>
      <c r="H387" s="39" t="n">
        <v>-24.164</v>
      </c>
      <c r="I387" s="29" t="n">
        <f aca="false">IF(G387=0,"",H387/G387)</f>
        <v>-0.0157934640522876</v>
      </c>
      <c r="J387" s="26" t="n">
        <v>1</v>
      </c>
      <c r="K387" s="43" t="n">
        <v>0.3307</v>
      </c>
      <c r="L387" s="43" t="n">
        <v>0.6024</v>
      </c>
      <c r="M387" s="43" t="n">
        <v>0.4831</v>
      </c>
      <c r="N387" s="43" t="n">
        <v>0.3876</v>
      </c>
      <c r="O387" s="43" t="n">
        <v>0.3307</v>
      </c>
      <c r="P387" s="26" t="n">
        <v>6</v>
      </c>
      <c r="Q387" s="26" t="n">
        <v>13</v>
      </c>
    </row>
    <row r="388" customFormat="false" ht="15" hidden="false" customHeight="false" outlineLevel="0" collapsed="false">
      <c r="A388" s="8" t="s">
        <v>87</v>
      </c>
      <c r="B388" s="8" t="s">
        <v>280</v>
      </c>
      <c r="C388" s="26" t="n">
        <v>2265</v>
      </c>
      <c r="D388" s="26" t="n">
        <v>1147</v>
      </c>
      <c r="E388" s="39" t="n">
        <v>-119.107</v>
      </c>
      <c r="F388" s="29" t="n">
        <f aca="false">IF(D388=0,"",E388/D388)</f>
        <v>-0.103842197035745</v>
      </c>
      <c r="G388" s="26" t="n">
        <v>1118</v>
      </c>
      <c r="H388" s="39" t="n">
        <v>-36.704</v>
      </c>
      <c r="I388" s="29" t="n">
        <f aca="false">IF(G388=0,"",H388/G388)</f>
        <v>-0.032830053667263</v>
      </c>
      <c r="J388" s="26" t="n">
        <v>1</v>
      </c>
      <c r="K388" s="43" t="n">
        <v>0.3267</v>
      </c>
      <c r="L388" s="43" t="n">
        <v>0.6018</v>
      </c>
      <c r="M388" s="43" t="n">
        <v>0.4812</v>
      </c>
      <c r="N388" s="43" t="n">
        <v>0.3819</v>
      </c>
      <c r="O388" s="43" t="n">
        <v>0.3267</v>
      </c>
      <c r="P388" s="26" t="n">
        <v>8</v>
      </c>
      <c r="Q388" s="26" t="n">
        <v>15</v>
      </c>
    </row>
    <row r="389" customFormat="false" ht="15" hidden="false" customHeight="false" outlineLevel="0" collapsed="false">
      <c r="A389" s="8" t="s">
        <v>87</v>
      </c>
      <c r="B389" s="8" t="s">
        <v>260</v>
      </c>
      <c r="C389" s="26" t="n">
        <v>2563</v>
      </c>
      <c r="D389" s="26" t="n">
        <v>1342</v>
      </c>
      <c r="E389" s="39" t="n">
        <v>-139.384</v>
      </c>
      <c r="F389" s="29" t="n">
        <f aca="false">IF(D389=0,"",E389/D389)</f>
        <v>-0.103862891207153</v>
      </c>
      <c r="G389" s="26" t="n">
        <v>1221</v>
      </c>
      <c r="H389" s="39" t="n">
        <v>41.386</v>
      </c>
      <c r="I389" s="29" t="n">
        <f aca="false">IF(G389=0,"",H389/G389)</f>
        <v>0.0338951678951679</v>
      </c>
      <c r="J389" s="26" t="n">
        <v>3</v>
      </c>
      <c r="K389" s="43" t="n">
        <v>0.3394</v>
      </c>
      <c r="L389" s="43" t="n">
        <v>0.6052</v>
      </c>
      <c r="M389" s="43" t="n">
        <v>0.4842</v>
      </c>
      <c r="N389" s="43" t="n">
        <v>0.3913</v>
      </c>
      <c r="O389" s="43" t="n">
        <v>0.3394</v>
      </c>
      <c r="P389" s="26" t="n">
        <v>7</v>
      </c>
      <c r="Q389" s="26" t="n">
        <v>14</v>
      </c>
    </row>
    <row r="390" customFormat="false" ht="15" hidden="false" customHeight="false" outlineLevel="0" collapsed="false">
      <c r="A390" s="8" t="s">
        <v>87</v>
      </c>
      <c r="B390" s="8" t="s">
        <v>336</v>
      </c>
      <c r="C390" s="26" t="n">
        <v>3185</v>
      </c>
      <c r="D390" s="26" t="n">
        <v>1616</v>
      </c>
      <c r="E390" s="39" t="n">
        <v>-167.927</v>
      </c>
      <c r="F390" s="29" t="n">
        <f aca="false">IF(D390=0,"",E390/D390)</f>
        <v>-0.103915222772277</v>
      </c>
      <c r="G390" s="26" t="n">
        <v>1569</v>
      </c>
      <c r="H390" s="39" t="n">
        <v>-8.796</v>
      </c>
      <c r="I390" s="29" t="n">
        <f aca="false">IF(G390=0,"",H390/G390)</f>
        <v>-0.00560611854684512</v>
      </c>
      <c r="J390" s="26" t="n">
        <v>1</v>
      </c>
      <c r="K390" s="43" t="n">
        <v>0.3319</v>
      </c>
      <c r="L390" s="43" t="n">
        <v>0.6063</v>
      </c>
      <c r="M390" s="43" t="n">
        <v>0.4867</v>
      </c>
      <c r="N390" s="43" t="n">
        <v>0.3878</v>
      </c>
      <c r="O390" s="43" t="n">
        <v>0.3319</v>
      </c>
      <c r="P390" s="26" t="n">
        <v>6</v>
      </c>
      <c r="Q390" s="26" t="n">
        <v>18</v>
      </c>
    </row>
    <row r="391" customFormat="false" ht="15" hidden="false" customHeight="false" outlineLevel="0" collapsed="false">
      <c r="A391" s="8" t="s">
        <v>87</v>
      </c>
      <c r="B391" s="8" t="s">
        <v>327</v>
      </c>
      <c r="C391" s="26" t="n">
        <v>3156</v>
      </c>
      <c r="D391" s="26" t="n">
        <v>1599</v>
      </c>
      <c r="E391" s="39" t="n">
        <v>-166.526</v>
      </c>
      <c r="F391" s="29" t="n">
        <f aca="false">IF(D391=0,"",E391/D391)</f>
        <v>-0.104143839899937</v>
      </c>
      <c r="G391" s="26" t="n">
        <v>1557</v>
      </c>
      <c r="H391" s="39" t="n">
        <v>-1.458</v>
      </c>
      <c r="I391" s="29" t="n">
        <f aca="false">IF(G391=0,"",H391/G391)</f>
        <v>-0.000936416184971098</v>
      </c>
      <c r="J391" s="26" t="n">
        <v>2</v>
      </c>
      <c r="K391" s="43" t="n">
        <v>0.3321</v>
      </c>
      <c r="L391" s="43" t="n">
        <v>0.6036</v>
      </c>
      <c r="M391" s="43" t="n">
        <v>0.4845</v>
      </c>
      <c r="N391" s="43" t="n">
        <v>0.3878</v>
      </c>
      <c r="O391" s="43" t="n">
        <v>0.3321</v>
      </c>
      <c r="P391" s="26" t="n">
        <v>6</v>
      </c>
      <c r="Q391" s="26" t="n">
        <v>18</v>
      </c>
    </row>
    <row r="392" customFormat="false" ht="15" hidden="false" customHeight="false" outlineLevel="0" collapsed="false">
      <c r="A392" s="8" t="s">
        <v>87</v>
      </c>
      <c r="B392" s="8" t="s">
        <v>331</v>
      </c>
      <c r="C392" s="26" t="n">
        <v>3163</v>
      </c>
      <c r="D392" s="26" t="n">
        <v>1606</v>
      </c>
      <c r="E392" s="39" t="n">
        <v>-168.001</v>
      </c>
      <c r="F392" s="29" t="n">
        <f aca="false">IF(D392=0,"",E392/D392)</f>
        <v>-0.104608343711083</v>
      </c>
      <c r="G392" s="26" t="n">
        <v>1557</v>
      </c>
      <c r="H392" s="39" t="n">
        <v>3.99</v>
      </c>
      <c r="I392" s="29" t="n">
        <f aca="false">IF(G392=0,"",H392/G392)</f>
        <v>0.0025626204238921</v>
      </c>
      <c r="J392" s="26" t="n">
        <v>1</v>
      </c>
      <c r="K392" s="43" t="n">
        <v>0.3329</v>
      </c>
      <c r="L392" s="43" t="n">
        <v>0.6064</v>
      </c>
      <c r="M392" s="43" t="n">
        <v>0.4862</v>
      </c>
      <c r="N392" s="43" t="n">
        <v>0.3892</v>
      </c>
      <c r="O392" s="43" t="n">
        <v>0.3329</v>
      </c>
      <c r="P392" s="26" t="n">
        <v>6</v>
      </c>
      <c r="Q392" s="26" t="n">
        <v>18</v>
      </c>
    </row>
    <row r="393" customFormat="false" ht="15" hidden="false" customHeight="false" outlineLevel="0" collapsed="false">
      <c r="A393" s="8" t="s">
        <v>87</v>
      </c>
      <c r="B393" s="8" t="s">
        <v>342</v>
      </c>
      <c r="C393" s="26" t="n">
        <v>3180</v>
      </c>
      <c r="D393" s="26" t="n">
        <v>1615</v>
      </c>
      <c r="E393" s="39" t="n">
        <v>-169.093</v>
      </c>
      <c r="F393" s="29" t="n">
        <f aca="false">IF(D393=0,"",E393/D393)</f>
        <v>-0.104701547987616</v>
      </c>
      <c r="G393" s="26" t="n">
        <v>1565</v>
      </c>
      <c r="H393" s="39" t="n">
        <v>-10.303</v>
      </c>
      <c r="I393" s="29" t="n">
        <f aca="false">IF(G393=0,"",H393/G393)</f>
        <v>-0.00658338658146965</v>
      </c>
      <c r="J393" s="26" t="n">
        <v>1</v>
      </c>
      <c r="K393" s="43" t="n">
        <v>0.3314</v>
      </c>
      <c r="L393" s="43" t="n">
        <v>0.6038</v>
      </c>
      <c r="M393" s="43" t="n">
        <v>0.4843</v>
      </c>
      <c r="N393" s="43" t="n">
        <v>0.3865</v>
      </c>
      <c r="O393" s="43" t="n">
        <v>0.3314</v>
      </c>
      <c r="P393" s="26" t="n">
        <v>6</v>
      </c>
      <c r="Q393" s="26" t="n">
        <v>18</v>
      </c>
    </row>
    <row r="394" customFormat="false" ht="15" hidden="false" customHeight="false" outlineLevel="0" collapsed="false">
      <c r="A394" s="8" t="s">
        <v>87</v>
      </c>
      <c r="B394" s="8" t="s">
        <v>325</v>
      </c>
      <c r="C394" s="26" t="n">
        <v>3172</v>
      </c>
      <c r="D394" s="26" t="n">
        <v>1612</v>
      </c>
      <c r="E394" s="39" t="n">
        <v>-169.074</v>
      </c>
      <c r="F394" s="29" t="n">
        <f aca="false">IF(D394=0,"",E394/D394)</f>
        <v>-0.104884615384615</v>
      </c>
      <c r="G394" s="26" t="n">
        <v>1560</v>
      </c>
      <c r="H394" s="39" t="n">
        <v>-14.17</v>
      </c>
      <c r="I394" s="29" t="n">
        <f aca="false">IF(G394=0,"",H394/G394)</f>
        <v>-0.00908333333333333</v>
      </c>
      <c r="J394" s="26" t="n">
        <v>1</v>
      </c>
      <c r="K394" s="43" t="n">
        <v>0.331</v>
      </c>
      <c r="L394" s="43" t="n">
        <v>0.604</v>
      </c>
      <c r="M394" s="43" t="n">
        <v>0.4849</v>
      </c>
      <c r="N394" s="43" t="n">
        <v>0.3868</v>
      </c>
      <c r="O394" s="43" t="n">
        <v>0.331</v>
      </c>
      <c r="P394" s="26" t="n">
        <v>6</v>
      </c>
      <c r="Q394" s="26" t="n">
        <v>18</v>
      </c>
    </row>
    <row r="395" customFormat="false" ht="15" hidden="false" customHeight="false" outlineLevel="0" collapsed="false">
      <c r="A395" s="8" t="s">
        <v>87</v>
      </c>
      <c r="B395" s="8" t="s">
        <v>262</v>
      </c>
      <c r="C395" s="26" t="n">
        <v>1632</v>
      </c>
      <c r="D395" s="26" t="n">
        <v>821</v>
      </c>
      <c r="E395" s="39" t="n">
        <v>-86.349</v>
      </c>
      <c r="F395" s="29" t="n">
        <f aca="false">IF(D395=0,"",E395/D395)</f>
        <v>-0.105175395858709</v>
      </c>
      <c r="G395" s="26" t="n">
        <v>811</v>
      </c>
      <c r="H395" s="39" t="n">
        <v>26.16</v>
      </c>
      <c r="I395" s="29" t="n">
        <f aca="false">IF(G395=0,"",H395/G395)</f>
        <v>0.0322564734895191</v>
      </c>
      <c r="J395" s="26" t="n">
        <v>2</v>
      </c>
      <c r="K395" s="43" t="n">
        <v>0.345</v>
      </c>
      <c r="L395" s="43" t="n">
        <v>0.6066</v>
      </c>
      <c r="M395" s="43" t="n">
        <v>0.4902</v>
      </c>
      <c r="N395" s="43" t="n">
        <v>0.3971</v>
      </c>
      <c r="O395" s="43" t="n">
        <v>0.345</v>
      </c>
      <c r="P395" s="26" t="n">
        <v>5</v>
      </c>
      <c r="Q395" s="26" t="n">
        <v>16</v>
      </c>
    </row>
    <row r="396" customFormat="false" ht="15" hidden="false" customHeight="false" outlineLevel="0" collapsed="false">
      <c r="A396" s="8" t="s">
        <v>87</v>
      </c>
      <c r="B396" s="8" t="s">
        <v>359</v>
      </c>
      <c r="C396" s="26" t="n">
        <v>3118</v>
      </c>
      <c r="D396" s="26" t="n">
        <v>1582</v>
      </c>
      <c r="E396" s="39" t="n">
        <v>-166.866</v>
      </c>
      <c r="F396" s="29" t="n">
        <f aca="false">IF(D396=0,"",E396/D396)</f>
        <v>-0.105477876106195</v>
      </c>
      <c r="G396" s="26" t="n">
        <v>1536</v>
      </c>
      <c r="H396" s="39" t="n">
        <v>-13.967</v>
      </c>
      <c r="I396" s="29" t="n">
        <f aca="false">IF(G396=0,"",H396/G396)</f>
        <v>-0.00909309895833333</v>
      </c>
      <c r="J396" s="26" t="n">
        <v>1</v>
      </c>
      <c r="K396" s="43" t="n">
        <v>0.331</v>
      </c>
      <c r="L396" s="43" t="n">
        <v>0.6049</v>
      </c>
      <c r="M396" s="43" t="n">
        <v>0.483</v>
      </c>
      <c r="N396" s="43" t="n">
        <v>0.3842</v>
      </c>
      <c r="O396" s="43" t="n">
        <v>0.331</v>
      </c>
      <c r="P396" s="26" t="n">
        <v>6</v>
      </c>
      <c r="Q396" s="26" t="n">
        <v>21</v>
      </c>
    </row>
    <row r="397" customFormat="false" ht="15" hidden="false" customHeight="false" outlineLevel="0" collapsed="false">
      <c r="A397" s="8" t="s">
        <v>87</v>
      </c>
      <c r="B397" s="8" t="s">
        <v>291</v>
      </c>
      <c r="C397" s="26" t="n">
        <v>1990</v>
      </c>
      <c r="D397" s="26" t="n">
        <v>975</v>
      </c>
      <c r="E397" s="39" t="n">
        <v>-102.864</v>
      </c>
      <c r="F397" s="29" t="n">
        <f aca="false">IF(D397=0,"",E397/D397)</f>
        <v>-0.105501538461538</v>
      </c>
      <c r="G397" s="26" t="n">
        <v>1015</v>
      </c>
      <c r="H397" s="39" t="n">
        <v>-16.208</v>
      </c>
      <c r="I397" s="29" t="n">
        <f aca="false">IF(G397=0,"",H397/G397)</f>
        <v>-0.0159684729064039</v>
      </c>
      <c r="J397" s="26" t="n">
        <v>1</v>
      </c>
      <c r="K397" s="43" t="n">
        <v>0.3307</v>
      </c>
      <c r="L397" s="43" t="n">
        <v>0.6</v>
      </c>
      <c r="M397" s="43" t="n">
        <v>0.4809</v>
      </c>
      <c r="N397" s="43" t="n">
        <v>0.3859</v>
      </c>
      <c r="O397" s="43" t="n">
        <v>0.3307</v>
      </c>
      <c r="P397" s="26" t="n">
        <v>5</v>
      </c>
      <c r="Q397" s="26" t="n">
        <v>11</v>
      </c>
    </row>
    <row r="398" customFormat="false" ht="15" hidden="false" customHeight="false" outlineLevel="0" collapsed="false">
      <c r="A398" s="8" t="s">
        <v>87</v>
      </c>
      <c r="B398" s="8" t="s">
        <v>317</v>
      </c>
      <c r="C398" s="26" t="n">
        <v>3148</v>
      </c>
      <c r="D398" s="26" t="n">
        <v>1601</v>
      </c>
      <c r="E398" s="39" t="n">
        <v>-169.486</v>
      </c>
      <c r="F398" s="29" t="n">
        <f aca="false">IF(D398=0,"",E398/D398)</f>
        <v>-0.105862585883823</v>
      </c>
      <c r="G398" s="26" t="n">
        <v>1547</v>
      </c>
      <c r="H398" s="39" t="n">
        <v>7.93</v>
      </c>
      <c r="I398" s="29" t="n">
        <f aca="false">IF(G398=0,"",H398/G398)</f>
        <v>0.00512605042016807</v>
      </c>
      <c r="J398" s="26" t="n">
        <v>1</v>
      </c>
      <c r="K398" s="43" t="n">
        <v>0.3332</v>
      </c>
      <c r="L398" s="43" t="n">
        <v>0.6064</v>
      </c>
      <c r="M398" s="43" t="n">
        <v>0.486</v>
      </c>
      <c r="N398" s="43" t="n">
        <v>0.3888</v>
      </c>
      <c r="O398" s="43" t="n">
        <v>0.3332</v>
      </c>
      <c r="P398" s="26" t="n">
        <v>6</v>
      </c>
      <c r="Q398" s="26" t="n">
        <v>18</v>
      </c>
    </row>
    <row r="399" customFormat="false" ht="15" hidden="false" customHeight="false" outlineLevel="0" collapsed="false">
      <c r="A399" s="8" t="s">
        <v>87</v>
      </c>
      <c r="B399" s="8" t="s">
        <v>329</v>
      </c>
      <c r="C399" s="26" t="n">
        <v>3136</v>
      </c>
      <c r="D399" s="26" t="n">
        <v>1598</v>
      </c>
      <c r="E399" s="39" t="n">
        <v>-169.551</v>
      </c>
      <c r="F399" s="29" t="n">
        <f aca="false">IF(D399=0,"",E399/D399)</f>
        <v>-0.106102002503129</v>
      </c>
      <c r="G399" s="26" t="n">
        <v>1538</v>
      </c>
      <c r="H399" s="39" t="n">
        <v>13.784</v>
      </c>
      <c r="I399" s="29" t="n">
        <f aca="false">IF(G399=0,"",H399/G399)</f>
        <v>0.00896228868660598</v>
      </c>
      <c r="J399" s="26" t="n">
        <v>2</v>
      </c>
      <c r="K399" s="43" t="n">
        <v>0.3339</v>
      </c>
      <c r="L399" s="43" t="n">
        <v>0.6027</v>
      </c>
      <c r="M399" s="43" t="n">
        <v>0.485</v>
      </c>
      <c r="N399" s="43" t="n">
        <v>0.3884</v>
      </c>
      <c r="O399" s="43" t="n">
        <v>0.3339</v>
      </c>
      <c r="P399" s="26" t="n">
        <v>6</v>
      </c>
      <c r="Q399" s="26" t="n">
        <v>18</v>
      </c>
    </row>
    <row r="400" customFormat="false" ht="15" hidden="false" customHeight="false" outlineLevel="0" collapsed="false">
      <c r="A400" s="8" t="s">
        <v>87</v>
      </c>
      <c r="B400" s="8" t="s">
        <v>272</v>
      </c>
      <c r="C400" s="26" t="n">
        <v>2329</v>
      </c>
      <c r="D400" s="26" t="n">
        <v>1203</v>
      </c>
      <c r="E400" s="39" t="n">
        <v>-127.905</v>
      </c>
      <c r="F400" s="29" t="n">
        <f aca="false">IF(D400=0,"",E400/D400)</f>
        <v>-0.106321695760599</v>
      </c>
      <c r="G400" s="26" t="n">
        <v>1126</v>
      </c>
      <c r="H400" s="39" t="n">
        <v>-67.402</v>
      </c>
      <c r="I400" s="29" t="n">
        <f aca="false">IF(G400=0,"",H400/G400)</f>
        <v>-0.0598596802841918</v>
      </c>
      <c r="J400" s="26" t="n">
        <v>1</v>
      </c>
      <c r="K400" s="43" t="n">
        <v>0.3233</v>
      </c>
      <c r="L400" s="43" t="n">
        <v>0.5882</v>
      </c>
      <c r="M400" s="43" t="n">
        <v>0.4835</v>
      </c>
      <c r="N400" s="43" t="n">
        <v>0.395</v>
      </c>
      <c r="O400" s="43" t="n">
        <v>0.3233</v>
      </c>
      <c r="P400" s="26" t="n">
        <v>5</v>
      </c>
      <c r="Q400" s="26" t="n">
        <v>24</v>
      </c>
    </row>
    <row r="401" customFormat="false" ht="15" hidden="false" customHeight="false" outlineLevel="0" collapsed="false">
      <c r="A401" s="8" t="s">
        <v>87</v>
      </c>
      <c r="B401" s="8" t="s">
        <v>351</v>
      </c>
      <c r="C401" s="26" t="n">
        <v>3128</v>
      </c>
      <c r="D401" s="26" t="n">
        <v>1596</v>
      </c>
      <c r="E401" s="39" t="n">
        <v>-169.887</v>
      </c>
      <c r="F401" s="29" t="n">
        <f aca="false">IF(D401=0,"",E401/D401)</f>
        <v>-0.106445488721805</v>
      </c>
      <c r="G401" s="26" t="n">
        <v>1532</v>
      </c>
      <c r="H401" s="39" t="n">
        <v>-9.637</v>
      </c>
      <c r="I401" s="29" t="n">
        <f aca="false">IF(G401=0,"",H401/G401)</f>
        <v>-0.00629046997389034</v>
      </c>
      <c r="J401" s="26" t="n">
        <v>1</v>
      </c>
      <c r="K401" s="43" t="n">
        <v>0.3312</v>
      </c>
      <c r="L401" s="43" t="n">
        <v>0.6036</v>
      </c>
      <c r="M401" s="43" t="n">
        <v>0.4875</v>
      </c>
      <c r="N401" s="43" t="n">
        <v>0.3875</v>
      </c>
      <c r="O401" s="43" t="n">
        <v>0.3312</v>
      </c>
      <c r="P401" s="26" t="n">
        <v>6</v>
      </c>
      <c r="Q401" s="26" t="n">
        <v>18</v>
      </c>
    </row>
    <row r="402" customFormat="false" ht="15" hidden="false" customHeight="false" outlineLevel="0" collapsed="false">
      <c r="A402" s="8" t="s">
        <v>87</v>
      </c>
      <c r="B402" s="8" t="s">
        <v>384</v>
      </c>
      <c r="C402" s="26" t="n">
        <v>1448</v>
      </c>
      <c r="D402" s="26" t="n">
        <v>760</v>
      </c>
      <c r="E402" s="39" t="n">
        <v>-81.146</v>
      </c>
      <c r="F402" s="29" t="n">
        <f aca="false">IF(D402=0,"",E402/D402)</f>
        <v>-0.106771052631579</v>
      </c>
      <c r="G402" s="26" t="n">
        <v>688</v>
      </c>
      <c r="H402" s="39" t="n">
        <v>-0.665</v>
      </c>
      <c r="I402" s="29" t="n">
        <f aca="false">IF(G402=0,"",H402/G402)</f>
        <v>-0.000966569767441861</v>
      </c>
      <c r="J402" s="26" t="n">
        <v>2</v>
      </c>
      <c r="K402" s="43" t="n">
        <v>0.3384</v>
      </c>
      <c r="L402" s="43" t="n">
        <v>0.6015</v>
      </c>
      <c r="M402" s="43" t="n">
        <v>0.4896</v>
      </c>
      <c r="N402" s="43" t="n">
        <v>0.3936</v>
      </c>
      <c r="O402" s="43" t="n">
        <v>0.3384</v>
      </c>
      <c r="P402" s="26" t="n">
        <v>6</v>
      </c>
      <c r="Q402" s="26" t="n">
        <v>14</v>
      </c>
    </row>
    <row r="403" customFormat="false" ht="15" hidden="false" customHeight="false" outlineLevel="0" collapsed="false">
      <c r="A403" s="8" t="s">
        <v>87</v>
      </c>
      <c r="B403" s="8" t="s">
        <v>374</v>
      </c>
      <c r="C403" s="26" t="n">
        <v>3188</v>
      </c>
      <c r="D403" s="26" t="n">
        <v>1619</v>
      </c>
      <c r="E403" s="39" t="n">
        <v>-173.644</v>
      </c>
      <c r="F403" s="29" t="n">
        <f aca="false">IF(D403=0,"",E403/D403)</f>
        <v>-0.107253860407659</v>
      </c>
      <c r="G403" s="26" t="n">
        <v>1569</v>
      </c>
      <c r="H403" s="39" t="n">
        <v>3.508</v>
      </c>
      <c r="I403" s="29" t="n">
        <f aca="false">IF(G403=0,"",H403/G403)</f>
        <v>0.00223581899298917</v>
      </c>
      <c r="J403" s="26" t="n">
        <v>2</v>
      </c>
      <c r="K403" s="43" t="n">
        <v>0.3325</v>
      </c>
      <c r="L403" s="43" t="n">
        <v>0.606</v>
      </c>
      <c r="M403" s="43" t="n">
        <v>0.4865</v>
      </c>
      <c r="N403" s="43" t="n">
        <v>0.3877</v>
      </c>
      <c r="O403" s="43" t="n">
        <v>0.3325</v>
      </c>
      <c r="P403" s="26" t="n">
        <v>6</v>
      </c>
      <c r="Q403" s="26" t="n">
        <v>18</v>
      </c>
    </row>
    <row r="404" customFormat="false" ht="15" hidden="false" customHeight="false" outlineLevel="0" collapsed="false">
      <c r="A404" s="8" t="s">
        <v>87</v>
      </c>
      <c r="B404" s="8" t="s">
        <v>248</v>
      </c>
      <c r="C404" s="26" t="n">
        <v>1851</v>
      </c>
      <c r="D404" s="26" t="n">
        <v>978</v>
      </c>
      <c r="E404" s="39" t="n">
        <v>-105.019</v>
      </c>
      <c r="F404" s="29" t="n">
        <f aca="false">IF(D404=0,"",E404/D404)</f>
        <v>-0.107381390593047</v>
      </c>
      <c r="G404" s="26" t="n">
        <v>873</v>
      </c>
      <c r="H404" s="39" t="n">
        <v>-22.435</v>
      </c>
      <c r="I404" s="29" t="n">
        <f aca="false">IF(G404=0,"",H404/G404)</f>
        <v>-0.0256987399770905</v>
      </c>
      <c r="J404" s="26" t="n">
        <v>0</v>
      </c>
      <c r="K404" s="43" t="n">
        <v>0.3241</v>
      </c>
      <c r="L404" s="43" t="n">
        <v>0.5954</v>
      </c>
      <c r="M404" s="43" t="n">
        <v>0.4765</v>
      </c>
      <c r="N404" s="43" t="n">
        <v>0.3787</v>
      </c>
      <c r="O404" s="43" t="n">
        <v>0.3241</v>
      </c>
      <c r="P404" s="26" t="n">
        <v>5</v>
      </c>
      <c r="Q404" s="26" t="n">
        <v>14</v>
      </c>
    </row>
    <row r="405" customFormat="false" ht="15" hidden="false" customHeight="false" outlineLevel="0" collapsed="false">
      <c r="A405" s="8" t="s">
        <v>87</v>
      </c>
      <c r="B405" s="8" t="s">
        <v>319</v>
      </c>
      <c r="C405" s="26" t="n">
        <v>2949</v>
      </c>
      <c r="D405" s="26" t="n">
        <v>1494</v>
      </c>
      <c r="E405" s="39" t="n">
        <v>-160.577</v>
      </c>
      <c r="F405" s="29" t="n">
        <f aca="false">IF(D405=0,"",E405/D405)</f>
        <v>-0.107481258366801</v>
      </c>
      <c r="G405" s="26" t="n">
        <v>1455</v>
      </c>
      <c r="H405" s="39" t="n">
        <v>-7.849</v>
      </c>
      <c r="I405" s="29" t="n">
        <f aca="false">IF(G405=0,"",H405/G405)</f>
        <v>-0.00539450171821306</v>
      </c>
      <c r="J405" s="26" t="n">
        <v>1</v>
      </c>
      <c r="K405" s="43" t="n">
        <v>0.3306</v>
      </c>
      <c r="L405" s="43" t="n">
        <v>0.6039</v>
      </c>
      <c r="M405" s="43" t="n">
        <v>0.4842</v>
      </c>
      <c r="N405" s="43" t="n">
        <v>0.3859</v>
      </c>
      <c r="O405" s="43" t="n">
        <v>0.3306</v>
      </c>
      <c r="P405" s="26" t="n">
        <v>6</v>
      </c>
      <c r="Q405" s="26" t="n">
        <v>17</v>
      </c>
    </row>
    <row r="406" customFormat="false" ht="15" hidden="false" customHeight="false" outlineLevel="0" collapsed="false">
      <c r="A406" s="8" t="s">
        <v>87</v>
      </c>
      <c r="B406" s="8" t="s">
        <v>378</v>
      </c>
      <c r="C406" s="26" t="n">
        <v>3892</v>
      </c>
      <c r="D406" s="26" t="n">
        <v>1993</v>
      </c>
      <c r="E406" s="39" t="n">
        <v>-215.815</v>
      </c>
      <c r="F406" s="29" t="n">
        <f aca="false">IF(D406=0,"",E406/D406)</f>
        <v>-0.108286502759659</v>
      </c>
      <c r="G406" s="26" t="n">
        <v>1899</v>
      </c>
      <c r="H406" s="39" t="n">
        <v>-101.261</v>
      </c>
      <c r="I406" s="29" t="n">
        <f aca="false">IF(G406=0,"",H406/G406)</f>
        <v>-0.0533233280674039</v>
      </c>
      <c r="J406" s="26" t="n">
        <v>0</v>
      </c>
      <c r="K406" s="43" t="n">
        <v>0.4851</v>
      </c>
      <c r="L406" s="43" t="n">
        <v>0.6033</v>
      </c>
      <c r="M406" s="43" t="n">
        <v>0.4851</v>
      </c>
      <c r="N406" s="43" t="n">
        <v>0</v>
      </c>
      <c r="O406" s="43" t="n">
        <v>0</v>
      </c>
      <c r="P406" s="26" t="n">
        <v>14</v>
      </c>
      <c r="Q406" s="26" t="n">
        <v>9</v>
      </c>
    </row>
    <row r="407" customFormat="false" ht="15" hidden="false" customHeight="false" outlineLevel="0" collapsed="false">
      <c r="A407" s="8" t="s">
        <v>87</v>
      </c>
      <c r="B407" s="8" t="s">
        <v>366</v>
      </c>
      <c r="C407" s="26" t="n">
        <v>3113</v>
      </c>
      <c r="D407" s="26" t="n">
        <v>1591</v>
      </c>
      <c r="E407" s="39" t="n">
        <v>-172.615</v>
      </c>
      <c r="F407" s="29" t="n">
        <f aca="false">IF(D407=0,"",E407/D407)</f>
        <v>-0.108494657448146</v>
      </c>
      <c r="G407" s="26" t="n">
        <v>1522</v>
      </c>
      <c r="H407" s="39" t="n">
        <v>-5.966</v>
      </c>
      <c r="I407" s="29" t="n">
        <f aca="false">IF(G407=0,"",H407/G407)</f>
        <v>-0.00391984231274639</v>
      </c>
      <c r="J407" s="26" t="n">
        <v>1</v>
      </c>
      <c r="K407" s="43" t="n">
        <v>0.3315</v>
      </c>
      <c r="L407" s="43" t="n">
        <v>0.6049</v>
      </c>
      <c r="M407" s="43" t="n">
        <v>0.4857</v>
      </c>
      <c r="N407" s="43" t="n">
        <v>0.3871</v>
      </c>
      <c r="O407" s="43" t="n">
        <v>0.3315</v>
      </c>
      <c r="P407" s="26" t="n">
        <v>6</v>
      </c>
      <c r="Q407" s="26" t="n">
        <v>16</v>
      </c>
    </row>
    <row r="408" customFormat="false" ht="15" hidden="false" customHeight="false" outlineLevel="0" collapsed="false">
      <c r="A408" s="8" t="s">
        <v>87</v>
      </c>
      <c r="B408" s="8" t="s">
        <v>341</v>
      </c>
      <c r="C408" s="26" t="n">
        <v>3189</v>
      </c>
      <c r="D408" s="26" t="n">
        <v>1625</v>
      </c>
      <c r="E408" s="39" t="n">
        <v>-177.431</v>
      </c>
      <c r="F408" s="29" t="n">
        <f aca="false">IF(D408=0,"",E408/D408)</f>
        <v>-0.109188307692308</v>
      </c>
      <c r="G408" s="26" t="n">
        <v>1564</v>
      </c>
      <c r="H408" s="39" t="n">
        <v>-15.862</v>
      </c>
      <c r="I408" s="29" t="n">
        <f aca="false">IF(G408=0,"",H408/G408)</f>
        <v>-0.0101419437340153</v>
      </c>
      <c r="J408" s="26" t="n">
        <v>1</v>
      </c>
      <c r="K408" s="43" t="n">
        <v>0.3305</v>
      </c>
      <c r="L408" s="43" t="n">
        <v>0.6049</v>
      </c>
      <c r="M408" s="43" t="n">
        <v>0.486</v>
      </c>
      <c r="N408" s="43" t="n">
        <v>0.3873</v>
      </c>
      <c r="O408" s="43" t="n">
        <v>0.3305</v>
      </c>
      <c r="P408" s="26" t="n">
        <v>5</v>
      </c>
      <c r="Q408" s="26" t="n">
        <v>18</v>
      </c>
    </row>
    <row r="409" customFormat="false" ht="15" hidden="false" customHeight="false" outlineLevel="0" collapsed="false">
      <c r="A409" s="8" t="s">
        <v>87</v>
      </c>
      <c r="B409" s="8" t="s">
        <v>273</v>
      </c>
      <c r="C409" s="26" t="n">
        <v>2700</v>
      </c>
      <c r="D409" s="26" t="n">
        <v>1367</v>
      </c>
      <c r="E409" s="39" t="n">
        <v>-149.76</v>
      </c>
      <c r="F409" s="29" t="n">
        <f aca="false">IF(D409=0,"",E409/D409)</f>
        <v>-0.109553767373811</v>
      </c>
      <c r="G409" s="26" t="n">
        <v>1333</v>
      </c>
      <c r="H409" s="39" t="n">
        <v>13.404</v>
      </c>
      <c r="I409" s="29" t="n">
        <f aca="false">IF(G409=0,"",H409/G409)</f>
        <v>0.0100555138784696</v>
      </c>
      <c r="J409" s="26" t="n">
        <v>1</v>
      </c>
      <c r="K409" s="43" t="n">
        <v>0.3333</v>
      </c>
      <c r="L409" s="43" t="n">
        <v>0.5967</v>
      </c>
      <c r="M409" s="43" t="n">
        <v>0.4793</v>
      </c>
      <c r="N409" s="43" t="n">
        <v>0.3848</v>
      </c>
      <c r="O409" s="43" t="n">
        <v>0.3333</v>
      </c>
      <c r="P409" s="26" t="n">
        <v>4</v>
      </c>
      <c r="Q409" s="26" t="n">
        <v>21</v>
      </c>
    </row>
    <row r="410" customFormat="false" ht="15" hidden="false" customHeight="false" outlineLevel="0" collapsed="false">
      <c r="A410" s="8" t="s">
        <v>87</v>
      </c>
      <c r="B410" s="8" t="s">
        <v>278</v>
      </c>
      <c r="C410" s="26" t="n">
        <v>2575</v>
      </c>
      <c r="D410" s="26" t="n">
        <v>1312</v>
      </c>
      <c r="E410" s="39" t="n">
        <v>-144.202</v>
      </c>
      <c r="F410" s="29" t="n">
        <f aca="false">IF(D410=0,"",E410/D410)</f>
        <v>-0.10991006097561</v>
      </c>
      <c r="G410" s="26" t="n">
        <v>1263</v>
      </c>
      <c r="H410" s="39" t="n">
        <v>-20.108</v>
      </c>
      <c r="I410" s="29" t="n">
        <f aca="false">IF(G410=0,"",H410/G410)</f>
        <v>-0.0159208234362629</v>
      </c>
      <c r="J410" s="26" t="n">
        <v>0</v>
      </c>
      <c r="K410" s="43" t="n">
        <v>0.3289</v>
      </c>
      <c r="L410" s="43" t="n">
        <v>0.6078</v>
      </c>
      <c r="M410" s="43" t="n">
        <v>0.4847</v>
      </c>
      <c r="N410" s="43" t="n">
        <v>0.3849</v>
      </c>
      <c r="O410" s="43" t="n">
        <v>0.3289</v>
      </c>
      <c r="P410" s="26" t="n">
        <v>6</v>
      </c>
      <c r="Q410" s="26" t="n">
        <v>14</v>
      </c>
    </row>
    <row r="411" customFormat="false" ht="15" hidden="false" customHeight="false" outlineLevel="0" collapsed="false">
      <c r="A411" s="8" t="s">
        <v>87</v>
      </c>
      <c r="B411" s="8" t="s">
        <v>275</v>
      </c>
      <c r="C411" s="26" t="n">
        <v>2520</v>
      </c>
      <c r="D411" s="26" t="n">
        <v>1288</v>
      </c>
      <c r="E411" s="39" t="n">
        <v>-141.844</v>
      </c>
      <c r="F411" s="29" t="n">
        <f aca="false">IF(D411=0,"",E411/D411)</f>
        <v>-0.110127329192547</v>
      </c>
      <c r="G411" s="26" t="n">
        <v>1232</v>
      </c>
      <c r="H411" s="39" t="n">
        <v>-23.706</v>
      </c>
      <c r="I411" s="29" t="n">
        <f aca="false">IF(G411=0,"",H411/G411)</f>
        <v>-0.0192418831168831</v>
      </c>
      <c r="J411" s="26" t="n">
        <v>2</v>
      </c>
      <c r="K411" s="43" t="n">
        <v>0.3282</v>
      </c>
      <c r="L411" s="43" t="n">
        <v>0.5944</v>
      </c>
      <c r="M411" s="43" t="n">
        <v>0.4647</v>
      </c>
      <c r="N411" s="43" t="n">
        <v>0.3738</v>
      </c>
      <c r="O411" s="43" t="n">
        <v>0.3282</v>
      </c>
      <c r="P411" s="26" t="n">
        <v>6</v>
      </c>
      <c r="Q411" s="26" t="n">
        <v>19</v>
      </c>
    </row>
    <row r="412" customFormat="false" ht="15" hidden="false" customHeight="false" outlineLevel="0" collapsed="false">
      <c r="A412" s="8" t="s">
        <v>87</v>
      </c>
      <c r="B412" s="8" t="s">
        <v>344</v>
      </c>
      <c r="C412" s="26" t="n">
        <v>3138</v>
      </c>
      <c r="D412" s="26" t="n">
        <v>1602</v>
      </c>
      <c r="E412" s="39" t="n">
        <v>-176.661</v>
      </c>
      <c r="F412" s="29" t="n">
        <f aca="false">IF(D412=0,"",E412/D412)</f>
        <v>-0.110275280898876</v>
      </c>
      <c r="G412" s="26" t="n">
        <v>1536</v>
      </c>
      <c r="H412" s="39" t="n">
        <v>-4.813</v>
      </c>
      <c r="I412" s="29" t="n">
        <f aca="false">IF(G412=0,"",H412/G412)</f>
        <v>-0.00313346354166667</v>
      </c>
      <c r="J412" s="26" t="n">
        <v>1</v>
      </c>
      <c r="K412" s="43" t="n">
        <v>0.3311</v>
      </c>
      <c r="L412" s="43" t="n">
        <v>0.6033</v>
      </c>
      <c r="M412" s="43" t="n">
        <v>0.4853</v>
      </c>
      <c r="N412" s="43" t="n">
        <v>0.3869</v>
      </c>
      <c r="O412" s="43" t="n">
        <v>0.3311</v>
      </c>
      <c r="P412" s="26" t="n">
        <v>6</v>
      </c>
      <c r="Q412" s="26" t="n">
        <v>18</v>
      </c>
    </row>
    <row r="413" customFormat="false" ht="15" hidden="false" customHeight="false" outlineLevel="0" collapsed="false">
      <c r="A413" s="8" t="s">
        <v>87</v>
      </c>
      <c r="B413" s="8" t="s">
        <v>305</v>
      </c>
      <c r="C413" s="26" t="n">
        <v>2887</v>
      </c>
      <c r="D413" s="26" t="n">
        <v>1482</v>
      </c>
      <c r="E413" s="39" t="n">
        <v>-163.955</v>
      </c>
      <c r="F413" s="29" t="n">
        <f aca="false">IF(D413=0,"",E413/D413)</f>
        <v>-0.110630904183536</v>
      </c>
      <c r="G413" s="26" t="n">
        <v>1405</v>
      </c>
      <c r="H413" s="39" t="n">
        <v>25.048</v>
      </c>
      <c r="I413" s="29" t="n">
        <f aca="false">IF(G413=0,"",H413/G413)</f>
        <v>0.0178277580071174</v>
      </c>
      <c r="J413" s="26" t="n">
        <v>2</v>
      </c>
      <c r="K413" s="43" t="n">
        <v>0.3339</v>
      </c>
      <c r="L413" s="43" t="n">
        <v>0.6055</v>
      </c>
      <c r="M413" s="43" t="n">
        <v>0.4853</v>
      </c>
      <c r="N413" s="43" t="n">
        <v>0.3886</v>
      </c>
      <c r="O413" s="43" t="n">
        <v>0.3339</v>
      </c>
      <c r="P413" s="26" t="n">
        <v>5</v>
      </c>
      <c r="Q413" s="26" t="n">
        <v>20</v>
      </c>
    </row>
    <row r="414" customFormat="false" ht="15" hidden="false" customHeight="false" outlineLevel="0" collapsed="false">
      <c r="A414" s="8" t="s">
        <v>87</v>
      </c>
      <c r="B414" s="8" t="s">
        <v>371</v>
      </c>
      <c r="C414" s="26" t="n">
        <v>3169</v>
      </c>
      <c r="D414" s="26" t="n">
        <v>1612</v>
      </c>
      <c r="E414" s="39" t="n">
        <v>-179.388</v>
      </c>
      <c r="F414" s="29" t="n">
        <f aca="false">IF(D414=0,"",E414/D414)</f>
        <v>-0.111282878411911</v>
      </c>
      <c r="G414" s="26" t="n">
        <v>1557</v>
      </c>
      <c r="H414" s="39" t="n">
        <v>-44.725</v>
      </c>
      <c r="I414" s="29" t="n">
        <f aca="false">IF(G414=0,"",H414/G414)</f>
        <v>-0.0287251123956326</v>
      </c>
      <c r="J414" s="26" t="n">
        <v>1</v>
      </c>
      <c r="K414" s="43" t="n">
        <v>0.3269</v>
      </c>
      <c r="L414" s="43" t="n">
        <v>0.6002</v>
      </c>
      <c r="M414" s="43" t="n">
        <v>0.4812</v>
      </c>
      <c r="N414" s="43" t="n">
        <v>0.3834</v>
      </c>
      <c r="O414" s="43" t="n">
        <v>0.3269</v>
      </c>
      <c r="P414" s="26" t="n">
        <v>6</v>
      </c>
      <c r="Q414" s="26" t="n">
        <v>20</v>
      </c>
    </row>
    <row r="415" customFormat="false" ht="15" hidden="false" customHeight="false" outlineLevel="0" collapsed="false">
      <c r="A415" s="8" t="s">
        <v>87</v>
      </c>
      <c r="B415" s="8" t="s">
        <v>299</v>
      </c>
      <c r="C415" s="26" t="n">
        <v>2748</v>
      </c>
      <c r="D415" s="26" t="n">
        <v>1392</v>
      </c>
      <c r="E415" s="39" t="n">
        <v>-155.505</v>
      </c>
      <c r="F415" s="29" t="n">
        <f aca="false">IF(D415=0,"",E415/D415)</f>
        <v>-0.111713362068966</v>
      </c>
      <c r="G415" s="26" t="n">
        <v>1356</v>
      </c>
      <c r="H415" s="39" t="n">
        <v>-21.248</v>
      </c>
      <c r="I415" s="29" t="n">
        <f aca="false">IF(G415=0,"",H415/G415)</f>
        <v>-0.015669616519174</v>
      </c>
      <c r="J415" s="26" t="n">
        <v>1</v>
      </c>
      <c r="K415" s="43" t="n">
        <v>0.3282</v>
      </c>
      <c r="L415" s="43" t="n">
        <v>0.603</v>
      </c>
      <c r="M415" s="43" t="n">
        <v>0.484</v>
      </c>
      <c r="N415" s="43" t="n">
        <v>0.3846</v>
      </c>
      <c r="O415" s="43" t="n">
        <v>0.3282</v>
      </c>
      <c r="P415" s="26" t="n">
        <v>4</v>
      </c>
      <c r="Q415" s="26" t="n">
        <v>16</v>
      </c>
    </row>
    <row r="416" customFormat="false" ht="15" hidden="false" customHeight="false" outlineLevel="0" collapsed="false">
      <c r="A416" s="8" t="s">
        <v>87</v>
      </c>
      <c r="B416" s="8" t="s">
        <v>322</v>
      </c>
      <c r="C416" s="26" t="n">
        <v>3245</v>
      </c>
      <c r="D416" s="26" t="n">
        <v>1650</v>
      </c>
      <c r="E416" s="39" t="n">
        <v>-185.761</v>
      </c>
      <c r="F416" s="29" t="n">
        <f aca="false">IF(D416=0,"",E416/D416)</f>
        <v>-0.112582424242424</v>
      </c>
      <c r="G416" s="26" t="n">
        <v>1595</v>
      </c>
      <c r="H416" s="39" t="n">
        <v>-1.83</v>
      </c>
      <c r="I416" s="29" t="n">
        <f aca="false">IF(G416=0,"",H416/G416)</f>
        <v>-0.00114733542319749</v>
      </c>
      <c r="J416" s="26" t="n">
        <v>1</v>
      </c>
      <c r="K416" s="43" t="n">
        <v>0.331</v>
      </c>
      <c r="L416" s="43" t="n">
        <v>0.604</v>
      </c>
      <c r="M416" s="43" t="n">
        <v>0.4851</v>
      </c>
      <c r="N416" s="43" t="n">
        <v>0.3858</v>
      </c>
      <c r="O416" s="43" t="n">
        <v>0.331</v>
      </c>
      <c r="P416" s="26" t="n">
        <v>6</v>
      </c>
      <c r="Q416" s="26" t="n">
        <v>19</v>
      </c>
    </row>
    <row r="417" customFormat="false" ht="15" hidden="false" customHeight="false" outlineLevel="0" collapsed="false">
      <c r="A417" s="8" t="s">
        <v>87</v>
      </c>
      <c r="B417" s="8" t="s">
        <v>383</v>
      </c>
      <c r="C417" s="26" t="n">
        <v>2568</v>
      </c>
      <c r="D417" s="26" t="n">
        <v>1337</v>
      </c>
      <c r="E417" s="39" t="n">
        <v>-152.398</v>
      </c>
      <c r="F417" s="29" t="n">
        <f aca="false">IF(D417=0,"",E417/D417)</f>
        <v>-0.113985041136874</v>
      </c>
      <c r="G417" s="26" t="n">
        <v>1231</v>
      </c>
      <c r="H417" s="39" t="n">
        <v>25.467</v>
      </c>
      <c r="I417" s="29" t="n">
        <f aca="false">IF(G417=0,"",H417/G417)</f>
        <v>0.0206880584890333</v>
      </c>
      <c r="J417" s="26" t="n">
        <v>2</v>
      </c>
      <c r="K417" s="43" t="n">
        <v>0.3368</v>
      </c>
      <c r="L417" s="43" t="n">
        <v>0.6063</v>
      </c>
      <c r="M417" s="43" t="n">
        <v>0.4868</v>
      </c>
      <c r="N417" s="43" t="n">
        <v>0.3925</v>
      </c>
      <c r="O417" s="43" t="n">
        <v>0.3368</v>
      </c>
      <c r="P417" s="26" t="n">
        <v>5</v>
      </c>
      <c r="Q417" s="26" t="n">
        <v>20</v>
      </c>
    </row>
    <row r="418" customFormat="false" ht="15" hidden="false" customHeight="false" outlineLevel="0" collapsed="false">
      <c r="A418" s="8" t="s">
        <v>87</v>
      </c>
      <c r="B418" s="8" t="s">
        <v>310</v>
      </c>
      <c r="C418" s="26" t="n">
        <v>3233</v>
      </c>
      <c r="D418" s="26" t="n">
        <v>1643</v>
      </c>
      <c r="E418" s="39" t="n">
        <v>-187.784</v>
      </c>
      <c r="F418" s="29" t="n">
        <f aca="false">IF(D418=0,"",E418/D418)</f>
        <v>-0.114293365794279</v>
      </c>
      <c r="G418" s="26" t="n">
        <v>1590</v>
      </c>
      <c r="H418" s="39" t="n">
        <v>-11.851</v>
      </c>
      <c r="I418" s="29" t="n">
        <f aca="false">IF(G418=0,"",H418/G418)</f>
        <v>-0.00745345911949686</v>
      </c>
      <c r="J418" s="26" t="n">
        <v>1</v>
      </c>
      <c r="K418" s="43" t="n">
        <v>0.3297</v>
      </c>
      <c r="L418" s="43" t="n">
        <v>0.6041</v>
      </c>
      <c r="M418" s="43" t="n">
        <v>0.4856</v>
      </c>
      <c r="N418" s="43" t="n">
        <v>0.3869</v>
      </c>
      <c r="O418" s="43" t="n">
        <v>0.3297</v>
      </c>
      <c r="P418" s="26" t="n">
        <v>6</v>
      </c>
      <c r="Q418" s="26" t="n">
        <v>18</v>
      </c>
    </row>
    <row r="419" customFormat="false" ht="15" hidden="false" customHeight="false" outlineLevel="0" collapsed="false">
      <c r="A419" s="8" t="s">
        <v>87</v>
      </c>
      <c r="B419" s="8" t="s">
        <v>377</v>
      </c>
      <c r="C419" s="26" t="n">
        <v>4265</v>
      </c>
      <c r="D419" s="26" t="n">
        <v>2202</v>
      </c>
      <c r="E419" s="39" t="n">
        <v>-256.381</v>
      </c>
      <c r="F419" s="29" t="n">
        <f aca="false">IF(D419=0,"",E419/D419)</f>
        <v>-0.116430971843778</v>
      </c>
      <c r="G419" s="26" t="n">
        <v>2063</v>
      </c>
      <c r="H419" s="39" t="n">
        <v>-128.107</v>
      </c>
      <c r="I419" s="29" t="n">
        <f aca="false">IF(G419=0,"",H419/G419)</f>
        <v>-0.0620974309258362</v>
      </c>
      <c r="J419" s="26" t="n">
        <v>0</v>
      </c>
      <c r="K419" s="43" t="n">
        <v>0.6016</v>
      </c>
      <c r="L419" s="43" t="n">
        <v>0.6016</v>
      </c>
      <c r="M419" s="43" t="n">
        <v>0</v>
      </c>
      <c r="N419" s="43" t="n">
        <v>0</v>
      </c>
      <c r="O419" s="43" t="n">
        <v>0</v>
      </c>
      <c r="P419" s="26" t="n">
        <v>16</v>
      </c>
      <c r="Q419" s="26" t="n">
        <v>7</v>
      </c>
    </row>
    <row r="420" customFormat="false" ht="15" hidden="false" customHeight="false" outlineLevel="0" collapsed="false">
      <c r="A420" s="8" t="s">
        <v>87</v>
      </c>
      <c r="B420" s="8" t="s">
        <v>244</v>
      </c>
      <c r="C420" s="26" t="n">
        <v>751</v>
      </c>
      <c r="D420" s="26" t="n">
        <v>407</v>
      </c>
      <c r="E420" s="39" t="n">
        <v>-47.54</v>
      </c>
      <c r="F420" s="29" t="n">
        <f aca="false">IF(D420=0,"",E420/D420)</f>
        <v>-0.116805896805897</v>
      </c>
      <c r="G420" s="26" t="n">
        <v>344</v>
      </c>
      <c r="H420" s="39" t="n">
        <v>48.343</v>
      </c>
      <c r="I420" s="29" t="n">
        <f aca="false">IF(G420=0,"",H420/G420)</f>
        <v>0.140531976744186</v>
      </c>
      <c r="J420" s="26" t="n">
        <v>4</v>
      </c>
      <c r="K420" s="43" t="n">
        <v>0.3515</v>
      </c>
      <c r="L420" s="43" t="n">
        <v>0.6072</v>
      </c>
      <c r="M420" s="43" t="n">
        <v>0.4807</v>
      </c>
      <c r="N420" s="43" t="n">
        <v>0.4008</v>
      </c>
      <c r="O420" s="43" t="n">
        <v>0.3515</v>
      </c>
      <c r="P420" s="26" t="n">
        <v>5</v>
      </c>
      <c r="Q420" s="26" t="n">
        <v>13</v>
      </c>
    </row>
    <row r="421" customFormat="false" ht="15" hidden="false" customHeight="false" outlineLevel="0" collapsed="false">
      <c r="A421" s="8" t="s">
        <v>87</v>
      </c>
      <c r="B421" s="8" t="s">
        <v>304</v>
      </c>
      <c r="C421" s="26" t="n">
        <v>3367</v>
      </c>
      <c r="D421" s="26" t="n">
        <v>1707</v>
      </c>
      <c r="E421" s="39" t="n">
        <v>-200.042</v>
      </c>
      <c r="F421" s="29" t="n">
        <f aca="false">IF(D421=0,"",E421/D421)</f>
        <v>-0.117189220855302</v>
      </c>
      <c r="G421" s="26" t="n">
        <v>1660</v>
      </c>
      <c r="H421" s="39" t="n">
        <v>28.261</v>
      </c>
      <c r="I421" s="29" t="n">
        <f aca="false">IF(G421=0,"",H421/G421)</f>
        <v>0.0170246987951807</v>
      </c>
      <c r="J421" s="26" t="n">
        <v>2</v>
      </c>
      <c r="K421" s="43" t="n">
        <v>0.3326</v>
      </c>
      <c r="L421" s="43" t="n">
        <v>0.6062</v>
      </c>
      <c r="M421" s="43" t="n">
        <v>0.485</v>
      </c>
      <c r="N421" s="43" t="n">
        <v>0.3867</v>
      </c>
      <c r="O421" s="43" t="n">
        <v>0.3326</v>
      </c>
      <c r="P421" s="26" t="n">
        <v>6</v>
      </c>
      <c r="Q421" s="26" t="n">
        <v>17</v>
      </c>
    </row>
    <row r="422" customFormat="false" ht="15" hidden="false" customHeight="false" outlineLevel="0" collapsed="false">
      <c r="A422" s="8" t="s">
        <v>87</v>
      </c>
      <c r="B422" s="8" t="s">
        <v>361</v>
      </c>
      <c r="C422" s="26" t="n">
        <v>3280</v>
      </c>
      <c r="D422" s="26" t="n">
        <v>1666</v>
      </c>
      <c r="E422" s="39" t="n">
        <v>-195.877</v>
      </c>
      <c r="F422" s="29" t="n">
        <f aca="false">IF(D422=0,"",E422/D422)</f>
        <v>-0.117573229291717</v>
      </c>
      <c r="G422" s="26" t="n">
        <v>1614</v>
      </c>
      <c r="H422" s="39" t="n">
        <v>-39.276</v>
      </c>
      <c r="I422" s="29" t="n">
        <f aca="false">IF(G422=0,"",H422/G422)</f>
        <v>-0.0243345724907063</v>
      </c>
      <c r="J422" s="26" t="n">
        <v>1</v>
      </c>
      <c r="K422" s="43" t="n">
        <v>0.3262</v>
      </c>
      <c r="L422" s="43" t="n">
        <v>0.596</v>
      </c>
      <c r="M422" s="43" t="n">
        <v>0.4814</v>
      </c>
      <c r="N422" s="43" t="n">
        <v>0.3832</v>
      </c>
      <c r="O422" s="43" t="n">
        <v>0.3262</v>
      </c>
      <c r="P422" s="26" t="n">
        <v>6</v>
      </c>
      <c r="Q422" s="26" t="n">
        <v>19</v>
      </c>
    </row>
    <row r="423" customFormat="false" ht="15" hidden="false" customHeight="false" outlineLevel="0" collapsed="false">
      <c r="A423" s="8" t="s">
        <v>87</v>
      </c>
      <c r="B423" s="8" t="s">
        <v>279</v>
      </c>
      <c r="C423" s="26" t="n">
        <v>2747</v>
      </c>
      <c r="D423" s="26" t="n">
        <v>1395</v>
      </c>
      <c r="E423" s="39" t="n">
        <v>-165.536</v>
      </c>
      <c r="F423" s="29" t="n">
        <f aca="false">IF(D423=0,"",E423/D423)</f>
        <v>-0.118663799283154</v>
      </c>
      <c r="G423" s="26" t="n">
        <v>1352</v>
      </c>
      <c r="H423" s="39" t="n">
        <v>-2.345</v>
      </c>
      <c r="I423" s="29" t="n">
        <f aca="false">IF(G423=0,"",H423/G423)</f>
        <v>-0.0017344674556213</v>
      </c>
      <c r="J423" s="26" t="n">
        <v>1</v>
      </c>
      <c r="K423" s="43" t="n">
        <v>0.3298</v>
      </c>
      <c r="L423" s="43" t="n">
        <v>0.6036</v>
      </c>
      <c r="M423" s="43" t="n">
        <v>0.4798</v>
      </c>
      <c r="N423" s="43" t="n">
        <v>0.383</v>
      </c>
      <c r="O423" s="43" t="n">
        <v>0.3298</v>
      </c>
      <c r="P423" s="26" t="n">
        <v>6</v>
      </c>
      <c r="Q423" s="26" t="n">
        <v>15</v>
      </c>
    </row>
    <row r="424" customFormat="false" ht="15" hidden="false" customHeight="false" outlineLevel="0" collapsed="false">
      <c r="A424" s="8" t="s">
        <v>87</v>
      </c>
      <c r="B424" s="8" t="s">
        <v>381</v>
      </c>
      <c r="C424" s="26" t="n">
        <v>3054</v>
      </c>
      <c r="D424" s="26" t="n">
        <v>1565</v>
      </c>
      <c r="E424" s="39" t="n">
        <v>-186.298</v>
      </c>
      <c r="F424" s="29" t="n">
        <f aca="false">IF(D424=0,"",E424/D424)</f>
        <v>-0.119040255591054</v>
      </c>
      <c r="G424" s="26" t="n">
        <v>1489</v>
      </c>
      <c r="H424" s="39" t="n">
        <v>8.325</v>
      </c>
      <c r="I424" s="29" t="n">
        <f aca="false">IF(G424=0,"",H424/G424)</f>
        <v>0.00559100067159167</v>
      </c>
      <c r="J424" s="26" t="n">
        <v>2</v>
      </c>
      <c r="K424" s="43" t="n">
        <v>0.3317</v>
      </c>
      <c r="L424" s="43" t="n">
        <v>0.6022</v>
      </c>
      <c r="M424" s="43" t="n">
        <v>0.483</v>
      </c>
      <c r="N424" s="43" t="n">
        <v>0.3874</v>
      </c>
      <c r="O424" s="43" t="n">
        <v>0.3317</v>
      </c>
      <c r="P424" s="26" t="n">
        <v>5</v>
      </c>
      <c r="Q424" s="26" t="n">
        <v>15</v>
      </c>
    </row>
    <row r="425" customFormat="false" ht="15" hidden="false" customHeight="false" outlineLevel="0" collapsed="false">
      <c r="A425" s="8" t="s">
        <v>87</v>
      </c>
      <c r="B425" s="8" t="s">
        <v>281</v>
      </c>
      <c r="C425" s="26" t="n">
        <v>2743</v>
      </c>
      <c r="D425" s="26" t="n">
        <v>1411</v>
      </c>
      <c r="E425" s="39" t="n">
        <v>-169.068</v>
      </c>
      <c r="F425" s="29" t="n">
        <f aca="false">IF(D425=0,"",E425/D425)</f>
        <v>-0.119821403260099</v>
      </c>
      <c r="G425" s="26" t="n">
        <v>1332</v>
      </c>
      <c r="H425" s="39" t="n">
        <v>-59.623</v>
      </c>
      <c r="I425" s="29" t="n">
        <f aca="false">IF(G425=0,"",H425/G425)</f>
        <v>-0.044762012012012</v>
      </c>
      <c r="J425" s="26" t="n">
        <v>1</v>
      </c>
      <c r="K425" s="43" t="n">
        <v>0.3223</v>
      </c>
      <c r="L425" s="43" t="n">
        <v>0.607</v>
      </c>
      <c r="M425" s="43" t="n">
        <v>0.4761</v>
      </c>
      <c r="N425" s="43" t="n">
        <v>0.3719</v>
      </c>
      <c r="O425" s="43" t="n">
        <v>0.3223</v>
      </c>
      <c r="P425" s="26" t="n">
        <v>6</v>
      </c>
      <c r="Q425" s="26" t="n">
        <v>16</v>
      </c>
    </row>
    <row r="426" customFormat="false" ht="15" hidden="false" customHeight="false" outlineLevel="0" collapsed="false">
      <c r="A426" s="8" t="s">
        <v>87</v>
      </c>
      <c r="B426" s="8" t="s">
        <v>337</v>
      </c>
      <c r="C426" s="26" t="n">
        <v>3346</v>
      </c>
      <c r="D426" s="26" t="n">
        <v>1698</v>
      </c>
      <c r="E426" s="39" t="n">
        <v>-205.151</v>
      </c>
      <c r="F426" s="29" t="n">
        <f aca="false">IF(D426=0,"",E426/D426)</f>
        <v>-0.120819199057715</v>
      </c>
      <c r="G426" s="26" t="n">
        <v>1648</v>
      </c>
      <c r="H426" s="39" t="n">
        <v>7.258</v>
      </c>
      <c r="I426" s="29" t="n">
        <f aca="false">IF(G426=0,"",H426/G426)</f>
        <v>0.00440412621359223</v>
      </c>
      <c r="J426" s="26" t="n">
        <v>1</v>
      </c>
      <c r="K426" s="43" t="n">
        <v>0.3302</v>
      </c>
      <c r="L426" s="43" t="n">
        <v>0.6052</v>
      </c>
      <c r="M426" s="43" t="n">
        <v>0.4863</v>
      </c>
      <c r="N426" s="43" t="n">
        <v>0.3861</v>
      </c>
      <c r="O426" s="43" t="n">
        <v>0.3302</v>
      </c>
      <c r="P426" s="26" t="n">
        <v>7</v>
      </c>
      <c r="Q426" s="26" t="n">
        <v>15</v>
      </c>
    </row>
    <row r="427" customFormat="false" ht="15" hidden="false" customHeight="false" outlineLevel="0" collapsed="false">
      <c r="A427" s="8" t="s">
        <v>87</v>
      </c>
      <c r="B427" s="8" t="s">
        <v>369</v>
      </c>
      <c r="C427" s="26" t="n">
        <v>3477</v>
      </c>
      <c r="D427" s="26" t="n">
        <v>1773</v>
      </c>
      <c r="E427" s="39" t="n">
        <v>-215.005</v>
      </c>
      <c r="F427" s="29" t="n">
        <f aca="false">IF(D427=0,"",E427/D427)</f>
        <v>-0.121266215454033</v>
      </c>
      <c r="G427" s="26" t="n">
        <v>1704</v>
      </c>
      <c r="H427" s="39" t="n">
        <v>-86.838</v>
      </c>
      <c r="I427" s="29" t="n">
        <f aca="false">IF(G427=0,"",H427/G427)</f>
        <v>-0.0509612676056338</v>
      </c>
      <c r="J427" s="26" t="n">
        <v>1</v>
      </c>
      <c r="K427" s="43" t="n">
        <v>0.3857</v>
      </c>
      <c r="L427" s="43" t="n">
        <v>0.6066</v>
      </c>
      <c r="M427" s="43" t="n">
        <v>0.4861</v>
      </c>
      <c r="N427" s="43" t="n">
        <v>0.3857</v>
      </c>
      <c r="O427" s="43" t="n">
        <v>0.3857</v>
      </c>
      <c r="P427" s="26" t="n">
        <v>7</v>
      </c>
      <c r="Q427" s="26" t="n">
        <v>15</v>
      </c>
    </row>
    <row r="428" customFormat="false" ht="15" hidden="false" customHeight="false" outlineLevel="0" collapsed="false">
      <c r="A428" s="8" t="s">
        <v>87</v>
      </c>
      <c r="B428" s="8" t="s">
        <v>370</v>
      </c>
      <c r="C428" s="26" t="n">
        <v>3477</v>
      </c>
      <c r="D428" s="26" t="n">
        <v>1773</v>
      </c>
      <c r="E428" s="39" t="n">
        <v>-215.005</v>
      </c>
      <c r="F428" s="29" t="n">
        <f aca="false">IF(D428=0,"",E428/D428)</f>
        <v>-0.121266215454033</v>
      </c>
      <c r="G428" s="26" t="n">
        <v>1704</v>
      </c>
      <c r="H428" s="39" t="n">
        <v>-86.838</v>
      </c>
      <c r="I428" s="29" t="n">
        <f aca="false">IF(G428=0,"",H428/G428)</f>
        <v>-0.0509612676056338</v>
      </c>
      <c r="J428" s="26" t="n">
        <v>1</v>
      </c>
      <c r="K428" s="43" t="n">
        <v>0.3857</v>
      </c>
      <c r="L428" s="43" t="n">
        <v>0.6066</v>
      </c>
      <c r="M428" s="43" t="n">
        <v>0.4861</v>
      </c>
      <c r="N428" s="43" t="n">
        <v>0.3857</v>
      </c>
      <c r="O428" s="43" t="n">
        <v>0</v>
      </c>
      <c r="P428" s="26" t="n">
        <v>7</v>
      </c>
      <c r="Q428" s="26" t="n">
        <v>15</v>
      </c>
    </row>
    <row r="429" customFormat="false" ht="15" hidden="false" customHeight="false" outlineLevel="0" collapsed="false">
      <c r="A429" s="8" t="s">
        <v>87</v>
      </c>
      <c r="B429" s="8" t="s">
        <v>368</v>
      </c>
      <c r="C429" s="26" t="n">
        <v>3918</v>
      </c>
      <c r="D429" s="26" t="n">
        <v>1974</v>
      </c>
      <c r="E429" s="39" t="n">
        <v>-239.379</v>
      </c>
      <c r="F429" s="29" t="n">
        <f aca="false">IF(D429=0,"",E429/D429)</f>
        <v>-0.121265957446809</v>
      </c>
      <c r="G429" s="26" t="n">
        <v>1944</v>
      </c>
      <c r="H429" s="39" t="n">
        <v>25.17</v>
      </c>
      <c r="I429" s="29" t="n">
        <f aca="false">IF(G429=0,"",H429/G429)</f>
        <v>0.0129475308641975</v>
      </c>
      <c r="J429" s="26" t="n">
        <v>2</v>
      </c>
      <c r="K429" s="43" t="n">
        <v>0.331</v>
      </c>
      <c r="L429" s="43" t="n">
        <v>0.5878</v>
      </c>
      <c r="M429" s="43" t="n">
        <v>0.4793</v>
      </c>
      <c r="N429" s="43" t="n">
        <v>0.3887</v>
      </c>
      <c r="O429" s="43" t="n">
        <v>0.331</v>
      </c>
      <c r="P429" s="26" t="n">
        <v>8</v>
      </c>
      <c r="Q429" s="26" t="n">
        <v>17</v>
      </c>
    </row>
    <row r="430" customFormat="false" ht="15" hidden="false" customHeight="false" outlineLevel="0" collapsed="false">
      <c r="A430" s="8" t="s">
        <v>87</v>
      </c>
      <c r="B430" s="8" t="s">
        <v>308</v>
      </c>
      <c r="C430" s="26" t="n">
        <v>3395</v>
      </c>
      <c r="D430" s="26" t="n">
        <v>1740</v>
      </c>
      <c r="E430" s="39" t="n">
        <v>-212.86</v>
      </c>
      <c r="F430" s="29" t="n">
        <f aca="false">IF(D430=0,"",E430/D430)</f>
        <v>-0.122333333333333</v>
      </c>
      <c r="G430" s="26" t="n">
        <v>1655</v>
      </c>
      <c r="H430" s="39" t="n">
        <v>-53.242</v>
      </c>
      <c r="I430" s="29" t="n">
        <f aca="false">IF(G430=0,"",H430/G430)</f>
        <v>-0.0321703927492447</v>
      </c>
      <c r="J430" s="26" t="n">
        <v>1</v>
      </c>
      <c r="K430" s="43" t="n">
        <v>0.3844</v>
      </c>
      <c r="L430" s="43" t="n">
        <v>0.6044</v>
      </c>
      <c r="M430" s="43" t="n">
        <v>0.4845</v>
      </c>
      <c r="N430" s="43" t="n">
        <v>0.3844</v>
      </c>
      <c r="O430" s="43" t="n">
        <v>0.2041</v>
      </c>
      <c r="P430" s="26" t="n">
        <v>7</v>
      </c>
      <c r="Q430" s="26" t="n">
        <v>15</v>
      </c>
    </row>
    <row r="431" customFormat="false" ht="15" hidden="false" customHeight="false" outlineLevel="0" collapsed="false">
      <c r="A431" s="8" t="s">
        <v>87</v>
      </c>
      <c r="B431" s="8" t="s">
        <v>285</v>
      </c>
      <c r="C431" s="26" t="n">
        <v>2719</v>
      </c>
      <c r="D431" s="26" t="n">
        <v>1357</v>
      </c>
      <c r="E431" s="39" t="n">
        <v>-167.236</v>
      </c>
      <c r="F431" s="29" t="n">
        <f aca="false">IF(D431=0,"",E431/D431)</f>
        <v>-0.12323949889462</v>
      </c>
      <c r="G431" s="26" t="n">
        <v>1362</v>
      </c>
      <c r="H431" s="39" t="n">
        <v>12.282</v>
      </c>
      <c r="I431" s="29" t="n">
        <f aca="false">IF(G431=0,"",H431/G431)</f>
        <v>0.00901762114537445</v>
      </c>
      <c r="J431" s="26" t="n">
        <v>1</v>
      </c>
      <c r="K431" s="43" t="n">
        <v>0.3303</v>
      </c>
      <c r="L431" s="43" t="n">
        <v>0.5973</v>
      </c>
      <c r="M431" s="43" t="n">
        <v>0.484</v>
      </c>
      <c r="N431" s="43" t="n">
        <v>0.3854</v>
      </c>
      <c r="O431" s="43" t="n">
        <v>0.3303</v>
      </c>
      <c r="P431" s="26" t="n">
        <v>6</v>
      </c>
      <c r="Q431" s="26" t="n">
        <v>15</v>
      </c>
    </row>
    <row r="432" customFormat="false" ht="15" hidden="false" customHeight="false" outlineLevel="0" collapsed="false">
      <c r="A432" s="8" t="s">
        <v>87</v>
      </c>
      <c r="B432" s="8" t="s">
        <v>307</v>
      </c>
      <c r="C432" s="26" t="n">
        <v>3090</v>
      </c>
      <c r="D432" s="26" t="n">
        <v>1574</v>
      </c>
      <c r="E432" s="39" t="n">
        <v>-194.276</v>
      </c>
      <c r="F432" s="29" t="n">
        <f aca="false">IF(D432=0,"",E432/D432)</f>
        <v>-0.123428208386277</v>
      </c>
      <c r="G432" s="26" t="n">
        <v>1516</v>
      </c>
      <c r="H432" s="39" t="n">
        <v>-2.465</v>
      </c>
      <c r="I432" s="29" t="n">
        <f aca="false">IF(G432=0,"",H432/G432)</f>
        <v>-0.00162598944591029</v>
      </c>
      <c r="J432" s="26" t="n">
        <v>1</v>
      </c>
      <c r="K432" s="43" t="n">
        <v>0.3291</v>
      </c>
      <c r="L432" s="43" t="n">
        <v>0.6036</v>
      </c>
      <c r="M432" s="43" t="n">
        <v>0.4832</v>
      </c>
      <c r="N432" s="43" t="n">
        <v>0.3845</v>
      </c>
      <c r="O432" s="43" t="n">
        <v>0.3291</v>
      </c>
      <c r="P432" s="26" t="n">
        <v>6</v>
      </c>
      <c r="Q432" s="26" t="n">
        <v>21</v>
      </c>
    </row>
    <row r="433" customFormat="false" ht="15" hidden="false" customHeight="false" outlineLevel="0" collapsed="false">
      <c r="A433" s="8" t="s">
        <v>87</v>
      </c>
      <c r="B433" s="8" t="s">
        <v>290</v>
      </c>
      <c r="C433" s="26" t="n">
        <v>2995</v>
      </c>
      <c r="D433" s="26" t="n">
        <v>1531</v>
      </c>
      <c r="E433" s="39" t="n">
        <v>-192.088</v>
      </c>
      <c r="F433" s="29" t="n">
        <f aca="false">IF(D433=0,"",E433/D433)</f>
        <v>-0.125465708687133</v>
      </c>
      <c r="G433" s="26" t="n">
        <v>1464</v>
      </c>
      <c r="H433" s="39" t="n">
        <v>-12.187</v>
      </c>
      <c r="I433" s="29" t="n">
        <f aca="false">IF(G433=0,"",H433/G433)</f>
        <v>-0.00832445355191257</v>
      </c>
      <c r="J433" s="26" t="n">
        <v>1</v>
      </c>
      <c r="K433" s="43" t="n">
        <v>0.3275</v>
      </c>
      <c r="L433" s="43" t="n">
        <v>0.602</v>
      </c>
      <c r="M433" s="43" t="n">
        <v>0.4841</v>
      </c>
      <c r="N433" s="43" t="n">
        <v>0.3843</v>
      </c>
      <c r="O433" s="43" t="n">
        <v>0.3275</v>
      </c>
      <c r="P433" s="26" t="n">
        <v>6</v>
      </c>
      <c r="Q433" s="26" t="n">
        <v>14</v>
      </c>
    </row>
    <row r="434" customFormat="false" ht="15" hidden="false" customHeight="false" outlineLevel="0" collapsed="false">
      <c r="A434" s="8" t="s">
        <v>87</v>
      </c>
      <c r="B434" s="8" t="s">
        <v>303</v>
      </c>
      <c r="C434" s="26" t="n">
        <v>3074</v>
      </c>
      <c r="D434" s="26" t="n">
        <v>1547</v>
      </c>
      <c r="E434" s="39" t="n">
        <v>-197.223</v>
      </c>
      <c r="F434" s="29" t="n">
        <f aca="false">IF(D434=0,"",E434/D434)</f>
        <v>-0.127487394957983</v>
      </c>
      <c r="G434" s="26" t="n">
        <v>1527</v>
      </c>
      <c r="H434" s="39" t="n">
        <v>-16.609</v>
      </c>
      <c r="I434" s="29" t="n">
        <f aca="false">IF(G434=0,"",H434/G434)</f>
        <v>-0.0108768827766863</v>
      </c>
      <c r="J434" s="26" t="n">
        <v>1</v>
      </c>
      <c r="K434" s="43" t="n">
        <v>0.3269</v>
      </c>
      <c r="L434" s="43" t="n">
        <v>0.6018</v>
      </c>
      <c r="M434" s="43" t="n">
        <v>0.4805</v>
      </c>
      <c r="N434" s="43" t="n">
        <v>0.3819</v>
      </c>
      <c r="O434" s="43" t="n">
        <v>0.3269</v>
      </c>
      <c r="P434" s="26" t="n">
        <v>6</v>
      </c>
      <c r="Q434" s="26" t="n">
        <v>17</v>
      </c>
    </row>
    <row r="435" customFormat="false" ht="15" hidden="false" customHeight="false" outlineLevel="0" collapsed="false">
      <c r="A435" s="8" t="s">
        <v>87</v>
      </c>
      <c r="B435" s="8" t="s">
        <v>376</v>
      </c>
      <c r="C435" s="26" t="n">
        <v>3365</v>
      </c>
      <c r="D435" s="26" t="n">
        <v>1695</v>
      </c>
      <c r="E435" s="39" t="n">
        <v>-216.882</v>
      </c>
      <c r="F435" s="29" t="n">
        <f aca="false">IF(D435=0,"",E435/D435)</f>
        <v>-0.127953982300885</v>
      </c>
      <c r="G435" s="26" t="n">
        <v>1670</v>
      </c>
      <c r="H435" s="39" t="n">
        <v>-78.079</v>
      </c>
      <c r="I435" s="29" t="n">
        <f aca="false">IF(G435=0,"",H435/G435)</f>
        <v>-0.0467538922155689</v>
      </c>
      <c r="J435" s="26" t="n">
        <v>0</v>
      </c>
      <c r="K435" s="43" t="n">
        <v>0.3207</v>
      </c>
      <c r="L435" s="43" t="n">
        <v>0.5866</v>
      </c>
      <c r="M435" s="43" t="n">
        <v>0.4758</v>
      </c>
      <c r="N435" s="43" t="n">
        <v>0.3774</v>
      </c>
      <c r="O435" s="43" t="n">
        <v>0.3207</v>
      </c>
      <c r="P435" s="26" t="n">
        <v>6</v>
      </c>
      <c r="Q435" s="26" t="n">
        <v>19</v>
      </c>
    </row>
    <row r="436" customFormat="false" ht="15" hidden="false" customHeight="false" outlineLevel="0" collapsed="false">
      <c r="A436" s="8" t="s">
        <v>87</v>
      </c>
      <c r="B436" s="8" t="s">
        <v>295</v>
      </c>
      <c r="C436" s="26" t="n">
        <v>2464</v>
      </c>
      <c r="D436" s="26" t="n">
        <v>1235</v>
      </c>
      <c r="E436" s="39" t="n">
        <v>-160.824</v>
      </c>
      <c r="F436" s="29" t="n">
        <f aca="false">IF(D436=0,"",E436/D436)</f>
        <v>-0.130221862348178</v>
      </c>
      <c r="G436" s="26" t="n">
        <v>1229</v>
      </c>
      <c r="H436" s="39" t="n">
        <v>-19.054</v>
      </c>
      <c r="I436" s="29" t="n">
        <f aca="false">IF(G436=0,"",H436/G436)</f>
        <v>-0.0155036615134255</v>
      </c>
      <c r="J436" s="26" t="n">
        <v>1</v>
      </c>
      <c r="K436" s="43" t="n">
        <v>0.3243</v>
      </c>
      <c r="L436" s="43" t="n">
        <v>0.6063</v>
      </c>
      <c r="M436" s="43" t="n">
        <v>0.4777</v>
      </c>
      <c r="N436" s="43" t="n">
        <v>0.3774</v>
      </c>
      <c r="O436" s="43" t="n">
        <v>0.3243</v>
      </c>
      <c r="P436" s="26" t="n">
        <v>5</v>
      </c>
      <c r="Q436" s="26" t="n">
        <v>17</v>
      </c>
    </row>
    <row r="437" customFormat="false" ht="15" hidden="false" customHeight="false" outlineLevel="0" collapsed="false">
      <c r="A437" s="8" t="s">
        <v>87</v>
      </c>
      <c r="B437" s="8" t="s">
        <v>258</v>
      </c>
      <c r="C437" s="26" t="n">
        <v>1870</v>
      </c>
      <c r="D437" s="26" t="n">
        <v>925</v>
      </c>
      <c r="E437" s="39" t="n">
        <v>-126.264</v>
      </c>
      <c r="F437" s="29" t="n">
        <f aca="false">IF(D437=0,"",E437/D437)</f>
        <v>-0.136501621621622</v>
      </c>
      <c r="G437" s="26" t="n">
        <v>945</v>
      </c>
      <c r="H437" s="39" t="n">
        <v>18.177</v>
      </c>
      <c r="I437" s="29" t="n">
        <f aca="false">IF(G437=0,"",H437/G437)</f>
        <v>0.0192349206349206</v>
      </c>
      <c r="J437" s="26" t="n">
        <v>2</v>
      </c>
      <c r="K437" s="43" t="n">
        <v>0.3316</v>
      </c>
      <c r="L437" s="43" t="n">
        <v>0.5914</v>
      </c>
      <c r="M437" s="43" t="n">
        <v>0.4749</v>
      </c>
      <c r="N437" s="43" t="n">
        <v>0.3856</v>
      </c>
      <c r="O437" s="43" t="n">
        <v>0.3316</v>
      </c>
      <c r="P437" s="26" t="n">
        <v>6</v>
      </c>
      <c r="Q437" s="26" t="n">
        <v>21</v>
      </c>
    </row>
    <row r="438" customFormat="false" ht="15" hidden="false" customHeight="false" outlineLevel="0" collapsed="false">
      <c r="A438" s="8" t="s">
        <v>87</v>
      </c>
      <c r="B438" s="8" t="s">
        <v>289</v>
      </c>
      <c r="C438" s="26" t="n">
        <v>2637</v>
      </c>
      <c r="D438" s="26" t="n">
        <v>1333</v>
      </c>
      <c r="E438" s="39" t="n">
        <v>-183.232</v>
      </c>
      <c r="F438" s="29" t="n">
        <f aca="false">IF(D438=0,"",E438/D438)</f>
        <v>-0.137458364591148</v>
      </c>
      <c r="G438" s="26" t="n">
        <v>1304</v>
      </c>
      <c r="H438" s="39" t="n">
        <v>0.235</v>
      </c>
      <c r="I438" s="29" t="n">
        <f aca="false">IF(G438=0,"",H438/G438)</f>
        <v>0.00018021472392638</v>
      </c>
      <c r="J438" s="26" t="n">
        <v>1</v>
      </c>
      <c r="K438" s="43" t="n">
        <v>0.3276</v>
      </c>
      <c r="L438" s="43" t="n">
        <v>0.595</v>
      </c>
      <c r="M438" s="43" t="n">
        <v>0.4786</v>
      </c>
      <c r="N438" s="43" t="n">
        <v>0.38</v>
      </c>
      <c r="O438" s="43" t="n">
        <v>0.3276</v>
      </c>
      <c r="P438" s="26" t="n">
        <v>6</v>
      </c>
      <c r="Q438" s="26" t="n">
        <v>18</v>
      </c>
    </row>
    <row r="439" customFormat="false" ht="15" hidden="false" customHeight="false" outlineLevel="0" collapsed="false">
      <c r="A439" s="8" t="s">
        <v>87</v>
      </c>
      <c r="B439" s="8" t="s">
        <v>297</v>
      </c>
      <c r="C439" s="26" t="n">
        <v>2659</v>
      </c>
      <c r="D439" s="26" t="n">
        <v>1375</v>
      </c>
      <c r="E439" s="39" t="n">
        <v>-189.742</v>
      </c>
      <c r="F439" s="29" t="n">
        <f aca="false">IF(D439=0,"",E439/D439)</f>
        <v>-0.137994181818182</v>
      </c>
      <c r="G439" s="26" t="n">
        <v>1284</v>
      </c>
      <c r="H439" s="39" t="n">
        <v>39.352</v>
      </c>
      <c r="I439" s="29" t="n">
        <f aca="false">IF(G439=0,"",H439/G439)</f>
        <v>0.0306479750778816</v>
      </c>
      <c r="J439" s="26" t="n">
        <v>2</v>
      </c>
      <c r="K439" s="43" t="n">
        <v>0.3317</v>
      </c>
      <c r="L439" s="43" t="n">
        <v>0.5852</v>
      </c>
      <c r="M439" s="43" t="n">
        <v>0.475</v>
      </c>
      <c r="N439" s="43" t="n">
        <v>0.3829</v>
      </c>
      <c r="O439" s="43" t="n">
        <v>0.3317</v>
      </c>
      <c r="P439" s="26" t="n">
        <v>6</v>
      </c>
      <c r="Q439" s="26" t="n">
        <v>19</v>
      </c>
    </row>
    <row r="440" customFormat="false" ht="15" hidden="false" customHeight="false" outlineLevel="0" collapsed="false">
      <c r="A440" s="8" t="s">
        <v>87</v>
      </c>
      <c r="B440" s="8" t="s">
        <v>382</v>
      </c>
      <c r="C440" s="26" t="n">
        <v>3548</v>
      </c>
      <c r="D440" s="26" t="n">
        <v>1800</v>
      </c>
      <c r="E440" s="39" t="n">
        <v>-255.566</v>
      </c>
      <c r="F440" s="29" t="n">
        <f aca="false">IF(D440=0,"",E440/D440)</f>
        <v>-0.141981111111111</v>
      </c>
      <c r="G440" s="26" t="n">
        <v>1748</v>
      </c>
      <c r="H440" s="39" t="n">
        <v>-53.451</v>
      </c>
      <c r="I440" s="29" t="n">
        <f aca="false">IF(G440=0,"",H440/G440)</f>
        <v>-0.0305783752860412</v>
      </c>
      <c r="J440" s="26" t="n">
        <v>1</v>
      </c>
      <c r="K440" s="43" t="n">
        <v>0.3241</v>
      </c>
      <c r="L440" s="43" t="n">
        <v>0.5986</v>
      </c>
      <c r="M440" s="43" t="n">
        <v>0.4851</v>
      </c>
      <c r="N440" s="43" t="n">
        <v>0.387</v>
      </c>
      <c r="O440" s="43" t="n">
        <v>0.3241</v>
      </c>
      <c r="P440" s="26" t="n">
        <v>5</v>
      </c>
      <c r="Q440" s="26" t="n">
        <v>19</v>
      </c>
    </row>
    <row r="441" customFormat="false" ht="15" hidden="false" customHeight="false" outlineLevel="0" collapsed="false">
      <c r="A441" s="8" t="s">
        <v>87</v>
      </c>
      <c r="B441" s="8" t="s">
        <v>314</v>
      </c>
      <c r="C441" s="26" t="n">
        <v>2977</v>
      </c>
      <c r="D441" s="26" t="n">
        <v>1524</v>
      </c>
      <c r="E441" s="39" t="n">
        <v>-224.719</v>
      </c>
      <c r="F441" s="29" t="n">
        <f aca="false">IF(D441=0,"",E441/D441)</f>
        <v>-0.147453412073491</v>
      </c>
      <c r="G441" s="26" t="n">
        <v>1453</v>
      </c>
      <c r="H441" s="39" t="n">
        <v>16.564</v>
      </c>
      <c r="I441" s="29" t="n">
        <f aca="false">IF(G441=0,"",H441/G441)</f>
        <v>0.0113998623537509</v>
      </c>
      <c r="J441" s="26" t="n">
        <v>2</v>
      </c>
      <c r="K441" s="43" t="n">
        <v>0.3272</v>
      </c>
      <c r="L441" s="43" t="n">
        <v>0.5929</v>
      </c>
      <c r="M441" s="43" t="n">
        <v>0.4773</v>
      </c>
      <c r="N441" s="43" t="n">
        <v>0.3823</v>
      </c>
      <c r="O441" s="43" t="n">
        <v>0.3272</v>
      </c>
      <c r="P441" s="26" t="n">
        <v>6</v>
      </c>
      <c r="Q441" s="26" t="n">
        <v>19</v>
      </c>
    </row>
    <row r="442" customFormat="false" ht="15" hidden="false" customHeight="false" outlineLevel="0" collapsed="false">
      <c r="A442" s="8" t="s">
        <v>87</v>
      </c>
      <c r="B442" s="8" t="s">
        <v>241</v>
      </c>
      <c r="C442" s="26" t="n">
        <v>410</v>
      </c>
      <c r="D442" s="26" t="n">
        <v>201</v>
      </c>
      <c r="E442" s="39" t="n">
        <v>-32.798</v>
      </c>
      <c r="F442" s="29" t="n">
        <f aca="false">IF(D442=0,"",E442/D442)</f>
        <v>-0.163174129353234</v>
      </c>
      <c r="G442" s="26" t="n">
        <v>209</v>
      </c>
      <c r="H442" s="39" t="n">
        <v>16.465</v>
      </c>
      <c r="I442" s="29" t="n">
        <f aca="false">IF(G442=0,"",H442/G442)</f>
        <v>0.0787799043062201</v>
      </c>
      <c r="J442" s="26" t="n">
        <v>3</v>
      </c>
      <c r="K442" s="43" t="n">
        <v>0.3293</v>
      </c>
      <c r="L442" s="43" t="n">
        <v>0.622</v>
      </c>
      <c r="M442" s="43" t="n">
        <v>0.4902</v>
      </c>
      <c r="N442" s="43" t="n">
        <v>0.3732</v>
      </c>
      <c r="O442" s="43" t="n">
        <v>0.3293</v>
      </c>
      <c r="P442" s="26" t="n">
        <v>5</v>
      </c>
      <c r="Q442" s="26" t="n">
        <v>10</v>
      </c>
    </row>
    <row r="443" customFormat="false" ht="15" hidden="false" customHeight="false" outlineLevel="0" collapsed="false">
      <c r="A443" s="8" t="s">
        <v>87</v>
      </c>
      <c r="B443" s="8" t="s">
        <v>385</v>
      </c>
      <c r="C443" s="26" t="n">
        <v>3972</v>
      </c>
      <c r="D443" s="26" t="n">
        <v>2014</v>
      </c>
      <c r="E443" s="39" t="n">
        <v>-353.244</v>
      </c>
      <c r="F443" s="29" t="n">
        <f aca="false">IF(D443=0,"",E443/D443)</f>
        <v>-0.175394240317776</v>
      </c>
      <c r="G443" s="26" t="n">
        <v>1958</v>
      </c>
      <c r="H443" s="39" t="n">
        <v>-144.765</v>
      </c>
      <c r="I443" s="29" t="n">
        <f aca="false">IF(G443=0,"",H443/G443)</f>
        <v>-0.0739351378958121</v>
      </c>
      <c r="J443" s="26" t="n">
        <v>0</v>
      </c>
      <c r="K443" s="43" t="n">
        <v>0.3157</v>
      </c>
      <c r="L443" s="43" t="n">
        <v>0.5793</v>
      </c>
      <c r="M443" s="43" t="n">
        <v>0.4791</v>
      </c>
      <c r="N443" s="43" t="n">
        <v>0.3822</v>
      </c>
      <c r="O443" s="43" t="n">
        <v>0.3157</v>
      </c>
      <c r="P443" s="26" t="n">
        <v>5</v>
      </c>
      <c r="Q443" s="26" t="n">
        <v>21</v>
      </c>
    </row>
    <row r="444" customFormat="false" ht="15" hidden="false" customHeight="false" outlineLevel="0" collapsed="false">
      <c r="A444" s="8" t="s">
        <v>87</v>
      </c>
      <c r="B444" s="8" t="s">
        <v>245</v>
      </c>
      <c r="C444" s="26" t="n">
        <v>840</v>
      </c>
      <c r="D444" s="26" t="n">
        <v>459</v>
      </c>
      <c r="E444" s="39" t="n">
        <v>-109.681</v>
      </c>
      <c r="F444" s="29" t="n">
        <f aca="false">IF(D444=0,"",E444/D444)</f>
        <v>-0.238956427015251</v>
      </c>
      <c r="G444" s="26" t="n">
        <v>381</v>
      </c>
      <c r="H444" s="39" t="n">
        <v>-37.227</v>
      </c>
      <c r="I444" s="29" t="n">
        <f aca="false">IF(G444=0,"",H444/G444)</f>
        <v>-0.0977086614173228</v>
      </c>
      <c r="J444" s="26" t="n">
        <v>1</v>
      </c>
      <c r="K444" s="43" t="n">
        <v>0.2917</v>
      </c>
      <c r="L444" s="43" t="n">
        <v>0.6012</v>
      </c>
      <c r="M444" s="43" t="n">
        <v>0.4643</v>
      </c>
      <c r="N444" s="43" t="n">
        <v>0.3571</v>
      </c>
      <c r="O444" s="43" t="n">
        <v>0.2917</v>
      </c>
      <c r="P444" s="26" t="n">
        <v>4</v>
      </c>
      <c r="Q444" s="26" t="n">
        <v>23</v>
      </c>
    </row>
    <row r="446" customFormat="false" ht="15" hidden="false" customHeight="false" outlineLevel="0" collapsed="false">
      <c r="A446" s="5" t="s">
        <v>109</v>
      </c>
      <c r="B446" s="5" t="s">
        <v>240</v>
      </c>
      <c r="C446" s="35" t="n">
        <v>884</v>
      </c>
      <c r="D446" s="35" t="n">
        <v>461</v>
      </c>
      <c r="E446" s="41" t="n">
        <v>-47.622</v>
      </c>
      <c r="F446" s="37" t="n">
        <f aca="false">IF(D446=0,"",E446/D446)</f>
        <v>-0.103301518438178</v>
      </c>
      <c r="G446" s="35" t="n">
        <v>423</v>
      </c>
      <c r="H446" s="41" t="n">
        <v>8.202</v>
      </c>
      <c r="I446" s="37" t="n">
        <f aca="false">IF(G446=0,"",H446/G446)</f>
        <v>0.0193900709219858</v>
      </c>
      <c r="J446" s="35" t="n">
        <v>2</v>
      </c>
      <c r="K446" s="42" t="n">
        <v>0.3258</v>
      </c>
      <c r="L446" s="42" t="n">
        <v>0.5973</v>
      </c>
      <c r="M446" s="42" t="n">
        <v>0.483</v>
      </c>
      <c r="N446" s="42" t="n">
        <v>0.3756</v>
      </c>
      <c r="O446" s="42" t="n">
        <v>0.3258</v>
      </c>
      <c r="P446" s="35" t="n">
        <v>9</v>
      </c>
      <c r="Q446" s="35" t="n">
        <v>15</v>
      </c>
    </row>
    <row r="447" customFormat="false" ht="15" hidden="false" customHeight="false" outlineLevel="0" collapsed="false">
      <c r="A447" s="8" t="s">
        <v>109</v>
      </c>
      <c r="B447" s="8" t="s">
        <v>261</v>
      </c>
      <c r="C447" s="26" t="n">
        <v>473</v>
      </c>
      <c r="D447" s="26" t="n">
        <v>259</v>
      </c>
      <c r="E447" s="39" t="n">
        <v>1.711</v>
      </c>
      <c r="F447" s="29" t="n">
        <f aca="false">IF(D447=0,"",E447/D447)</f>
        <v>0.00660617760617761</v>
      </c>
      <c r="G447" s="26" t="n">
        <v>214</v>
      </c>
      <c r="H447" s="39" t="n">
        <v>-20.973</v>
      </c>
      <c r="I447" s="29" t="n">
        <f aca="false">IF(G447=0,"",H447/G447)</f>
        <v>-0.0980046728971963</v>
      </c>
      <c r="J447" s="26" t="n">
        <v>2</v>
      </c>
      <c r="K447" s="43" t="n">
        <v>0.3277</v>
      </c>
      <c r="L447" s="43" t="n">
        <v>0.5962</v>
      </c>
      <c r="M447" s="43" t="n">
        <v>0.4905</v>
      </c>
      <c r="N447" s="43" t="n">
        <v>0.3932</v>
      </c>
      <c r="O447" s="43" t="n">
        <v>0.3277</v>
      </c>
      <c r="P447" s="26" t="n">
        <v>4</v>
      </c>
      <c r="Q447" s="26" t="n">
        <v>12</v>
      </c>
    </row>
    <row r="448" customFormat="false" ht="15" hidden="false" customHeight="false" outlineLevel="0" collapsed="false">
      <c r="A448" s="8" t="s">
        <v>109</v>
      </c>
      <c r="B448" s="8" t="s">
        <v>267</v>
      </c>
      <c r="C448" s="26" t="n">
        <v>663</v>
      </c>
      <c r="D448" s="26" t="n">
        <v>322</v>
      </c>
      <c r="E448" s="39" t="n">
        <v>-5.644</v>
      </c>
      <c r="F448" s="29" t="n">
        <f aca="false">IF(D448=0,"",E448/D448)</f>
        <v>-0.017527950310559</v>
      </c>
      <c r="G448" s="26" t="n">
        <v>341</v>
      </c>
      <c r="H448" s="39" t="n">
        <v>27.942</v>
      </c>
      <c r="I448" s="29" t="n">
        <f aca="false">IF(G448=0,"",H448/G448)</f>
        <v>0.081941348973607</v>
      </c>
      <c r="J448" s="26" t="n">
        <v>4</v>
      </c>
      <c r="K448" s="43" t="n">
        <v>0.3514</v>
      </c>
      <c r="L448" s="43" t="n">
        <v>0.6033</v>
      </c>
      <c r="M448" s="43" t="n">
        <v>0.4962</v>
      </c>
      <c r="N448" s="43" t="n">
        <v>0.3891</v>
      </c>
      <c r="O448" s="43" t="n">
        <v>0.3514</v>
      </c>
      <c r="P448" s="26" t="n">
        <v>5</v>
      </c>
      <c r="Q448" s="26" t="n">
        <v>13</v>
      </c>
    </row>
    <row r="449" customFormat="false" ht="15" hidden="false" customHeight="false" outlineLevel="0" collapsed="false">
      <c r="A449" s="8" t="s">
        <v>109</v>
      </c>
      <c r="B449" s="8" t="s">
        <v>282</v>
      </c>
      <c r="C449" s="26" t="n">
        <v>279</v>
      </c>
      <c r="D449" s="26" t="n">
        <v>140</v>
      </c>
      <c r="E449" s="39" t="n">
        <v>-3.982</v>
      </c>
      <c r="F449" s="29" t="n">
        <f aca="false">IF(D449=0,"",E449/D449)</f>
        <v>-0.0284428571428571</v>
      </c>
      <c r="G449" s="26" t="n">
        <v>139</v>
      </c>
      <c r="H449" s="39" t="n">
        <v>15.732</v>
      </c>
      <c r="I449" s="29" t="n">
        <f aca="false">IF(G449=0,"",H449/G449)</f>
        <v>0.113179856115108</v>
      </c>
      <c r="J449" s="26" t="n">
        <v>4</v>
      </c>
      <c r="K449" s="43" t="n">
        <v>0.3548</v>
      </c>
      <c r="L449" s="43" t="n">
        <v>0.5771</v>
      </c>
      <c r="M449" s="43" t="n">
        <v>0.4875</v>
      </c>
      <c r="N449" s="43" t="n">
        <v>0.3799</v>
      </c>
      <c r="O449" s="43" t="n">
        <v>0.3548</v>
      </c>
      <c r="P449" s="26" t="n">
        <v>5</v>
      </c>
      <c r="Q449" s="26" t="n">
        <v>8</v>
      </c>
    </row>
    <row r="450" customFormat="false" ht="15" hidden="false" customHeight="false" outlineLevel="0" collapsed="false">
      <c r="A450" s="8" t="s">
        <v>109</v>
      </c>
      <c r="B450" s="8" t="s">
        <v>301</v>
      </c>
      <c r="C450" s="26" t="n">
        <v>767</v>
      </c>
      <c r="D450" s="26" t="n">
        <v>404</v>
      </c>
      <c r="E450" s="39" t="n">
        <v>-21.144</v>
      </c>
      <c r="F450" s="29" t="n">
        <f aca="false">IF(D450=0,"",E450/D450)</f>
        <v>-0.0523366336633663</v>
      </c>
      <c r="G450" s="26" t="n">
        <v>363</v>
      </c>
      <c r="H450" s="39" t="n">
        <v>17.984</v>
      </c>
      <c r="I450" s="29" t="n">
        <f aca="false">IF(G450=0,"",H450/G450)</f>
        <v>0.0495426997245179</v>
      </c>
      <c r="J450" s="26" t="n">
        <v>2</v>
      </c>
      <c r="K450" s="43" t="n">
        <v>0.339</v>
      </c>
      <c r="L450" s="43" t="n">
        <v>0.6076</v>
      </c>
      <c r="M450" s="43" t="n">
        <v>0.4824</v>
      </c>
      <c r="N450" s="43" t="n">
        <v>0.3911</v>
      </c>
      <c r="O450" s="43" t="n">
        <v>0.339</v>
      </c>
      <c r="P450" s="26" t="n">
        <v>6</v>
      </c>
      <c r="Q450" s="26" t="n">
        <v>17</v>
      </c>
    </row>
    <row r="451" customFormat="false" ht="15" hidden="false" customHeight="false" outlineLevel="0" collapsed="false">
      <c r="A451" s="8" t="s">
        <v>109</v>
      </c>
      <c r="B451" s="8" t="s">
        <v>268</v>
      </c>
      <c r="C451" s="26" t="n">
        <v>745</v>
      </c>
      <c r="D451" s="26" t="n">
        <v>393</v>
      </c>
      <c r="E451" s="39" t="n">
        <v>-22.175</v>
      </c>
      <c r="F451" s="29" t="n">
        <f aca="false">IF(D451=0,"",E451/D451)</f>
        <v>-0.0564249363867685</v>
      </c>
      <c r="G451" s="26" t="n">
        <v>352</v>
      </c>
      <c r="H451" s="39" t="n">
        <v>25.776</v>
      </c>
      <c r="I451" s="29" t="n">
        <f aca="false">IF(G451=0,"",H451/G451)</f>
        <v>0.0732272727272727</v>
      </c>
      <c r="J451" s="26" t="n">
        <v>3</v>
      </c>
      <c r="K451" s="43" t="n">
        <v>0.3423</v>
      </c>
      <c r="L451" s="43" t="n">
        <v>0.596</v>
      </c>
      <c r="M451" s="43" t="n">
        <v>0.498</v>
      </c>
      <c r="N451" s="43" t="n">
        <v>0.3919</v>
      </c>
      <c r="O451" s="43" t="n">
        <v>0.3423</v>
      </c>
      <c r="P451" s="26" t="n">
        <v>7</v>
      </c>
      <c r="Q451" s="26" t="n">
        <v>14</v>
      </c>
    </row>
    <row r="452" customFormat="false" ht="15" hidden="false" customHeight="false" outlineLevel="0" collapsed="false">
      <c r="A452" s="8" t="s">
        <v>109</v>
      </c>
      <c r="B452" s="8" t="s">
        <v>362</v>
      </c>
      <c r="C452" s="26" t="n">
        <v>933</v>
      </c>
      <c r="D452" s="26" t="n">
        <v>482</v>
      </c>
      <c r="E452" s="39" t="n">
        <v>-27.456</v>
      </c>
      <c r="F452" s="29" t="n">
        <f aca="false">IF(D452=0,"",E452/D452)</f>
        <v>-0.0569626556016598</v>
      </c>
      <c r="G452" s="26" t="n">
        <v>451</v>
      </c>
      <c r="H452" s="39" t="n">
        <v>27.844</v>
      </c>
      <c r="I452" s="29" t="n">
        <f aca="false">IF(G452=0,"",H452/G452)</f>
        <v>0.0617383592017738</v>
      </c>
      <c r="J452" s="26" t="n">
        <v>3</v>
      </c>
      <c r="K452" s="43" t="n">
        <v>0.3408</v>
      </c>
      <c r="L452" s="43" t="n">
        <v>0.5991</v>
      </c>
      <c r="M452" s="43" t="n">
        <v>0.4855</v>
      </c>
      <c r="N452" s="43" t="n">
        <v>0.3848</v>
      </c>
      <c r="O452" s="43" t="n">
        <v>0.3408</v>
      </c>
      <c r="P452" s="26" t="n">
        <v>8</v>
      </c>
      <c r="Q452" s="26" t="n">
        <v>16</v>
      </c>
    </row>
    <row r="453" customFormat="false" ht="15" hidden="false" customHeight="false" outlineLevel="0" collapsed="false">
      <c r="A453" s="8" t="s">
        <v>109</v>
      </c>
      <c r="B453" s="8" t="s">
        <v>259</v>
      </c>
      <c r="C453" s="26" t="n">
        <v>740</v>
      </c>
      <c r="D453" s="26" t="n">
        <v>390</v>
      </c>
      <c r="E453" s="39" t="n">
        <v>-22.843</v>
      </c>
      <c r="F453" s="29" t="n">
        <f aca="false">IF(D453=0,"",E453/D453)</f>
        <v>-0.0585717948717949</v>
      </c>
      <c r="G453" s="26" t="n">
        <v>350</v>
      </c>
      <c r="H453" s="39" t="n">
        <v>34.403</v>
      </c>
      <c r="I453" s="29" t="n">
        <f aca="false">IF(G453=0,"",H453/G453)</f>
        <v>0.0982942857142857</v>
      </c>
      <c r="J453" s="26" t="n">
        <v>5</v>
      </c>
      <c r="K453" s="43" t="n">
        <v>0.3446</v>
      </c>
      <c r="L453" s="43" t="n">
        <v>0.6149</v>
      </c>
      <c r="M453" s="43" t="n">
        <v>0.4919</v>
      </c>
      <c r="N453" s="43" t="n">
        <v>0.4</v>
      </c>
      <c r="O453" s="43" t="n">
        <v>0.3446</v>
      </c>
      <c r="P453" s="26" t="n">
        <v>5</v>
      </c>
      <c r="Q453" s="26" t="n">
        <v>12</v>
      </c>
    </row>
    <row r="454" customFormat="false" ht="15" hidden="false" customHeight="false" outlineLevel="0" collapsed="false">
      <c r="A454" s="8" t="s">
        <v>109</v>
      </c>
      <c r="B454" s="8" t="s">
        <v>295</v>
      </c>
      <c r="C454" s="26" t="n">
        <v>474</v>
      </c>
      <c r="D454" s="26" t="n">
        <v>236</v>
      </c>
      <c r="E454" s="39" t="n">
        <v>-15.079</v>
      </c>
      <c r="F454" s="29" t="n">
        <f aca="false">IF(D454=0,"",E454/D454)</f>
        <v>-0.0638940677966102</v>
      </c>
      <c r="G454" s="26" t="n">
        <v>238</v>
      </c>
      <c r="H454" s="39" t="n">
        <v>6.008</v>
      </c>
      <c r="I454" s="29" t="n">
        <f aca="false">IF(G454=0,"",H454/G454)</f>
        <v>0.0252436974789916</v>
      </c>
      <c r="J454" s="26" t="n">
        <v>3</v>
      </c>
      <c r="K454" s="43" t="n">
        <v>0.3333</v>
      </c>
      <c r="L454" s="43" t="n">
        <v>0.6013</v>
      </c>
      <c r="M454" s="43" t="n">
        <v>0.4852</v>
      </c>
      <c r="N454" s="43" t="n">
        <v>0.384</v>
      </c>
      <c r="O454" s="43" t="n">
        <v>0.3333</v>
      </c>
      <c r="P454" s="26" t="n">
        <v>6</v>
      </c>
      <c r="Q454" s="26" t="n">
        <v>13</v>
      </c>
    </row>
    <row r="455" customFormat="false" ht="15" hidden="false" customHeight="false" outlineLevel="0" collapsed="false">
      <c r="A455" s="8" t="s">
        <v>109</v>
      </c>
      <c r="B455" s="8" t="s">
        <v>270</v>
      </c>
      <c r="C455" s="26" t="n">
        <v>718</v>
      </c>
      <c r="D455" s="26" t="n">
        <v>378</v>
      </c>
      <c r="E455" s="39" t="n">
        <v>-25.06</v>
      </c>
      <c r="F455" s="29" t="n">
        <f aca="false">IF(D455=0,"",E455/D455)</f>
        <v>-0.0662962962962963</v>
      </c>
      <c r="G455" s="26" t="n">
        <v>340</v>
      </c>
      <c r="H455" s="39" t="n">
        <v>1.835</v>
      </c>
      <c r="I455" s="29" t="n">
        <f aca="false">IF(G455=0,"",H455/G455)</f>
        <v>0.00539705882352941</v>
      </c>
      <c r="J455" s="26" t="n">
        <v>3</v>
      </c>
      <c r="K455" s="43" t="n">
        <v>0.3301</v>
      </c>
      <c r="L455" s="43" t="n">
        <v>0.5919</v>
      </c>
      <c r="M455" s="43" t="n">
        <v>0.4819</v>
      </c>
      <c r="N455" s="43" t="n">
        <v>0.383</v>
      </c>
      <c r="O455" s="43" t="n">
        <v>0.3301</v>
      </c>
      <c r="P455" s="26" t="n">
        <v>7</v>
      </c>
      <c r="Q455" s="26" t="n">
        <v>17</v>
      </c>
    </row>
    <row r="456" customFormat="false" ht="15" hidden="false" customHeight="false" outlineLevel="0" collapsed="false">
      <c r="A456" s="8" t="s">
        <v>109</v>
      </c>
      <c r="B456" s="8" t="s">
        <v>250</v>
      </c>
      <c r="C456" s="26" t="n">
        <v>545</v>
      </c>
      <c r="D456" s="26" t="n">
        <v>286</v>
      </c>
      <c r="E456" s="39" t="n">
        <v>-19.294</v>
      </c>
      <c r="F456" s="29" t="n">
        <f aca="false">IF(D456=0,"",E456/D456)</f>
        <v>-0.0674615384615385</v>
      </c>
      <c r="G456" s="26" t="n">
        <v>259</v>
      </c>
      <c r="H456" s="39" t="n">
        <v>21.564</v>
      </c>
      <c r="I456" s="29" t="n">
        <f aca="false">IF(G456=0,"",H456/G456)</f>
        <v>0.0832586872586873</v>
      </c>
      <c r="J456" s="26" t="n">
        <v>3</v>
      </c>
      <c r="K456" s="43" t="n">
        <v>0.3394</v>
      </c>
      <c r="L456" s="43" t="n">
        <v>0.611</v>
      </c>
      <c r="M456" s="43" t="n">
        <v>0.4881</v>
      </c>
      <c r="N456" s="43" t="n">
        <v>0.4018</v>
      </c>
      <c r="O456" s="43" t="n">
        <v>0.3394</v>
      </c>
      <c r="P456" s="26" t="n">
        <v>4</v>
      </c>
      <c r="Q456" s="26" t="n">
        <v>11</v>
      </c>
    </row>
    <row r="457" customFormat="false" ht="15" hidden="false" customHeight="false" outlineLevel="0" collapsed="false">
      <c r="A457" s="8" t="s">
        <v>109</v>
      </c>
      <c r="B457" s="8" t="s">
        <v>307</v>
      </c>
      <c r="C457" s="26" t="n">
        <v>845</v>
      </c>
      <c r="D457" s="26" t="n">
        <v>442</v>
      </c>
      <c r="E457" s="39" t="n">
        <v>-30.98</v>
      </c>
      <c r="F457" s="29" t="n">
        <f aca="false">IF(D457=0,"",E457/D457)</f>
        <v>-0.0700904977375566</v>
      </c>
      <c r="G457" s="26" t="n">
        <v>403</v>
      </c>
      <c r="H457" s="39" t="n">
        <v>7.361</v>
      </c>
      <c r="I457" s="29" t="n">
        <f aca="false">IF(G457=0,"",H457/G457)</f>
        <v>0.0182655086848635</v>
      </c>
      <c r="J457" s="26" t="n">
        <v>2</v>
      </c>
      <c r="K457" s="43" t="n">
        <v>0.3314</v>
      </c>
      <c r="L457" s="43" t="n">
        <v>0.6047</v>
      </c>
      <c r="M457" s="43" t="n">
        <v>0.4935</v>
      </c>
      <c r="N457" s="43" t="n">
        <v>0.3834</v>
      </c>
      <c r="O457" s="43" t="n">
        <v>0.3314</v>
      </c>
      <c r="P457" s="26" t="n">
        <v>9</v>
      </c>
      <c r="Q457" s="26" t="n">
        <v>14</v>
      </c>
    </row>
    <row r="458" customFormat="false" ht="15" hidden="false" customHeight="false" outlineLevel="0" collapsed="false">
      <c r="A458" s="8" t="s">
        <v>109</v>
      </c>
      <c r="B458" s="8" t="s">
        <v>257</v>
      </c>
      <c r="C458" s="26" t="n">
        <v>664</v>
      </c>
      <c r="D458" s="26" t="n">
        <v>353</v>
      </c>
      <c r="E458" s="39" t="n">
        <v>-25.599</v>
      </c>
      <c r="F458" s="29" t="n">
        <f aca="false">IF(D458=0,"",E458/D458)</f>
        <v>-0.0725184135977337</v>
      </c>
      <c r="G458" s="26" t="n">
        <v>311</v>
      </c>
      <c r="H458" s="39" t="n">
        <v>32.007</v>
      </c>
      <c r="I458" s="29" t="n">
        <f aca="false">IF(G458=0,"",H458/G458)</f>
        <v>0.102916398713826</v>
      </c>
      <c r="J458" s="26" t="n">
        <v>5</v>
      </c>
      <c r="K458" s="43" t="n">
        <v>0.3419</v>
      </c>
      <c r="L458" s="43" t="n">
        <v>0.5904</v>
      </c>
      <c r="M458" s="43" t="n">
        <v>0.4804</v>
      </c>
      <c r="N458" s="43" t="n">
        <v>0.4021</v>
      </c>
      <c r="O458" s="43" t="n">
        <v>0.3419</v>
      </c>
      <c r="P458" s="26" t="n">
        <v>6</v>
      </c>
      <c r="Q458" s="26" t="n">
        <v>12</v>
      </c>
    </row>
    <row r="459" customFormat="false" ht="15" hidden="false" customHeight="false" outlineLevel="0" collapsed="false">
      <c r="A459" s="8" t="s">
        <v>109</v>
      </c>
      <c r="B459" s="8" t="s">
        <v>372</v>
      </c>
      <c r="C459" s="26" t="n">
        <v>929</v>
      </c>
      <c r="D459" s="26" t="n">
        <v>493</v>
      </c>
      <c r="E459" s="39" t="n">
        <v>-35.765</v>
      </c>
      <c r="F459" s="29" t="n">
        <f aca="false">IF(D459=0,"",E459/D459)</f>
        <v>-0.0725456389452333</v>
      </c>
      <c r="G459" s="26" t="n">
        <v>436</v>
      </c>
      <c r="H459" s="39" t="n">
        <v>34.094</v>
      </c>
      <c r="I459" s="29" t="n">
        <f aca="false">IF(G459=0,"",H459/G459)</f>
        <v>0.078197247706422</v>
      </c>
      <c r="J459" s="26" t="n">
        <v>3</v>
      </c>
      <c r="K459" s="43" t="n">
        <v>0.3402</v>
      </c>
      <c r="L459" s="43" t="n">
        <v>0.6103</v>
      </c>
      <c r="M459" s="43" t="n">
        <v>0.4962</v>
      </c>
      <c r="N459" s="43" t="n">
        <v>0.3832</v>
      </c>
      <c r="O459" s="43" t="n">
        <v>0.3402</v>
      </c>
      <c r="P459" s="26" t="n">
        <v>7</v>
      </c>
      <c r="Q459" s="26" t="n">
        <v>16</v>
      </c>
    </row>
    <row r="460" customFormat="false" ht="15" hidden="false" customHeight="false" outlineLevel="0" collapsed="false">
      <c r="A460" s="8" t="s">
        <v>109</v>
      </c>
      <c r="B460" s="8" t="s">
        <v>288</v>
      </c>
      <c r="C460" s="26" t="n">
        <v>829</v>
      </c>
      <c r="D460" s="26" t="n">
        <v>438</v>
      </c>
      <c r="E460" s="39" t="n">
        <v>-32.61</v>
      </c>
      <c r="F460" s="29" t="n">
        <f aca="false">IF(D460=0,"",E460/D460)</f>
        <v>-0.0744520547945206</v>
      </c>
      <c r="G460" s="26" t="n">
        <v>391</v>
      </c>
      <c r="H460" s="39" t="n">
        <v>4.549</v>
      </c>
      <c r="I460" s="29" t="n">
        <f aca="false">IF(G460=0,"",H460/G460)</f>
        <v>0.0116342710997442</v>
      </c>
      <c r="J460" s="26" t="n">
        <v>2</v>
      </c>
      <c r="K460" s="43" t="n">
        <v>0.2823</v>
      </c>
      <c r="L460" s="43" t="n">
        <v>0.5971</v>
      </c>
      <c r="M460" s="43" t="n">
        <v>0.4789</v>
      </c>
      <c r="N460" s="43" t="n">
        <v>0.3727</v>
      </c>
      <c r="O460" s="43" t="n">
        <v>0.2823</v>
      </c>
      <c r="P460" s="26" t="n">
        <v>4</v>
      </c>
      <c r="Q460" s="26" t="n">
        <v>16</v>
      </c>
    </row>
    <row r="461" customFormat="false" ht="15" hidden="false" customHeight="false" outlineLevel="0" collapsed="false">
      <c r="A461" s="8" t="s">
        <v>109</v>
      </c>
      <c r="B461" s="8" t="s">
        <v>281</v>
      </c>
      <c r="C461" s="26" t="n">
        <v>693</v>
      </c>
      <c r="D461" s="26" t="n">
        <v>354</v>
      </c>
      <c r="E461" s="39" t="n">
        <v>-26.582</v>
      </c>
      <c r="F461" s="29" t="n">
        <f aca="false">IF(D461=0,"",E461/D461)</f>
        <v>-0.075090395480226</v>
      </c>
      <c r="G461" s="26" t="n">
        <v>339</v>
      </c>
      <c r="H461" s="39" t="n">
        <v>18.132</v>
      </c>
      <c r="I461" s="29" t="n">
        <f aca="false">IF(G461=0,"",H461/G461)</f>
        <v>0.0534867256637168</v>
      </c>
      <c r="J461" s="26" t="n">
        <v>3</v>
      </c>
      <c r="K461" s="43" t="n">
        <v>0.3362</v>
      </c>
      <c r="L461" s="43" t="n">
        <v>0.5974</v>
      </c>
      <c r="M461" s="43" t="n">
        <v>0.4935</v>
      </c>
      <c r="N461" s="43" t="n">
        <v>0.3853</v>
      </c>
      <c r="O461" s="43" t="n">
        <v>0.3362</v>
      </c>
      <c r="P461" s="26" t="n">
        <v>4</v>
      </c>
      <c r="Q461" s="26" t="n">
        <v>12</v>
      </c>
    </row>
    <row r="462" customFormat="false" ht="15" hidden="false" customHeight="false" outlineLevel="0" collapsed="false">
      <c r="A462" s="8" t="s">
        <v>109</v>
      </c>
      <c r="B462" s="8" t="s">
        <v>368</v>
      </c>
      <c r="C462" s="26" t="n">
        <v>1128</v>
      </c>
      <c r="D462" s="26" t="n">
        <v>568</v>
      </c>
      <c r="E462" s="39" t="n">
        <v>-43.384</v>
      </c>
      <c r="F462" s="29" t="n">
        <f aca="false">IF(D462=0,"",E462/D462)</f>
        <v>-0.0763802816901408</v>
      </c>
      <c r="G462" s="26" t="n">
        <v>560</v>
      </c>
      <c r="H462" s="39" t="n">
        <v>20.255</v>
      </c>
      <c r="I462" s="29" t="n">
        <f aca="false">IF(G462=0,"",H462/G462)</f>
        <v>0.0361696428571429</v>
      </c>
      <c r="J462" s="26" t="n">
        <v>2</v>
      </c>
      <c r="K462" s="43" t="n">
        <v>0.3333</v>
      </c>
      <c r="L462" s="43" t="n">
        <v>0.5798</v>
      </c>
      <c r="M462" s="43" t="n">
        <v>0.4752</v>
      </c>
      <c r="N462" s="43" t="n">
        <v>0.3839</v>
      </c>
      <c r="O462" s="43" t="n">
        <v>0.3333</v>
      </c>
      <c r="P462" s="26" t="n">
        <v>7</v>
      </c>
      <c r="Q462" s="26" t="n">
        <v>15</v>
      </c>
    </row>
    <row r="463" customFormat="false" ht="15" hidden="false" customHeight="false" outlineLevel="0" collapsed="false">
      <c r="A463" s="8" t="s">
        <v>109</v>
      </c>
      <c r="B463" s="8" t="s">
        <v>304</v>
      </c>
      <c r="C463" s="26" t="n">
        <v>912</v>
      </c>
      <c r="D463" s="26" t="n">
        <v>472</v>
      </c>
      <c r="E463" s="39" t="n">
        <v>-38.084</v>
      </c>
      <c r="F463" s="29" t="n">
        <f aca="false">IF(D463=0,"",E463/D463)</f>
        <v>-0.0806864406779661</v>
      </c>
      <c r="G463" s="26" t="n">
        <v>440</v>
      </c>
      <c r="H463" s="39" t="n">
        <v>9.058</v>
      </c>
      <c r="I463" s="29" t="n">
        <f aca="false">IF(G463=0,"",H463/G463)</f>
        <v>0.0205863636363636</v>
      </c>
      <c r="J463" s="26" t="n">
        <v>2</v>
      </c>
      <c r="K463" s="43" t="n">
        <v>0.33</v>
      </c>
      <c r="L463" s="43" t="n">
        <v>0.5976</v>
      </c>
      <c r="M463" s="43" t="n">
        <v>0.4857</v>
      </c>
      <c r="N463" s="43" t="n">
        <v>0.3794</v>
      </c>
      <c r="O463" s="43" t="n">
        <v>0.33</v>
      </c>
      <c r="P463" s="26" t="n">
        <v>5</v>
      </c>
      <c r="Q463" s="26" t="n">
        <v>15</v>
      </c>
    </row>
    <row r="464" customFormat="false" ht="15" hidden="false" customHeight="false" outlineLevel="0" collapsed="false">
      <c r="A464" s="8" t="s">
        <v>109</v>
      </c>
      <c r="B464" s="8" t="s">
        <v>337</v>
      </c>
      <c r="C464" s="26" t="n">
        <v>913</v>
      </c>
      <c r="D464" s="26" t="n">
        <v>472</v>
      </c>
      <c r="E464" s="39" t="n">
        <v>-38.084</v>
      </c>
      <c r="F464" s="29" t="n">
        <f aca="false">IF(D464=0,"",E464/D464)</f>
        <v>-0.0806864406779661</v>
      </c>
      <c r="G464" s="26" t="n">
        <v>441</v>
      </c>
      <c r="H464" s="39" t="n">
        <v>11.056</v>
      </c>
      <c r="I464" s="29" t="n">
        <f aca="false">IF(G464=0,"",H464/G464)</f>
        <v>0.0250702947845805</v>
      </c>
      <c r="J464" s="26" t="n">
        <v>2</v>
      </c>
      <c r="K464" s="43" t="n">
        <v>0.3308</v>
      </c>
      <c r="L464" s="43" t="n">
        <v>0.5969</v>
      </c>
      <c r="M464" s="43" t="n">
        <v>0.4852</v>
      </c>
      <c r="N464" s="43" t="n">
        <v>0.379</v>
      </c>
      <c r="O464" s="43" t="n">
        <v>0.3308</v>
      </c>
      <c r="P464" s="26" t="n">
        <v>6</v>
      </c>
      <c r="Q464" s="26" t="n">
        <v>15</v>
      </c>
    </row>
    <row r="465" customFormat="false" ht="15" hidden="false" customHeight="false" outlineLevel="0" collapsed="false">
      <c r="A465" s="8" t="s">
        <v>109</v>
      </c>
      <c r="B465" s="8" t="s">
        <v>276</v>
      </c>
      <c r="C465" s="26" t="n">
        <v>869</v>
      </c>
      <c r="D465" s="26" t="n">
        <v>449</v>
      </c>
      <c r="E465" s="39" t="n">
        <v>-37.288</v>
      </c>
      <c r="F465" s="29" t="n">
        <f aca="false">IF(D465=0,"",E465/D465)</f>
        <v>-0.0830467706013363</v>
      </c>
      <c r="G465" s="26" t="n">
        <v>420</v>
      </c>
      <c r="H465" s="39" t="n">
        <v>5.457</v>
      </c>
      <c r="I465" s="29" t="n">
        <f aca="false">IF(G465=0,"",H465/G465)</f>
        <v>0.0129928571428571</v>
      </c>
      <c r="J465" s="26" t="n">
        <v>2</v>
      </c>
      <c r="K465" s="43" t="n">
        <v>0.328</v>
      </c>
      <c r="L465" s="43" t="n">
        <v>0.5984</v>
      </c>
      <c r="M465" s="43" t="n">
        <v>0.481</v>
      </c>
      <c r="N465" s="43" t="n">
        <v>0.3797</v>
      </c>
      <c r="O465" s="43" t="n">
        <v>0.328</v>
      </c>
      <c r="P465" s="26" t="n">
        <v>5</v>
      </c>
      <c r="Q465" s="26" t="n">
        <v>15</v>
      </c>
    </row>
    <row r="466" customFormat="false" ht="15" hidden="false" customHeight="false" outlineLevel="0" collapsed="false">
      <c r="A466" s="8" t="s">
        <v>109</v>
      </c>
      <c r="B466" s="8" t="s">
        <v>311</v>
      </c>
      <c r="C466" s="26" t="n">
        <v>850</v>
      </c>
      <c r="D466" s="26" t="n">
        <v>445</v>
      </c>
      <c r="E466" s="39" t="n">
        <v>-36.974</v>
      </c>
      <c r="F466" s="29" t="n">
        <f aca="false">IF(D466=0,"",E466/D466)</f>
        <v>-0.0830876404494382</v>
      </c>
      <c r="G466" s="26" t="n">
        <v>405</v>
      </c>
      <c r="H466" s="39" t="n">
        <v>2.377</v>
      </c>
      <c r="I466" s="29" t="n">
        <f aca="false">IF(G466=0,"",H466/G466)</f>
        <v>0.00586913580246914</v>
      </c>
      <c r="J466" s="26" t="n">
        <v>2</v>
      </c>
      <c r="K466" s="43" t="n">
        <v>0.3271</v>
      </c>
      <c r="L466" s="43" t="n">
        <v>0.6047</v>
      </c>
      <c r="M466" s="43" t="n">
        <v>0.4824</v>
      </c>
      <c r="N466" s="43" t="n">
        <v>0.3788</v>
      </c>
      <c r="O466" s="43" t="n">
        <v>0.3271</v>
      </c>
      <c r="P466" s="26" t="n">
        <v>8</v>
      </c>
      <c r="Q466" s="26" t="n">
        <v>20</v>
      </c>
    </row>
    <row r="467" customFormat="false" ht="15" hidden="false" customHeight="false" outlineLevel="0" collapsed="false">
      <c r="A467" s="8" t="s">
        <v>109</v>
      </c>
      <c r="B467" s="8" t="s">
        <v>315</v>
      </c>
      <c r="C467" s="26" t="n">
        <v>1119</v>
      </c>
      <c r="D467" s="26" t="n">
        <v>573</v>
      </c>
      <c r="E467" s="39" t="n">
        <v>-47.977</v>
      </c>
      <c r="F467" s="29" t="n">
        <f aca="false">IF(D467=0,"",E467/D467)</f>
        <v>-0.0837294938917976</v>
      </c>
      <c r="G467" s="26" t="n">
        <v>546</v>
      </c>
      <c r="H467" s="39" t="n">
        <v>-2.796</v>
      </c>
      <c r="I467" s="29" t="n">
        <f aca="false">IF(G467=0,"",H467/G467)</f>
        <v>-0.00512087912087912</v>
      </c>
      <c r="J467" s="26" t="n">
        <v>2</v>
      </c>
      <c r="K467" s="43" t="n">
        <v>0.3673</v>
      </c>
      <c r="L467" s="43" t="n">
        <v>0.5836</v>
      </c>
      <c r="M467" s="43" t="n">
        <v>0.3673</v>
      </c>
      <c r="N467" s="43" t="n">
        <v>0.1716</v>
      </c>
      <c r="O467" s="43" t="n">
        <v>0.1037</v>
      </c>
      <c r="P467" s="26" t="n">
        <v>7</v>
      </c>
      <c r="Q467" s="26" t="n">
        <v>6</v>
      </c>
    </row>
    <row r="468" customFormat="false" ht="15" hidden="false" customHeight="false" outlineLevel="0" collapsed="false">
      <c r="A468" s="8" t="s">
        <v>109</v>
      </c>
      <c r="B468" s="8" t="s">
        <v>379</v>
      </c>
      <c r="C468" s="26" t="n">
        <v>781</v>
      </c>
      <c r="D468" s="26" t="n">
        <v>401</v>
      </c>
      <c r="E468" s="39" t="n">
        <v>-33.615</v>
      </c>
      <c r="F468" s="29" t="n">
        <f aca="false">IF(D468=0,"",E468/D468)</f>
        <v>-0.0838279301745636</v>
      </c>
      <c r="G468" s="26" t="n">
        <v>380</v>
      </c>
      <c r="H468" s="39" t="n">
        <v>-5.432</v>
      </c>
      <c r="I468" s="29" t="n">
        <f aca="false">IF(G468=0,"",H468/G468)</f>
        <v>-0.0142947368421053</v>
      </c>
      <c r="J468" s="26" t="n">
        <v>2</v>
      </c>
      <c r="K468" s="43" t="n">
        <v>0.3239</v>
      </c>
      <c r="L468" s="43" t="n">
        <v>0.6018</v>
      </c>
      <c r="M468" s="43" t="n">
        <v>0.4802</v>
      </c>
      <c r="N468" s="43" t="n">
        <v>0.3764</v>
      </c>
      <c r="O468" s="43" t="n">
        <v>0.3239</v>
      </c>
      <c r="P468" s="26" t="n">
        <v>5</v>
      </c>
      <c r="Q468" s="26" t="n">
        <v>14</v>
      </c>
    </row>
    <row r="469" customFormat="false" ht="15" hidden="false" customHeight="false" outlineLevel="0" collapsed="false">
      <c r="A469" s="8" t="s">
        <v>109</v>
      </c>
      <c r="B469" s="8" t="s">
        <v>354</v>
      </c>
      <c r="C469" s="26" t="n">
        <v>881</v>
      </c>
      <c r="D469" s="26" t="n">
        <v>458</v>
      </c>
      <c r="E469" s="39" t="n">
        <v>-38.451</v>
      </c>
      <c r="F469" s="29" t="n">
        <f aca="false">IF(D469=0,"",E469/D469)</f>
        <v>-0.0839541484716157</v>
      </c>
      <c r="G469" s="26" t="n">
        <v>423</v>
      </c>
      <c r="H469" s="39" t="n">
        <v>8.215</v>
      </c>
      <c r="I469" s="29" t="n">
        <f aca="false">IF(G469=0,"",H469/G469)</f>
        <v>0.0194208037825059</v>
      </c>
      <c r="J469" s="26" t="n">
        <v>2</v>
      </c>
      <c r="K469" s="43" t="n">
        <v>0.3292</v>
      </c>
      <c r="L469" s="43" t="n">
        <v>0.6039</v>
      </c>
      <c r="M469" s="43" t="n">
        <v>0.4858</v>
      </c>
      <c r="N469" s="43" t="n">
        <v>0.378</v>
      </c>
      <c r="O469" s="43" t="n">
        <v>0.3292</v>
      </c>
      <c r="P469" s="26" t="n">
        <v>9</v>
      </c>
      <c r="Q469" s="26" t="n">
        <v>14</v>
      </c>
    </row>
    <row r="470" customFormat="false" ht="15" hidden="false" customHeight="false" outlineLevel="0" collapsed="false">
      <c r="A470" s="8" t="s">
        <v>109</v>
      </c>
      <c r="B470" s="8" t="s">
        <v>363</v>
      </c>
      <c r="C470" s="26" t="n">
        <v>956</v>
      </c>
      <c r="D470" s="26" t="n">
        <v>496</v>
      </c>
      <c r="E470" s="39" t="n">
        <v>-42.038</v>
      </c>
      <c r="F470" s="29" t="n">
        <f aca="false">IF(D470=0,"",E470/D470)</f>
        <v>-0.0847540322580645</v>
      </c>
      <c r="G470" s="26" t="n">
        <v>460</v>
      </c>
      <c r="H470" s="39" t="n">
        <v>39.782</v>
      </c>
      <c r="I470" s="29" t="n">
        <f aca="false">IF(G470=0,"",H470/G470)</f>
        <v>0.0864826086956522</v>
      </c>
      <c r="J470" s="26" t="n">
        <v>4</v>
      </c>
      <c r="K470" s="43" t="n">
        <v>0.34</v>
      </c>
      <c r="L470" s="43" t="n">
        <v>0.6025</v>
      </c>
      <c r="M470" s="43" t="n">
        <v>0.4864</v>
      </c>
      <c r="N470" s="43" t="n">
        <v>0.3849</v>
      </c>
      <c r="O470" s="43" t="n">
        <v>0.34</v>
      </c>
      <c r="P470" s="26" t="n">
        <v>8</v>
      </c>
      <c r="Q470" s="26" t="n">
        <v>14</v>
      </c>
    </row>
    <row r="471" customFormat="false" ht="15" hidden="false" customHeight="false" outlineLevel="0" collapsed="false">
      <c r="A471" s="8" t="s">
        <v>109</v>
      </c>
      <c r="B471" s="8" t="s">
        <v>324</v>
      </c>
      <c r="C471" s="26" t="n">
        <v>941</v>
      </c>
      <c r="D471" s="26" t="n">
        <v>493</v>
      </c>
      <c r="E471" s="39" t="n">
        <v>-41.823</v>
      </c>
      <c r="F471" s="29" t="n">
        <f aca="false">IF(D471=0,"",E471/D471)</f>
        <v>-0.0848336713995943</v>
      </c>
      <c r="G471" s="26" t="n">
        <v>448</v>
      </c>
      <c r="H471" s="39" t="n">
        <v>13.001</v>
      </c>
      <c r="I471" s="29" t="n">
        <f aca="false">IF(G471=0,"",H471/G471)</f>
        <v>0.0290200892857143</v>
      </c>
      <c r="J471" s="26" t="n">
        <v>2</v>
      </c>
      <c r="K471" s="43" t="n">
        <v>0.3305</v>
      </c>
      <c r="L471" s="43" t="n">
        <v>0.593</v>
      </c>
      <c r="M471" s="43" t="n">
        <v>0.475</v>
      </c>
      <c r="N471" s="43" t="n">
        <v>0.3719</v>
      </c>
      <c r="O471" s="43" t="n">
        <v>0.3305</v>
      </c>
      <c r="P471" s="26" t="n">
        <v>9</v>
      </c>
      <c r="Q471" s="26" t="n">
        <v>13</v>
      </c>
    </row>
    <row r="472" customFormat="false" ht="15" hidden="false" customHeight="false" outlineLevel="0" collapsed="false">
      <c r="A472" s="8" t="s">
        <v>109</v>
      </c>
      <c r="B472" s="8" t="s">
        <v>327</v>
      </c>
      <c r="C472" s="26" t="n">
        <v>875</v>
      </c>
      <c r="D472" s="26" t="n">
        <v>453</v>
      </c>
      <c r="E472" s="39" t="n">
        <v>-38.744</v>
      </c>
      <c r="F472" s="29" t="n">
        <f aca="false">IF(D472=0,"",E472/D472)</f>
        <v>-0.0855275938189846</v>
      </c>
      <c r="G472" s="26" t="n">
        <v>422</v>
      </c>
      <c r="H472" s="39" t="n">
        <v>3.322</v>
      </c>
      <c r="I472" s="29" t="n">
        <f aca="false">IF(G472=0,"",H472/G472)</f>
        <v>0.00787203791469194</v>
      </c>
      <c r="J472" s="26" t="n">
        <v>2</v>
      </c>
      <c r="K472" s="43" t="n">
        <v>0.3269</v>
      </c>
      <c r="L472" s="43" t="n">
        <v>0.5989</v>
      </c>
      <c r="M472" s="43" t="n">
        <v>0.4834</v>
      </c>
      <c r="N472" s="43" t="n">
        <v>0.3771</v>
      </c>
      <c r="O472" s="43" t="n">
        <v>0.3269</v>
      </c>
      <c r="P472" s="26" t="n">
        <v>5</v>
      </c>
      <c r="Q472" s="26" t="n">
        <v>15</v>
      </c>
    </row>
    <row r="473" customFormat="false" ht="15" hidden="false" customHeight="false" outlineLevel="0" collapsed="false">
      <c r="A473" s="8" t="s">
        <v>109</v>
      </c>
      <c r="B473" s="8" t="s">
        <v>322</v>
      </c>
      <c r="C473" s="26" t="n">
        <v>899</v>
      </c>
      <c r="D473" s="26" t="n">
        <v>465</v>
      </c>
      <c r="E473" s="39" t="n">
        <v>-39.828</v>
      </c>
      <c r="F473" s="29" t="n">
        <f aca="false">IF(D473=0,"",E473/D473)</f>
        <v>-0.0856516129032258</v>
      </c>
      <c r="G473" s="26" t="n">
        <v>434</v>
      </c>
      <c r="H473" s="39" t="n">
        <v>15.118</v>
      </c>
      <c r="I473" s="29" t="n">
        <f aca="false">IF(G473=0,"",H473/G473)</f>
        <v>0.0348341013824885</v>
      </c>
      <c r="J473" s="26" t="n">
        <v>3</v>
      </c>
      <c r="K473" s="43" t="n">
        <v>0.3315</v>
      </c>
      <c r="L473" s="43" t="n">
        <v>0.5973</v>
      </c>
      <c r="M473" s="43" t="n">
        <v>0.485</v>
      </c>
      <c r="N473" s="43" t="n">
        <v>0.3793</v>
      </c>
      <c r="O473" s="43" t="n">
        <v>0.3315</v>
      </c>
      <c r="P473" s="26" t="n">
        <v>6</v>
      </c>
      <c r="Q473" s="26" t="n">
        <v>15</v>
      </c>
    </row>
    <row r="474" customFormat="false" ht="15" hidden="false" customHeight="false" outlineLevel="0" collapsed="false">
      <c r="A474" s="8" t="s">
        <v>109</v>
      </c>
      <c r="B474" s="8" t="s">
        <v>312</v>
      </c>
      <c r="C474" s="26" t="n">
        <v>889</v>
      </c>
      <c r="D474" s="26" t="n">
        <v>450</v>
      </c>
      <c r="E474" s="39" t="n">
        <v>-38.999</v>
      </c>
      <c r="F474" s="29" t="n">
        <f aca="false">IF(D474=0,"",E474/D474)</f>
        <v>-0.0866644444444445</v>
      </c>
      <c r="G474" s="26" t="n">
        <v>439</v>
      </c>
      <c r="H474" s="39" t="n">
        <v>16.077</v>
      </c>
      <c r="I474" s="29" t="n">
        <f aca="false">IF(G474=0,"",H474/G474)</f>
        <v>0.036621867881549</v>
      </c>
      <c r="J474" s="26" t="n">
        <v>3</v>
      </c>
      <c r="K474" s="43" t="n">
        <v>0.3318</v>
      </c>
      <c r="L474" s="43" t="n">
        <v>0.6063</v>
      </c>
      <c r="M474" s="43" t="n">
        <v>0.4972</v>
      </c>
      <c r="N474" s="43" t="n">
        <v>0.3858</v>
      </c>
      <c r="O474" s="43" t="n">
        <v>0.3318</v>
      </c>
      <c r="P474" s="26" t="n">
        <v>5</v>
      </c>
      <c r="Q474" s="26" t="n">
        <v>14</v>
      </c>
    </row>
    <row r="475" customFormat="false" ht="15" hidden="false" customHeight="false" outlineLevel="0" collapsed="false">
      <c r="A475" s="8" t="s">
        <v>109</v>
      </c>
      <c r="B475" s="8" t="s">
        <v>365</v>
      </c>
      <c r="C475" s="26" t="n">
        <v>939</v>
      </c>
      <c r="D475" s="26" t="n">
        <v>485</v>
      </c>
      <c r="E475" s="39" t="n">
        <v>-42.125</v>
      </c>
      <c r="F475" s="29" t="n">
        <f aca="false">IF(D475=0,"",E475/D475)</f>
        <v>-0.0868556701030928</v>
      </c>
      <c r="G475" s="26" t="n">
        <v>454</v>
      </c>
      <c r="H475" s="39" t="n">
        <v>43.052</v>
      </c>
      <c r="I475" s="29" t="n">
        <f aca="false">IF(G475=0,"",H475/G475)</f>
        <v>0.0948281938325991</v>
      </c>
      <c r="J475" s="26" t="n">
        <v>4</v>
      </c>
      <c r="K475" s="43" t="n">
        <v>0.3408</v>
      </c>
      <c r="L475" s="43" t="n">
        <v>0.6145</v>
      </c>
      <c r="M475" s="43" t="n">
        <v>0.5005</v>
      </c>
      <c r="N475" s="43" t="n">
        <v>0.393</v>
      </c>
      <c r="O475" s="43" t="n">
        <v>0.3408</v>
      </c>
      <c r="P475" s="26" t="n">
        <v>5</v>
      </c>
      <c r="Q475" s="26" t="n">
        <v>15</v>
      </c>
    </row>
    <row r="476" customFormat="false" ht="15" hidden="false" customHeight="false" outlineLevel="0" collapsed="false">
      <c r="A476" s="8" t="s">
        <v>109</v>
      </c>
      <c r="B476" s="8" t="s">
        <v>359</v>
      </c>
      <c r="C476" s="26" t="n">
        <v>863</v>
      </c>
      <c r="D476" s="26" t="n">
        <v>450</v>
      </c>
      <c r="E476" s="39" t="n">
        <v>-39.253</v>
      </c>
      <c r="F476" s="29" t="n">
        <f aca="false">IF(D476=0,"",E476/D476)</f>
        <v>-0.0872288888888889</v>
      </c>
      <c r="G476" s="26" t="n">
        <v>413</v>
      </c>
      <c r="H476" s="39" t="n">
        <v>0.298</v>
      </c>
      <c r="I476" s="29" t="n">
        <f aca="false">IF(G476=0,"",H476/G476)</f>
        <v>0.000721549636803874</v>
      </c>
      <c r="J476" s="26" t="n">
        <v>2</v>
      </c>
      <c r="K476" s="43" t="n">
        <v>0.3256</v>
      </c>
      <c r="L476" s="43" t="n">
        <v>0.5956</v>
      </c>
      <c r="M476" s="43" t="n">
        <v>0.4832</v>
      </c>
      <c r="N476" s="43" t="n">
        <v>0.3754</v>
      </c>
      <c r="O476" s="43" t="n">
        <v>0.3256</v>
      </c>
      <c r="P476" s="26" t="n">
        <v>9</v>
      </c>
      <c r="Q476" s="26" t="n">
        <v>15</v>
      </c>
    </row>
    <row r="477" customFormat="false" ht="15" hidden="false" customHeight="false" outlineLevel="0" collapsed="false">
      <c r="A477" s="8" t="s">
        <v>109</v>
      </c>
      <c r="B477" s="8" t="s">
        <v>323</v>
      </c>
      <c r="C477" s="26" t="n">
        <v>873</v>
      </c>
      <c r="D477" s="26" t="n">
        <v>451</v>
      </c>
      <c r="E477" s="39" t="n">
        <v>-39.413</v>
      </c>
      <c r="F477" s="29" t="n">
        <f aca="false">IF(D477=0,"",E477/D477)</f>
        <v>-0.087390243902439</v>
      </c>
      <c r="G477" s="26" t="n">
        <v>422</v>
      </c>
      <c r="H477" s="39" t="n">
        <v>3.369</v>
      </c>
      <c r="I477" s="29" t="n">
        <f aca="false">IF(G477=0,"",H477/G477)</f>
        <v>0.00798341232227488</v>
      </c>
      <c r="J477" s="26" t="n">
        <v>2</v>
      </c>
      <c r="K477" s="43" t="n">
        <v>0.3265</v>
      </c>
      <c r="L477" s="43" t="n">
        <v>0.5979</v>
      </c>
      <c r="M477" s="43" t="n">
        <v>0.4822</v>
      </c>
      <c r="N477" s="43" t="n">
        <v>0.378</v>
      </c>
      <c r="O477" s="43" t="n">
        <v>0.3265</v>
      </c>
      <c r="P477" s="26" t="n">
        <v>5</v>
      </c>
      <c r="Q477" s="26" t="n">
        <v>15</v>
      </c>
    </row>
    <row r="478" customFormat="false" ht="15" hidden="false" customHeight="false" outlineLevel="0" collapsed="false">
      <c r="A478" s="8" t="s">
        <v>109</v>
      </c>
      <c r="B478" s="8" t="s">
        <v>291</v>
      </c>
      <c r="C478" s="26" t="n">
        <v>497</v>
      </c>
      <c r="D478" s="26" t="n">
        <v>254</v>
      </c>
      <c r="E478" s="39" t="n">
        <v>-22.915</v>
      </c>
      <c r="F478" s="29" t="n">
        <f aca="false">IF(D478=0,"",E478/D478)</f>
        <v>-0.0902165354330709</v>
      </c>
      <c r="G478" s="26" t="n">
        <v>243</v>
      </c>
      <c r="H478" s="39" t="n">
        <v>30.87</v>
      </c>
      <c r="I478" s="29" t="n">
        <f aca="false">IF(G478=0,"",H478/G478)</f>
        <v>0.127037037037037</v>
      </c>
      <c r="J478" s="26" t="n">
        <v>3</v>
      </c>
      <c r="K478" s="43" t="n">
        <v>0.3461</v>
      </c>
      <c r="L478" s="43" t="n">
        <v>0.6016</v>
      </c>
      <c r="M478" s="43" t="n">
        <v>0.499</v>
      </c>
      <c r="N478" s="43" t="n">
        <v>0.3863</v>
      </c>
      <c r="O478" s="43" t="n">
        <v>0.3461</v>
      </c>
      <c r="P478" s="26" t="n">
        <v>10</v>
      </c>
      <c r="Q478" s="26" t="n">
        <v>14</v>
      </c>
    </row>
    <row r="479" customFormat="false" ht="15" hidden="false" customHeight="false" outlineLevel="0" collapsed="false">
      <c r="A479" s="8" t="s">
        <v>109</v>
      </c>
      <c r="B479" s="8" t="s">
        <v>293</v>
      </c>
      <c r="C479" s="26" t="n">
        <v>851</v>
      </c>
      <c r="D479" s="26" t="n">
        <v>442</v>
      </c>
      <c r="E479" s="39" t="n">
        <v>-40.017</v>
      </c>
      <c r="F479" s="29" t="n">
        <f aca="false">IF(D479=0,"",E479/D479)</f>
        <v>-0.0905361990950226</v>
      </c>
      <c r="G479" s="26" t="n">
        <v>409</v>
      </c>
      <c r="H479" s="39" t="n">
        <v>4.352</v>
      </c>
      <c r="I479" s="29" t="n">
        <f aca="false">IF(G479=0,"",H479/G479)</f>
        <v>0.010640586797066</v>
      </c>
      <c r="J479" s="26" t="n">
        <v>2</v>
      </c>
      <c r="K479" s="43" t="n">
        <v>0.3267</v>
      </c>
      <c r="L479" s="43" t="n">
        <v>0.5993</v>
      </c>
      <c r="M479" s="43" t="n">
        <v>0.4853</v>
      </c>
      <c r="N479" s="43" t="n">
        <v>0.376</v>
      </c>
      <c r="O479" s="43" t="n">
        <v>0.3267</v>
      </c>
      <c r="P479" s="26" t="n">
        <v>9</v>
      </c>
      <c r="Q479" s="26" t="n">
        <v>16</v>
      </c>
    </row>
    <row r="480" customFormat="false" ht="15" hidden="false" customHeight="false" outlineLevel="0" collapsed="false">
      <c r="A480" s="8" t="s">
        <v>109</v>
      </c>
      <c r="B480" s="8" t="s">
        <v>318</v>
      </c>
      <c r="C480" s="26" t="n">
        <v>924</v>
      </c>
      <c r="D480" s="26" t="n">
        <v>482</v>
      </c>
      <c r="E480" s="39" t="n">
        <v>-45.382</v>
      </c>
      <c r="F480" s="29" t="n">
        <f aca="false">IF(D480=0,"",E480/D480)</f>
        <v>-0.0941535269709544</v>
      </c>
      <c r="G480" s="26" t="n">
        <v>442</v>
      </c>
      <c r="H480" s="39" t="n">
        <v>10.064</v>
      </c>
      <c r="I480" s="29" t="n">
        <f aca="false">IF(G480=0,"",H480/G480)</f>
        <v>0.0227692307692308</v>
      </c>
      <c r="J480" s="26" t="n">
        <v>2</v>
      </c>
      <c r="K480" s="43" t="n">
        <v>0.3279</v>
      </c>
      <c r="L480" s="43" t="n">
        <v>0.592</v>
      </c>
      <c r="M480" s="43" t="n">
        <v>0.4751</v>
      </c>
      <c r="N480" s="43" t="n">
        <v>0.3734</v>
      </c>
      <c r="O480" s="43" t="n">
        <v>0.3279</v>
      </c>
      <c r="P480" s="26" t="n">
        <v>9</v>
      </c>
      <c r="Q480" s="26" t="n">
        <v>12</v>
      </c>
    </row>
    <row r="481" customFormat="false" ht="15" hidden="false" customHeight="false" outlineLevel="0" collapsed="false">
      <c r="A481" s="8" t="s">
        <v>109</v>
      </c>
      <c r="B481" s="8" t="s">
        <v>279</v>
      </c>
      <c r="C481" s="26" t="n">
        <v>765</v>
      </c>
      <c r="D481" s="26" t="n">
        <v>396</v>
      </c>
      <c r="E481" s="39" t="n">
        <v>-37.288</v>
      </c>
      <c r="F481" s="29" t="n">
        <f aca="false">IF(D481=0,"",E481/D481)</f>
        <v>-0.0941616161616162</v>
      </c>
      <c r="G481" s="26" t="n">
        <v>369</v>
      </c>
      <c r="H481" s="39" t="n">
        <v>26.733</v>
      </c>
      <c r="I481" s="29" t="n">
        <f aca="false">IF(G481=0,"",H481/G481)</f>
        <v>0.0724471544715447</v>
      </c>
      <c r="J481" s="26" t="n">
        <v>3</v>
      </c>
      <c r="K481" s="43" t="n">
        <v>0.3359</v>
      </c>
      <c r="L481" s="43" t="n">
        <v>0.6026</v>
      </c>
      <c r="M481" s="43" t="n">
        <v>0.4902</v>
      </c>
      <c r="N481" s="43" t="n">
        <v>0.3804</v>
      </c>
      <c r="O481" s="43" t="n">
        <v>0.3359</v>
      </c>
      <c r="P481" s="26" t="n">
        <v>6</v>
      </c>
      <c r="Q481" s="26" t="n">
        <v>13</v>
      </c>
    </row>
    <row r="482" customFormat="false" ht="15" hidden="false" customHeight="false" outlineLevel="0" collapsed="false">
      <c r="A482" s="8" t="s">
        <v>109</v>
      </c>
      <c r="B482" s="8" t="s">
        <v>319</v>
      </c>
      <c r="C482" s="26" t="n">
        <v>708</v>
      </c>
      <c r="D482" s="26" t="n">
        <v>355</v>
      </c>
      <c r="E482" s="39" t="n">
        <v>-33.516</v>
      </c>
      <c r="F482" s="29" t="n">
        <f aca="false">IF(D482=0,"",E482/D482)</f>
        <v>-0.0944112676056338</v>
      </c>
      <c r="G482" s="26" t="n">
        <v>353</v>
      </c>
      <c r="H482" s="39" t="n">
        <v>15.933</v>
      </c>
      <c r="I482" s="29" t="n">
        <f aca="false">IF(G482=0,"",H482/G482)</f>
        <v>0.0451359773371105</v>
      </c>
      <c r="J482" s="26" t="n">
        <v>2</v>
      </c>
      <c r="K482" s="43" t="n">
        <v>0.3319</v>
      </c>
      <c r="L482" s="43" t="n">
        <v>0.5975</v>
      </c>
      <c r="M482" s="43" t="n">
        <v>0.4845</v>
      </c>
      <c r="N482" s="43" t="n">
        <v>0.3856</v>
      </c>
      <c r="O482" s="43" t="n">
        <v>0.3319</v>
      </c>
      <c r="P482" s="26" t="n">
        <v>9</v>
      </c>
      <c r="Q482" s="26" t="n">
        <v>13</v>
      </c>
    </row>
    <row r="483" customFormat="false" ht="15" hidden="false" customHeight="false" outlineLevel="0" collapsed="false">
      <c r="A483" s="8" t="s">
        <v>109</v>
      </c>
      <c r="B483" s="8" t="s">
        <v>340</v>
      </c>
      <c r="C483" s="26" t="n">
        <v>883</v>
      </c>
      <c r="D483" s="26" t="n">
        <v>460</v>
      </c>
      <c r="E483" s="39" t="n">
        <v>-43.582</v>
      </c>
      <c r="F483" s="29" t="n">
        <f aca="false">IF(D483=0,"",E483/D483)</f>
        <v>-0.0947434782608696</v>
      </c>
      <c r="G483" s="26" t="n">
        <v>423</v>
      </c>
      <c r="H483" s="39" t="n">
        <v>8.202</v>
      </c>
      <c r="I483" s="29" t="n">
        <f aca="false">IF(G483=0,"",H483/G483)</f>
        <v>0.0193900709219858</v>
      </c>
      <c r="J483" s="26" t="n">
        <v>2</v>
      </c>
      <c r="K483" s="43" t="n">
        <v>0.3273</v>
      </c>
      <c r="L483" s="43" t="n">
        <v>0.5991</v>
      </c>
      <c r="M483" s="43" t="n">
        <v>0.4847</v>
      </c>
      <c r="N483" s="43" t="n">
        <v>0.3771</v>
      </c>
      <c r="O483" s="43" t="n">
        <v>0.3273</v>
      </c>
      <c r="P483" s="26" t="n">
        <v>9</v>
      </c>
      <c r="Q483" s="26" t="n">
        <v>15</v>
      </c>
    </row>
    <row r="484" customFormat="false" ht="15" hidden="false" customHeight="false" outlineLevel="0" collapsed="false">
      <c r="A484" s="8" t="s">
        <v>109</v>
      </c>
      <c r="B484" s="8" t="s">
        <v>341</v>
      </c>
      <c r="C484" s="26" t="n">
        <v>909</v>
      </c>
      <c r="D484" s="26" t="n">
        <v>472</v>
      </c>
      <c r="E484" s="39" t="n">
        <v>-45.036</v>
      </c>
      <c r="F484" s="29" t="n">
        <f aca="false">IF(D484=0,"",E484/D484)</f>
        <v>-0.0954152542372881</v>
      </c>
      <c r="G484" s="26" t="n">
        <v>437</v>
      </c>
      <c r="H484" s="39" t="n">
        <v>2.777</v>
      </c>
      <c r="I484" s="29" t="n">
        <f aca="false">IF(G484=0,"",H484/G484)</f>
        <v>0.00635469107551488</v>
      </c>
      <c r="J484" s="26" t="n">
        <v>2</v>
      </c>
      <c r="K484" s="43" t="n">
        <v>0.3256</v>
      </c>
      <c r="L484" s="43" t="n">
        <v>0.5886</v>
      </c>
      <c r="M484" s="43" t="n">
        <v>0.484</v>
      </c>
      <c r="N484" s="43" t="n">
        <v>0.3729</v>
      </c>
      <c r="O484" s="43" t="n">
        <v>0.3256</v>
      </c>
      <c r="P484" s="26" t="n">
        <v>6</v>
      </c>
      <c r="Q484" s="26" t="n">
        <v>15</v>
      </c>
    </row>
    <row r="485" customFormat="false" ht="15" hidden="false" customHeight="false" outlineLevel="0" collapsed="false">
      <c r="A485" s="8" t="s">
        <v>109</v>
      </c>
      <c r="B485" s="8" t="s">
        <v>330</v>
      </c>
      <c r="C485" s="26" t="n">
        <v>879</v>
      </c>
      <c r="D485" s="26" t="n">
        <v>451</v>
      </c>
      <c r="E485" s="39" t="n">
        <v>-43.191</v>
      </c>
      <c r="F485" s="29" t="n">
        <f aca="false">IF(D485=0,"",E485/D485)</f>
        <v>-0.0957671840354767</v>
      </c>
      <c r="G485" s="26" t="n">
        <v>428</v>
      </c>
      <c r="H485" s="39" t="n">
        <v>18.142</v>
      </c>
      <c r="I485" s="29" t="n">
        <f aca="false">IF(G485=0,"",H485/G485)</f>
        <v>0.0423878504672897</v>
      </c>
      <c r="J485" s="26" t="n">
        <v>3</v>
      </c>
      <c r="K485" s="43" t="n">
        <v>0.3311</v>
      </c>
      <c r="L485" s="43" t="n">
        <v>0.6007</v>
      </c>
      <c r="M485" s="43" t="n">
        <v>0.4926</v>
      </c>
      <c r="N485" s="43" t="n">
        <v>0.3868</v>
      </c>
      <c r="O485" s="43" t="n">
        <v>0.3311</v>
      </c>
      <c r="P485" s="26" t="n">
        <v>4</v>
      </c>
      <c r="Q485" s="26" t="n">
        <v>14</v>
      </c>
    </row>
    <row r="486" customFormat="false" ht="15" hidden="false" customHeight="false" outlineLevel="0" collapsed="false">
      <c r="A486" s="8" t="s">
        <v>109</v>
      </c>
      <c r="B486" s="8" t="s">
        <v>274</v>
      </c>
      <c r="C486" s="26" t="n">
        <v>872</v>
      </c>
      <c r="D486" s="26" t="n">
        <v>452</v>
      </c>
      <c r="E486" s="39" t="n">
        <v>-43.515</v>
      </c>
      <c r="F486" s="29" t="n">
        <f aca="false">IF(D486=0,"",E486/D486)</f>
        <v>-0.0962721238938053</v>
      </c>
      <c r="G486" s="26" t="n">
        <v>420</v>
      </c>
      <c r="H486" s="39" t="n">
        <v>5.443</v>
      </c>
      <c r="I486" s="29" t="n">
        <f aca="false">IF(G486=0,"",H486/G486)</f>
        <v>0.0129595238095238</v>
      </c>
      <c r="J486" s="26" t="n">
        <v>2</v>
      </c>
      <c r="K486" s="43" t="n">
        <v>0.3257</v>
      </c>
      <c r="L486" s="43" t="n">
        <v>0.5952</v>
      </c>
      <c r="M486" s="43" t="n">
        <v>0.4805</v>
      </c>
      <c r="N486" s="43" t="n">
        <v>0.3784</v>
      </c>
      <c r="O486" s="43" t="n">
        <v>0.3257</v>
      </c>
      <c r="P486" s="26" t="n">
        <v>5</v>
      </c>
      <c r="Q486" s="26" t="n">
        <v>15</v>
      </c>
    </row>
    <row r="487" customFormat="false" ht="15" hidden="false" customHeight="false" outlineLevel="0" collapsed="false">
      <c r="A487" s="8" t="s">
        <v>109</v>
      </c>
      <c r="B487" s="8" t="s">
        <v>334</v>
      </c>
      <c r="C487" s="26" t="n">
        <v>883</v>
      </c>
      <c r="D487" s="26" t="n">
        <v>458</v>
      </c>
      <c r="E487" s="39" t="n">
        <v>-44.483</v>
      </c>
      <c r="F487" s="29" t="n">
        <f aca="false">IF(D487=0,"",E487/D487)</f>
        <v>-0.0971244541484716</v>
      </c>
      <c r="G487" s="26" t="n">
        <v>425</v>
      </c>
      <c r="H487" s="39" t="n">
        <v>6.142</v>
      </c>
      <c r="I487" s="29" t="n">
        <f aca="false">IF(G487=0,"",H487/G487)</f>
        <v>0.0144517647058824</v>
      </c>
      <c r="J487" s="26" t="n">
        <v>2</v>
      </c>
      <c r="K487" s="43" t="n">
        <v>0.3262</v>
      </c>
      <c r="L487" s="43" t="n">
        <v>0.6002</v>
      </c>
      <c r="M487" s="43" t="n">
        <v>0.4858</v>
      </c>
      <c r="N487" s="43" t="n">
        <v>0.376</v>
      </c>
      <c r="O487" s="43" t="n">
        <v>0.3262</v>
      </c>
      <c r="P487" s="26" t="n">
        <v>9</v>
      </c>
      <c r="Q487" s="26" t="n">
        <v>15</v>
      </c>
    </row>
    <row r="488" customFormat="false" ht="15" hidden="false" customHeight="false" outlineLevel="0" collapsed="false">
      <c r="A488" s="8" t="s">
        <v>109</v>
      </c>
      <c r="B488" s="8" t="s">
        <v>383</v>
      </c>
      <c r="C488" s="26" t="n">
        <v>880</v>
      </c>
      <c r="D488" s="26" t="n">
        <v>458</v>
      </c>
      <c r="E488" s="39" t="n">
        <v>-44.557</v>
      </c>
      <c r="F488" s="29" t="n">
        <f aca="false">IF(D488=0,"",E488/D488)</f>
        <v>-0.0972860262008734</v>
      </c>
      <c r="G488" s="26" t="n">
        <v>422</v>
      </c>
      <c r="H488" s="39" t="n">
        <v>9.219</v>
      </c>
      <c r="I488" s="29" t="n">
        <f aca="false">IF(G488=0,"",H488/G488)</f>
        <v>0.021845971563981</v>
      </c>
      <c r="J488" s="26" t="n">
        <v>2</v>
      </c>
      <c r="K488" s="43" t="n">
        <v>0.3273</v>
      </c>
      <c r="L488" s="43" t="n">
        <v>0.5989</v>
      </c>
      <c r="M488" s="43" t="n">
        <v>0.4841</v>
      </c>
      <c r="N488" s="43" t="n">
        <v>0.3773</v>
      </c>
      <c r="O488" s="43" t="n">
        <v>0.3273</v>
      </c>
      <c r="P488" s="26" t="n">
        <v>9</v>
      </c>
      <c r="Q488" s="26" t="n">
        <v>15</v>
      </c>
    </row>
    <row r="489" customFormat="false" ht="15" hidden="false" customHeight="false" outlineLevel="0" collapsed="false">
      <c r="A489" s="8" t="s">
        <v>109</v>
      </c>
      <c r="B489" s="8" t="s">
        <v>317</v>
      </c>
      <c r="C489" s="26" t="n">
        <v>871</v>
      </c>
      <c r="D489" s="26" t="n">
        <v>452</v>
      </c>
      <c r="E489" s="39" t="n">
        <v>-44.373</v>
      </c>
      <c r="F489" s="29" t="n">
        <f aca="false">IF(D489=0,"",E489/D489)</f>
        <v>-0.0981703539823009</v>
      </c>
      <c r="G489" s="26" t="n">
        <v>419</v>
      </c>
      <c r="H489" s="39" t="n">
        <v>0.233</v>
      </c>
      <c r="I489" s="29" t="n">
        <f aca="false">IF(G489=0,"",H489/G489)</f>
        <v>0.000556085918854415</v>
      </c>
      <c r="J489" s="26" t="n">
        <v>2</v>
      </c>
      <c r="K489" s="43" t="n">
        <v>0.3238</v>
      </c>
      <c r="L489" s="43" t="n">
        <v>0.5982</v>
      </c>
      <c r="M489" s="43" t="n">
        <v>0.4868</v>
      </c>
      <c r="N489" s="43" t="n">
        <v>0.3766</v>
      </c>
      <c r="O489" s="43" t="n">
        <v>0.3238</v>
      </c>
      <c r="P489" s="26" t="n">
        <v>9</v>
      </c>
      <c r="Q489" s="26" t="n">
        <v>15</v>
      </c>
    </row>
    <row r="490" customFormat="false" ht="15" hidden="false" customHeight="false" outlineLevel="0" collapsed="false">
      <c r="A490" s="8" t="s">
        <v>109</v>
      </c>
      <c r="B490" s="8" t="s">
        <v>325</v>
      </c>
      <c r="C490" s="26" t="n">
        <v>884</v>
      </c>
      <c r="D490" s="26" t="n">
        <v>462</v>
      </c>
      <c r="E490" s="39" t="n">
        <v>-45.661</v>
      </c>
      <c r="F490" s="29" t="n">
        <f aca="false">IF(D490=0,"",E490/D490)</f>
        <v>-0.0988333333333333</v>
      </c>
      <c r="G490" s="26" t="n">
        <v>422</v>
      </c>
      <c r="H490" s="39" t="n">
        <v>6.211</v>
      </c>
      <c r="I490" s="29" t="n">
        <f aca="false">IF(G490=0,"",H490/G490)</f>
        <v>0.014718009478673</v>
      </c>
      <c r="J490" s="26" t="n">
        <v>2</v>
      </c>
      <c r="K490" s="43" t="n">
        <v>0.3258</v>
      </c>
      <c r="L490" s="43" t="n">
        <v>0.5962</v>
      </c>
      <c r="M490" s="43" t="n">
        <v>0.483</v>
      </c>
      <c r="N490" s="43" t="n">
        <v>0.3756</v>
      </c>
      <c r="O490" s="43" t="n">
        <v>0.3258</v>
      </c>
      <c r="P490" s="26" t="n">
        <v>9</v>
      </c>
      <c r="Q490" s="26" t="n">
        <v>15</v>
      </c>
    </row>
    <row r="491" customFormat="false" ht="15" hidden="false" customHeight="false" outlineLevel="0" collapsed="false">
      <c r="A491" s="8" t="s">
        <v>109</v>
      </c>
      <c r="B491" s="8" t="s">
        <v>336</v>
      </c>
      <c r="C491" s="26" t="n">
        <v>887</v>
      </c>
      <c r="D491" s="26" t="n">
        <v>462</v>
      </c>
      <c r="E491" s="39" t="n">
        <v>-45.691</v>
      </c>
      <c r="F491" s="29" t="n">
        <f aca="false">IF(D491=0,"",E491/D491)</f>
        <v>-0.0988982683982684</v>
      </c>
      <c r="G491" s="26" t="n">
        <v>425</v>
      </c>
      <c r="H491" s="39" t="n">
        <v>6.188</v>
      </c>
      <c r="I491" s="29" t="n">
        <f aca="false">IF(G491=0,"",H491/G491)</f>
        <v>0.01456</v>
      </c>
      <c r="J491" s="26" t="n">
        <v>2</v>
      </c>
      <c r="K491" s="43" t="n">
        <v>0.3258</v>
      </c>
      <c r="L491" s="43" t="n">
        <v>0.6009</v>
      </c>
      <c r="M491" s="43" t="n">
        <v>0.4848</v>
      </c>
      <c r="N491" s="43" t="n">
        <v>0.3754</v>
      </c>
      <c r="O491" s="43" t="n">
        <v>0.3258</v>
      </c>
      <c r="P491" s="26" t="n">
        <v>6</v>
      </c>
      <c r="Q491" s="26" t="n">
        <v>15</v>
      </c>
    </row>
    <row r="492" customFormat="false" ht="15" hidden="false" customHeight="false" outlineLevel="0" collapsed="false">
      <c r="A492" s="8" t="s">
        <v>109</v>
      </c>
      <c r="B492" s="8" t="s">
        <v>343</v>
      </c>
      <c r="C492" s="26" t="n">
        <v>882</v>
      </c>
      <c r="D492" s="26" t="n">
        <v>459</v>
      </c>
      <c r="E492" s="39" t="n">
        <v>-45.441</v>
      </c>
      <c r="F492" s="29" t="n">
        <f aca="false">IF(D492=0,"",E492/D492)</f>
        <v>-0.099</v>
      </c>
      <c r="G492" s="26" t="n">
        <v>423</v>
      </c>
      <c r="H492" s="39" t="n">
        <v>8.251</v>
      </c>
      <c r="I492" s="29" t="n">
        <f aca="false">IF(G492=0,"",H492/G492)</f>
        <v>0.0195059101654846</v>
      </c>
      <c r="J492" s="26" t="n">
        <v>2</v>
      </c>
      <c r="K492" s="43" t="n">
        <v>0.3265</v>
      </c>
      <c r="L492" s="43" t="n">
        <v>0.5986</v>
      </c>
      <c r="M492" s="43" t="n">
        <v>0.4819</v>
      </c>
      <c r="N492" s="43" t="n">
        <v>0.3776</v>
      </c>
      <c r="O492" s="43" t="n">
        <v>0.3265</v>
      </c>
      <c r="P492" s="26" t="n">
        <v>9</v>
      </c>
      <c r="Q492" s="26" t="n">
        <v>15</v>
      </c>
    </row>
    <row r="493" customFormat="false" ht="15" hidden="false" customHeight="false" outlineLevel="0" collapsed="false">
      <c r="A493" s="8" t="s">
        <v>109</v>
      </c>
      <c r="B493" s="8" t="s">
        <v>338</v>
      </c>
      <c r="C493" s="26" t="n">
        <v>881</v>
      </c>
      <c r="D493" s="26" t="n">
        <v>459</v>
      </c>
      <c r="E493" s="39" t="n">
        <v>-45.497</v>
      </c>
      <c r="F493" s="29" t="n">
        <f aca="false">IF(D493=0,"",E493/D493)</f>
        <v>-0.0991220043572985</v>
      </c>
      <c r="G493" s="26" t="n">
        <v>422</v>
      </c>
      <c r="H493" s="39" t="n">
        <v>12.222</v>
      </c>
      <c r="I493" s="29" t="n">
        <f aca="false">IF(G493=0,"",H493/G493)</f>
        <v>0.0289620853080569</v>
      </c>
      <c r="J493" s="26" t="n">
        <v>2</v>
      </c>
      <c r="K493" s="43" t="n">
        <v>0.328</v>
      </c>
      <c r="L493" s="43" t="n">
        <v>0.5993</v>
      </c>
      <c r="M493" s="43" t="n">
        <v>0.4835</v>
      </c>
      <c r="N493" s="43" t="n">
        <v>0.3768</v>
      </c>
      <c r="O493" s="43" t="n">
        <v>0.328</v>
      </c>
      <c r="P493" s="26" t="n">
        <v>9</v>
      </c>
      <c r="Q493" s="26" t="n">
        <v>15</v>
      </c>
    </row>
    <row r="494" customFormat="false" ht="15" hidden="false" customHeight="false" outlineLevel="0" collapsed="false">
      <c r="A494" s="8" t="s">
        <v>109</v>
      </c>
      <c r="B494" s="8" t="s">
        <v>246</v>
      </c>
      <c r="C494" s="26" t="n">
        <v>586</v>
      </c>
      <c r="D494" s="26" t="n">
        <v>312</v>
      </c>
      <c r="E494" s="39" t="n">
        <v>-31.118</v>
      </c>
      <c r="F494" s="29" t="n">
        <f aca="false">IF(D494=0,"",E494/D494)</f>
        <v>-0.0997371794871795</v>
      </c>
      <c r="G494" s="26" t="n">
        <v>274</v>
      </c>
      <c r="H494" s="39" t="n">
        <v>47.877</v>
      </c>
      <c r="I494" s="29" t="n">
        <f aca="false">IF(G494=0,"",H494/G494)</f>
        <v>0.174733576642336</v>
      </c>
      <c r="J494" s="26" t="n">
        <v>3</v>
      </c>
      <c r="K494" s="43" t="n">
        <v>0.3498</v>
      </c>
      <c r="L494" s="43" t="n">
        <v>0.6041</v>
      </c>
      <c r="M494" s="43" t="n">
        <v>0.5068</v>
      </c>
      <c r="N494" s="43" t="n">
        <v>0.4061</v>
      </c>
      <c r="O494" s="43" t="n">
        <v>0.3498</v>
      </c>
      <c r="P494" s="26" t="n">
        <v>6</v>
      </c>
      <c r="Q494" s="26" t="n">
        <v>14</v>
      </c>
    </row>
    <row r="495" customFormat="false" ht="15" hidden="false" customHeight="false" outlineLevel="0" collapsed="false">
      <c r="A495" s="8" t="s">
        <v>109</v>
      </c>
      <c r="B495" s="8" t="s">
        <v>375</v>
      </c>
      <c r="C495" s="26" t="n">
        <v>876</v>
      </c>
      <c r="D495" s="26" t="n">
        <v>456</v>
      </c>
      <c r="E495" s="39" t="n">
        <v>-45.494</v>
      </c>
      <c r="F495" s="29" t="n">
        <f aca="false">IF(D495=0,"",E495/D495)</f>
        <v>-0.0997675438596491</v>
      </c>
      <c r="G495" s="26" t="n">
        <v>420</v>
      </c>
      <c r="H495" s="39" t="n">
        <v>5.223</v>
      </c>
      <c r="I495" s="29" t="n">
        <f aca="false">IF(G495=0,"",H495/G495)</f>
        <v>0.0124357142857143</v>
      </c>
      <c r="J495" s="26" t="n">
        <v>2</v>
      </c>
      <c r="K495" s="43" t="n">
        <v>0.3253</v>
      </c>
      <c r="L495" s="43" t="n">
        <v>0.597</v>
      </c>
      <c r="M495" s="43" t="n">
        <v>0.484</v>
      </c>
      <c r="N495" s="43" t="n">
        <v>0.3756</v>
      </c>
      <c r="O495" s="43" t="n">
        <v>0.3253</v>
      </c>
      <c r="P495" s="26" t="n">
        <v>9</v>
      </c>
      <c r="Q495" s="26" t="n">
        <v>14</v>
      </c>
    </row>
    <row r="496" customFormat="false" ht="15" hidden="false" customHeight="false" outlineLevel="0" collapsed="false">
      <c r="A496" s="8" t="s">
        <v>109</v>
      </c>
      <c r="B496" s="8" t="s">
        <v>352</v>
      </c>
      <c r="C496" s="26" t="n">
        <v>893</v>
      </c>
      <c r="D496" s="26" t="n">
        <v>466</v>
      </c>
      <c r="E496" s="39" t="n">
        <v>-46.778</v>
      </c>
      <c r="F496" s="29" t="n">
        <f aca="false">IF(D496=0,"",E496/D496)</f>
        <v>-0.100381974248927</v>
      </c>
      <c r="G496" s="26" t="n">
        <v>427</v>
      </c>
      <c r="H496" s="39" t="n">
        <v>19.143</v>
      </c>
      <c r="I496" s="29" t="n">
        <f aca="false">IF(G496=0,"",H496/G496)</f>
        <v>0.0448313817330211</v>
      </c>
      <c r="J496" s="26" t="n">
        <v>2</v>
      </c>
      <c r="K496" s="43" t="n">
        <v>0.3303</v>
      </c>
      <c r="L496" s="43" t="n">
        <v>0.6025</v>
      </c>
      <c r="M496" s="43" t="n">
        <v>0.4871</v>
      </c>
      <c r="N496" s="43" t="n">
        <v>0.3807</v>
      </c>
      <c r="O496" s="43" t="n">
        <v>0.3303</v>
      </c>
      <c r="P496" s="26" t="n">
        <v>9</v>
      </c>
      <c r="Q496" s="26" t="n">
        <v>17</v>
      </c>
    </row>
    <row r="497" customFormat="false" ht="15" hidden="false" customHeight="false" outlineLevel="0" collapsed="false">
      <c r="A497" s="8" t="s">
        <v>109</v>
      </c>
      <c r="B497" s="8" t="s">
        <v>350</v>
      </c>
      <c r="C497" s="26" t="n">
        <v>893</v>
      </c>
      <c r="D497" s="26" t="n">
        <v>466</v>
      </c>
      <c r="E497" s="39" t="n">
        <v>-46.778</v>
      </c>
      <c r="F497" s="29" t="n">
        <f aca="false">IF(D497=0,"",E497/D497)</f>
        <v>-0.100381974248927</v>
      </c>
      <c r="G497" s="26" t="n">
        <v>427</v>
      </c>
      <c r="H497" s="39" t="n">
        <v>19.143</v>
      </c>
      <c r="I497" s="29" t="n">
        <f aca="false">IF(G497=0,"",H497/G497)</f>
        <v>0.0448313817330211</v>
      </c>
      <c r="J497" s="26" t="n">
        <v>2</v>
      </c>
      <c r="K497" s="43" t="n">
        <v>0.3303</v>
      </c>
      <c r="L497" s="43" t="n">
        <v>0.6025</v>
      </c>
      <c r="M497" s="43" t="n">
        <v>0.4871</v>
      </c>
      <c r="N497" s="43" t="n">
        <v>0.3807</v>
      </c>
      <c r="O497" s="43" t="n">
        <v>0.3303</v>
      </c>
      <c r="P497" s="26" t="n">
        <v>9</v>
      </c>
      <c r="Q497" s="26" t="n">
        <v>17</v>
      </c>
    </row>
    <row r="498" customFormat="false" ht="15" hidden="false" customHeight="false" outlineLevel="0" collapsed="false">
      <c r="A498" s="8" t="s">
        <v>109</v>
      </c>
      <c r="B498" s="8" t="s">
        <v>332</v>
      </c>
      <c r="C498" s="26" t="n">
        <v>876</v>
      </c>
      <c r="D498" s="26" t="n">
        <v>454</v>
      </c>
      <c r="E498" s="39" t="n">
        <v>-45.624</v>
      </c>
      <c r="F498" s="29" t="n">
        <f aca="false">IF(D498=0,"",E498/D498)</f>
        <v>-0.100493392070485</v>
      </c>
      <c r="G498" s="26" t="n">
        <v>422</v>
      </c>
      <c r="H498" s="39" t="n">
        <v>0.347</v>
      </c>
      <c r="I498" s="29" t="n">
        <f aca="false">IF(G498=0,"",H498/G498)</f>
        <v>0.000822274881516588</v>
      </c>
      <c r="J498" s="26" t="n">
        <v>2</v>
      </c>
      <c r="K498" s="43" t="n">
        <v>0.3231</v>
      </c>
      <c r="L498" s="43" t="n">
        <v>0.597</v>
      </c>
      <c r="M498" s="43" t="n">
        <v>0.4783</v>
      </c>
      <c r="N498" s="43" t="n">
        <v>0.3744</v>
      </c>
      <c r="O498" s="43" t="n">
        <v>0.3231</v>
      </c>
      <c r="P498" s="26" t="n">
        <v>5</v>
      </c>
      <c r="Q498" s="26" t="n">
        <v>15</v>
      </c>
    </row>
    <row r="499" customFormat="false" ht="15" hidden="false" customHeight="false" outlineLevel="0" collapsed="false">
      <c r="A499" s="8" t="s">
        <v>109</v>
      </c>
      <c r="B499" s="8" t="s">
        <v>347</v>
      </c>
      <c r="C499" s="26" t="n">
        <v>892</v>
      </c>
      <c r="D499" s="26" t="n">
        <v>463</v>
      </c>
      <c r="E499" s="39" t="n">
        <v>-46.534</v>
      </c>
      <c r="F499" s="29" t="n">
        <f aca="false">IF(D499=0,"",E499/D499)</f>
        <v>-0.100505399568035</v>
      </c>
      <c r="G499" s="26" t="n">
        <v>429</v>
      </c>
      <c r="H499" s="39" t="n">
        <v>-6.823</v>
      </c>
      <c r="I499" s="29" t="n">
        <f aca="false">IF(G499=0,"",H499/G499)</f>
        <v>-0.0159044289044289</v>
      </c>
      <c r="J499" s="26" t="n">
        <v>2</v>
      </c>
      <c r="K499" s="43" t="n">
        <v>0.3206</v>
      </c>
      <c r="L499" s="43" t="n">
        <v>0.5987</v>
      </c>
      <c r="M499" s="43" t="n">
        <v>0.4809</v>
      </c>
      <c r="N499" s="43" t="n">
        <v>0.3688</v>
      </c>
      <c r="O499" s="43" t="n">
        <v>0.3206</v>
      </c>
      <c r="P499" s="26" t="n">
        <v>7</v>
      </c>
      <c r="Q499" s="26" t="n">
        <v>15</v>
      </c>
    </row>
    <row r="500" customFormat="false" ht="15" hidden="false" customHeight="false" outlineLevel="0" collapsed="false">
      <c r="A500" s="8" t="s">
        <v>109</v>
      </c>
      <c r="B500" s="8" t="s">
        <v>335</v>
      </c>
      <c r="C500" s="26" t="n">
        <v>858</v>
      </c>
      <c r="D500" s="26" t="n">
        <v>450</v>
      </c>
      <c r="E500" s="39" t="n">
        <v>-45.255</v>
      </c>
      <c r="F500" s="29" t="n">
        <f aca="false">IF(D500=0,"",E500/D500)</f>
        <v>-0.100566666666667</v>
      </c>
      <c r="G500" s="26" t="n">
        <v>408</v>
      </c>
      <c r="H500" s="39" t="n">
        <v>11.365</v>
      </c>
      <c r="I500" s="29" t="n">
        <f aca="false">IF(G500=0,"",H500/G500)</f>
        <v>0.0278553921568627</v>
      </c>
      <c r="J500" s="26" t="n">
        <v>2</v>
      </c>
      <c r="K500" s="43" t="n">
        <v>0.3275</v>
      </c>
      <c r="L500" s="43" t="n">
        <v>0.5991</v>
      </c>
      <c r="M500" s="43" t="n">
        <v>0.4848</v>
      </c>
      <c r="N500" s="43" t="n">
        <v>0.3788</v>
      </c>
      <c r="O500" s="43" t="n">
        <v>0.3275</v>
      </c>
      <c r="P500" s="26" t="n">
        <v>9</v>
      </c>
      <c r="Q500" s="26" t="n">
        <v>20</v>
      </c>
    </row>
    <row r="501" customFormat="false" ht="15" hidden="false" customHeight="false" outlineLevel="0" collapsed="false">
      <c r="A501" s="8" t="s">
        <v>109</v>
      </c>
      <c r="B501" s="8" t="s">
        <v>302</v>
      </c>
      <c r="C501" s="26" t="n">
        <v>881</v>
      </c>
      <c r="D501" s="26" t="n">
        <v>460</v>
      </c>
      <c r="E501" s="39" t="n">
        <v>-46.271</v>
      </c>
      <c r="F501" s="29" t="n">
        <f aca="false">IF(D501=0,"",E501/D501)</f>
        <v>-0.100589130434783</v>
      </c>
      <c r="G501" s="26" t="n">
        <v>421</v>
      </c>
      <c r="H501" s="39" t="n">
        <v>4.318</v>
      </c>
      <c r="I501" s="29" t="n">
        <f aca="false">IF(G501=0,"",H501/G501)</f>
        <v>0.0102565320665083</v>
      </c>
      <c r="J501" s="26" t="n">
        <v>2</v>
      </c>
      <c r="K501" s="43" t="n">
        <v>0.3246</v>
      </c>
      <c r="L501" s="43" t="n">
        <v>0.5959</v>
      </c>
      <c r="M501" s="43" t="n">
        <v>0.4779</v>
      </c>
      <c r="N501" s="43" t="n">
        <v>0.3734</v>
      </c>
      <c r="O501" s="43" t="n">
        <v>0.3246</v>
      </c>
      <c r="P501" s="26" t="n">
        <v>5</v>
      </c>
      <c r="Q501" s="26" t="n">
        <v>15</v>
      </c>
    </row>
    <row r="502" customFormat="false" ht="15" hidden="false" customHeight="false" outlineLevel="0" collapsed="false">
      <c r="A502" s="8" t="s">
        <v>109</v>
      </c>
      <c r="B502" s="8" t="s">
        <v>329</v>
      </c>
      <c r="C502" s="26" t="n">
        <v>863</v>
      </c>
      <c r="D502" s="26" t="n">
        <v>450</v>
      </c>
      <c r="E502" s="39" t="n">
        <v>-45.339</v>
      </c>
      <c r="F502" s="29" t="n">
        <f aca="false">IF(D502=0,"",E502/D502)</f>
        <v>-0.100753333333333</v>
      </c>
      <c r="G502" s="26" t="n">
        <v>413</v>
      </c>
      <c r="H502" s="39" t="n">
        <v>-8.709</v>
      </c>
      <c r="I502" s="29" t="n">
        <f aca="false">IF(G502=0,"",H502/G502)</f>
        <v>-0.0210871670702179</v>
      </c>
      <c r="J502" s="26" t="n">
        <v>2</v>
      </c>
      <c r="K502" s="43" t="n">
        <v>0.3198</v>
      </c>
      <c r="L502" s="43" t="n">
        <v>0.5944</v>
      </c>
      <c r="M502" s="43" t="n">
        <v>0.4844</v>
      </c>
      <c r="N502" s="43" t="n">
        <v>0.3754</v>
      </c>
      <c r="O502" s="43" t="n">
        <v>0.3198</v>
      </c>
      <c r="P502" s="26" t="n">
        <v>6</v>
      </c>
      <c r="Q502" s="26" t="n">
        <v>15</v>
      </c>
    </row>
    <row r="503" customFormat="false" ht="15" hidden="false" customHeight="false" outlineLevel="0" collapsed="false">
      <c r="A503" s="8" t="s">
        <v>109</v>
      </c>
      <c r="B503" s="8" t="s">
        <v>266</v>
      </c>
      <c r="C503" s="26" t="n">
        <v>879</v>
      </c>
      <c r="D503" s="26" t="n">
        <v>460</v>
      </c>
      <c r="E503" s="39" t="n">
        <v>-46.609</v>
      </c>
      <c r="F503" s="29" t="n">
        <f aca="false">IF(D503=0,"",E503/D503)</f>
        <v>-0.101323913043478</v>
      </c>
      <c r="G503" s="26" t="n">
        <v>419</v>
      </c>
      <c r="H503" s="39" t="n">
        <v>12.227</v>
      </c>
      <c r="I503" s="29" t="n">
        <f aca="false">IF(G503=0,"",H503/G503)</f>
        <v>0.02918138424821</v>
      </c>
      <c r="J503" s="26" t="n">
        <v>2</v>
      </c>
      <c r="K503" s="43" t="n">
        <v>0.3276</v>
      </c>
      <c r="L503" s="43" t="n">
        <v>0.5973</v>
      </c>
      <c r="M503" s="43" t="n">
        <v>0.4835</v>
      </c>
      <c r="N503" s="43" t="n">
        <v>0.3777</v>
      </c>
      <c r="O503" s="43" t="n">
        <v>0.3276</v>
      </c>
      <c r="P503" s="26" t="n">
        <v>9</v>
      </c>
      <c r="Q503" s="26" t="n">
        <v>15</v>
      </c>
    </row>
    <row r="504" customFormat="false" ht="15" hidden="false" customHeight="false" outlineLevel="0" collapsed="false">
      <c r="A504" s="8" t="s">
        <v>109</v>
      </c>
      <c r="B504" s="8" t="s">
        <v>349</v>
      </c>
      <c r="C504" s="26" t="n">
        <v>879</v>
      </c>
      <c r="D504" s="26" t="n">
        <v>460</v>
      </c>
      <c r="E504" s="39" t="n">
        <v>-46.626</v>
      </c>
      <c r="F504" s="29" t="n">
        <f aca="false">IF(D504=0,"",E504/D504)</f>
        <v>-0.101360869565217</v>
      </c>
      <c r="G504" s="26" t="n">
        <v>419</v>
      </c>
      <c r="H504" s="39" t="n">
        <v>-2.761</v>
      </c>
      <c r="I504" s="29" t="n">
        <f aca="false">IF(G504=0,"",H504/G504)</f>
        <v>-0.00658949880668258</v>
      </c>
      <c r="J504" s="26" t="n">
        <v>2</v>
      </c>
      <c r="K504" s="43" t="n">
        <v>0.322</v>
      </c>
      <c r="L504" s="43" t="n">
        <v>0.5939</v>
      </c>
      <c r="M504" s="43" t="n">
        <v>0.4778</v>
      </c>
      <c r="N504" s="43" t="n">
        <v>0.3697</v>
      </c>
      <c r="O504" s="43" t="n">
        <v>0.322</v>
      </c>
      <c r="P504" s="26" t="n">
        <v>9</v>
      </c>
      <c r="Q504" s="26" t="n">
        <v>15</v>
      </c>
    </row>
    <row r="505" customFormat="false" ht="15" hidden="false" customHeight="false" outlineLevel="0" collapsed="false">
      <c r="A505" s="8" t="s">
        <v>109</v>
      </c>
      <c r="B505" s="8" t="s">
        <v>373</v>
      </c>
      <c r="C505" s="26" t="n">
        <v>878</v>
      </c>
      <c r="D505" s="26" t="n">
        <v>457</v>
      </c>
      <c r="E505" s="39" t="n">
        <v>-46.516</v>
      </c>
      <c r="F505" s="29" t="n">
        <f aca="false">IF(D505=0,"",E505/D505)</f>
        <v>-0.101785557986871</v>
      </c>
      <c r="G505" s="26" t="n">
        <v>421</v>
      </c>
      <c r="H505" s="39" t="n">
        <v>4.217</v>
      </c>
      <c r="I505" s="29" t="n">
        <f aca="false">IF(G505=0,"",H505/G505)</f>
        <v>0.0100166270783848</v>
      </c>
      <c r="J505" s="26" t="n">
        <v>2</v>
      </c>
      <c r="K505" s="43" t="n">
        <v>0.3246</v>
      </c>
      <c r="L505" s="43" t="n">
        <v>0.5968</v>
      </c>
      <c r="M505" s="43" t="n">
        <v>0.4829</v>
      </c>
      <c r="N505" s="43" t="n">
        <v>0.3747</v>
      </c>
      <c r="O505" s="43" t="n">
        <v>0.3246</v>
      </c>
      <c r="P505" s="26" t="n">
        <v>9</v>
      </c>
      <c r="Q505" s="26" t="n">
        <v>14</v>
      </c>
    </row>
    <row r="506" customFormat="false" ht="15" hidden="false" customHeight="false" outlineLevel="0" collapsed="false">
      <c r="A506" s="8" t="s">
        <v>109</v>
      </c>
      <c r="B506" s="8" t="s">
        <v>290</v>
      </c>
      <c r="C506" s="26" t="n">
        <v>840</v>
      </c>
      <c r="D506" s="26" t="n">
        <v>435</v>
      </c>
      <c r="E506" s="39" t="n">
        <v>-44.83</v>
      </c>
      <c r="F506" s="29" t="n">
        <f aca="false">IF(D506=0,"",E506/D506)</f>
        <v>-0.103057471264368</v>
      </c>
      <c r="G506" s="26" t="n">
        <v>405</v>
      </c>
      <c r="H506" s="39" t="n">
        <v>2.322</v>
      </c>
      <c r="I506" s="29" t="n">
        <f aca="false">IF(G506=0,"",H506/G506)</f>
        <v>0.00573333333333333</v>
      </c>
      <c r="J506" s="26" t="n">
        <v>3</v>
      </c>
      <c r="K506" s="43" t="n">
        <v>0.3238</v>
      </c>
      <c r="L506" s="43" t="n">
        <v>0.6</v>
      </c>
      <c r="M506" s="43" t="n">
        <v>0.4798</v>
      </c>
      <c r="N506" s="43" t="n">
        <v>0.3774</v>
      </c>
      <c r="O506" s="43" t="n">
        <v>0.3238</v>
      </c>
      <c r="P506" s="26" t="n">
        <v>9</v>
      </c>
      <c r="Q506" s="26" t="n">
        <v>16</v>
      </c>
    </row>
    <row r="507" customFormat="false" ht="15" hidden="false" customHeight="false" outlineLevel="0" collapsed="false">
      <c r="A507" s="8" t="s">
        <v>109</v>
      </c>
      <c r="B507" s="8" t="s">
        <v>381</v>
      </c>
      <c r="C507" s="26" t="n">
        <v>884</v>
      </c>
      <c r="D507" s="26" t="n">
        <v>461</v>
      </c>
      <c r="E507" s="39" t="n">
        <v>-47.622</v>
      </c>
      <c r="F507" s="29" t="n">
        <f aca="false">IF(D507=0,"",E507/D507)</f>
        <v>-0.103301518438178</v>
      </c>
      <c r="G507" s="26" t="n">
        <v>423</v>
      </c>
      <c r="H507" s="39" t="n">
        <v>8.202</v>
      </c>
      <c r="I507" s="29" t="n">
        <f aca="false">IF(G507=0,"",H507/G507)</f>
        <v>0.0193900709219858</v>
      </c>
      <c r="J507" s="26" t="n">
        <v>2</v>
      </c>
      <c r="K507" s="43" t="n">
        <v>0.3258</v>
      </c>
      <c r="L507" s="43" t="n">
        <v>0.5973</v>
      </c>
      <c r="M507" s="43" t="n">
        <v>0.483</v>
      </c>
      <c r="N507" s="43" t="n">
        <v>0.3756</v>
      </c>
      <c r="O507" s="43" t="n">
        <v>0.3258</v>
      </c>
      <c r="P507" s="26" t="n">
        <v>9</v>
      </c>
      <c r="Q507" s="26" t="n">
        <v>15</v>
      </c>
    </row>
    <row r="508" customFormat="false" ht="15" hidden="false" customHeight="false" outlineLevel="0" collapsed="false">
      <c r="A508" s="8" t="s">
        <v>109</v>
      </c>
      <c r="B508" s="8" t="s">
        <v>264</v>
      </c>
      <c r="C508" s="26" t="n">
        <v>884</v>
      </c>
      <c r="D508" s="26" t="n">
        <v>461</v>
      </c>
      <c r="E508" s="39" t="n">
        <v>-47.622</v>
      </c>
      <c r="F508" s="29" t="n">
        <f aca="false">IF(D508=0,"",E508/D508)</f>
        <v>-0.103301518438178</v>
      </c>
      <c r="G508" s="26" t="n">
        <v>423</v>
      </c>
      <c r="H508" s="39" t="n">
        <v>8.202</v>
      </c>
      <c r="I508" s="29" t="n">
        <f aca="false">IF(G508=0,"",H508/G508)</f>
        <v>0.0193900709219858</v>
      </c>
      <c r="J508" s="26" t="n">
        <v>2</v>
      </c>
      <c r="K508" s="43" t="n">
        <v>0.3258</v>
      </c>
      <c r="L508" s="43" t="n">
        <v>0.5973</v>
      </c>
      <c r="M508" s="43" t="n">
        <v>0.483</v>
      </c>
      <c r="N508" s="43" t="n">
        <v>0.3756</v>
      </c>
      <c r="O508" s="43" t="n">
        <v>0.3258</v>
      </c>
      <c r="P508" s="26" t="n">
        <v>9</v>
      </c>
      <c r="Q508" s="26" t="n">
        <v>15</v>
      </c>
    </row>
    <row r="509" customFormat="false" ht="15" hidden="false" customHeight="false" outlineLevel="0" collapsed="false">
      <c r="A509" s="8" t="s">
        <v>109</v>
      </c>
      <c r="B509" s="8" t="s">
        <v>366</v>
      </c>
      <c r="C509" s="26" t="n">
        <v>884</v>
      </c>
      <c r="D509" s="26" t="n">
        <v>461</v>
      </c>
      <c r="E509" s="39" t="n">
        <v>-47.622</v>
      </c>
      <c r="F509" s="29" t="n">
        <f aca="false">IF(D509=0,"",E509/D509)</f>
        <v>-0.103301518438178</v>
      </c>
      <c r="G509" s="26" t="n">
        <v>423</v>
      </c>
      <c r="H509" s="39" t="n">
        <v>8.202</v>
      </c>
      <c r="I509" s="29" t="n">
        <f aca="false">IF(G509=0,"",H509/G509)</f>
        <v>0.0193900709219858</v>
      </c>
      <c r="J509" s="26" t="n">
        <v>2</v>
      </c>
      <c r="K509" s="43" t="n">
        <v>0.3258</v>
      </c>
      <c r="L509" s="43" t="n">
        <v>0.5973</v>
      </c>
      <c r="M509" s="43" t="n">
        <v>0.483</v>
      </c>
      <c r="N509" s="43" t="n">
        <v>0.3756</v>
      </c>
      <c r="O509" s="43" t="n">
        <v>0.3258</v>
      </c>
      <c r="P509" s="26" t="n">
        <v>9</v>
      </c>
      <c r="Q509" s="26" t="n">
        <v>15</v>
      </c>
    </row>
    <row r="510" customFormat="false" ht="15" hidden="false" customHeight="false" outlineLevel="0" collapsed="false">
      <c r="A510" s="8" t="s">
        <v>109</v>
      </c>
      <c r="B510" s="8" t="s">
        <v>342</v>
      </c>
      <c r="C510" s="26" t="n">
        <v>885</v>
      </c>
      <c r="D510" s="26" t="n">
        <v>461</v>
      </c>
      <c r="E510" s="39" t="n">
        <v>-47.622</v>
      </c>
      <c r="F510" s="29" t="n">
        <f aca="false">IF(D510=0,"",E510/D510)</f>
        <v>-0.103301518438178</v>
      </c>
      <c r="G510" s="26" t="n">
        <v>424</v>
      </c>
      <c r="H510" s="39" t="n">
        <v>7.196</v>
      </c>
      <c r="I510" s="29" t="n">
        <f aca="false">IF(G510=0,"",H510/G510)</f>
        <v>0.0169716981132075</v>
      </c>
      <c r="J510" s="26" t="n">
        <v>2</v>
      </c>
      <c r="K510" s="43" t="n">
        <v>0.3254</v>
      </c>
      <c r="L510" s="43" t="n">
        <v>0.5966</v>
      </c>
      <c r="M510" s="43" t="n">
        <v>0.4825</v>
      </c>
      <c r="N510" s="43" t="n">
        <v>0.3751</v>
      </c>
      <c r="O510" s="43" t="n">
        <v>0.3254</v>
      </c>
      <c r="P510" s="26" t="n">
        <v>9</v>
      </c>
      <c r="Q510" s="26" t="n">
        <v>15</v>
      </c>
    </row>
    <row r="511" customFormat="false" ht="15" hidden="false" customHeight="false" outlineLevel="0" collapsed="false">
      <c r="A511" s="8" t="s">
        <v>109</v>
      </c>
      <c r="B511" s="8" t="s">
        <v>339</v>
      </c>
      <c r="C511" s="26" t="n">
        <v>884</v>
      </c>
      <c r="D511" s="26" t="n">
        <v>461</v>
      </c>
      <c r="E511" s="39" t="n">
        <v>-47.622</v>
      </c>
      <c r="F511" s="29" t="n">
        <f aca="false">IF(D511=0,"",E511/D511)</f>
        <v>-0.103301518438178</v>
      </c>
      <c r="G511" s="26" t="n">
        <v>423</v>
      </c>
      <c r="H511" s="39" t="n">
        <v>8.202</v>
      </c>
      <c r="I511" s="29" t="n">
        <f aca="false">IF(G511=0,"",H511/G511)</f>
        <v>0.0193900709219858</v>
      </c>
      <c r="J511" s="26" t="n">
        <v>2</v>
      </c>
      <c r="K511" s="43" t="n">
        <v>0.3258</v>
      </c>
      <c r="L511" s="43" t="n">
        <v>0.5973</v>
      </c>
      <c r="M511" s="43" t="n">
        <v>0.483</v>
      </c>
      <c r="N511" s="43" t="n">
        <v>0.3756</v>
      </c>
      <c r="O511" s="43" t="n">
        <v>0.3258</v>
      </c>
      <c r="P511" s="26" t="n">
        <v>9</v>
      </c>
      <c r="Q511" s="26" t="n">
        <v>15</v>
      </c>
    </row>
    <row r="512" customFormat="false" ht="15" hidden="false" customHeight="false" outlineLevel="0" collapsed="false">
      <c r="A512" s="8" t="s">
        <v>109</v>
      </c>
      <c r="B512" s="8" t="s">
        <v>263</v>
      </c>
      <c r="C512" s="26" t="n">
        <v>884</v>
      </c>
      <c r="D512" s="26" t="n">
        <v>461</v>
      </c>
      <c r="E512" s="39" t="n">
        <v>-47.622</v>
      </c>
      <c r="F512" s="29" t="n">
        <f aca="false">IF(D512=0,"",E512/D512)</f>
        <v>-0.103301518438178</v>
      </c>
      <c r="G512" s="26" t="n">
        <v>423</v>
      </c>
      <c r="H512" s="39" t="n">
        <v>8.202</v>
      </c>
      <c r="I512" s="29" t="n">
        <f aca="false">IF(G512=0,"",H512/G512)</f>
        <v>0.0193900709219858</v>
      </c>
      <c r="J512" s="26" t="n">
        <v>2</v>
      </c>
      <c r="K512" s="43" t="n">
        <v>0.3258</v>
      </c>
      <c r="L512" s="43" t="n">
        <v>0.5973</v>
      </c>
      <c r="M512" s="43" t="n">
        <v>0.483</v>
      </c>
      <c r="N512" s="43" t="n">
        <v>0.3756</v>
      </c>
      <c r="O512" s="43" t="n">
        <v>0.3258</v>
      </c>
      <c r="P512" s="26" t="n">
        <v>9</v>
      </c>
      <c r="Q512" s="26" t="n">
        <v>15</v>
      </c>
    </row>
    <row r="513" customFormat="false" ht="15" hidden="false" customHeight="false" outlineLevel="0" collapsed="false">
      <c r="A513" s="8" t="s">
        <v>109</v>
      </c>
      <c r="B513" s="8" t="s">
        <v>265</v>
      </c>
      <c r="C513" s="26" t="n">
        <v>884</v>
      </c>
      <c r="D513" s="26" t="n">
        <v>461</v>
      </c>
      <c r="E513" s="39" t="n">
        <v>-47.622</v>
      </c>
      <c r="F513" s="29" t="n">
        <f aca="false">IF(D513=0,"",E513/D513)</f>
        <v>-0.103301518438178</v>
      </c>
      <c r="G513" s="26" t="n">
        <v>423</v>
      </c>
      <c r="H513" s="39" t="n">
        <v>8.202</v>
      </c>
      <c r="I513" s="29" t="n">
        <f aca="false">IF(G513=0,"",H513/G513)</f>
        <v>0.0193900709219858</v>
      </c>
      <c r="J513" s="26" t="n">
        <v>2</v>
      </c>
      <c r="K513" s="43" t="n">
        <v>0.3258</v>
      </c>
      <c r="L513" s="43" t="n">
        <v>0.5973</v>
      </c>
      <c r="M513" s="43" t="n">
        <v>0.483</v>
      </c>
      <c r="N513" s="43" t="n">
        <v>0.3756</v>
      </c>
      <c r="O513" s="43" t="n">
        <v>0.3258</v>
      </c>
      <c r="P513" s="26" t="n">
        <v>9</v>
      </c>
      <c r="Q513" s="26" t="n">
        <v>15</v>
      </c>
    </row>
    <row r="514" customFormat="false" ht="15" hidden="false" customHeight="false" outlineLevel="0" collapsed="false">
      <c r="A514" s="8" t="s">
        <v>109</v>
      </c>
      <c r="B514" s="8" t="s">
        <v>374</v>
      </c>
      <c r="C514" s="26" t="n">
        <v>885</v>
      </c>
      <c r="D514" s="26" t="n">
        <v>461</v>
      </c>
      <c r="E514" s="39" t="n">
        <v>-47.624</v>
      </c>
      <c r="F514" s="29" t="n">
        <f aca="false">IF(D514=0,"",E514/D514)</f>
        <v>-0.103305856832972</v>
      </c>
      <c r="G514" s="26" t="n">
        <v>424</v>
      </c>
      <c r="H514" s="39" t="n">
        <v>10.192</v>
      </c>
      <c r="I514" s="29" t="n">
        <f aca="false">IF(G514=0,"",H514/G514)</f>
        <v>0.0240377358490566</v>
      </c>
      <c r="J514" s="26" t="n">
        <v>2</v>
      </c>
      <c r="K514" s="43" t="n">
        <v>0.3266</v>
      </c>
      <c r="L514" s="43" t="n">
        <v>0.6011</v>
      </c>
      <c r="M514" s="43" t="n">
        <v>0.487</v>
      </c>
      <c r="N514" s="43" t="n">
        <v>0.3763</v>
      </c>
      <c r="O514" s="43" t="n">
        <v>0.3266</v>
      </c>
      <c r="P514" s="26" t="n">
        <v>9</v>
      </c>
      <c r="Q514" s="26" t="n">
        <v>15</v>
      </c>
    </row>
    <row r="515" customFormat="false" ht="15" hidden="false" customHeight="false" outlineLevel="0" collapsed="false">
      <c r="A515" s="8" t="s">
        <v>109</v>
      </c>
      <c r="B515" s="8" t="s">
        <v>296</v>
      </c>
      <c r="C515" s="26" t="n">
        <v>838</v>
      </c>
      <c r="D515" s="26" t="n">
        <v>439</v>
      </c>
      <c r="E515" s="39" t="n">
        <v>-45.909</v>
      </c>
      <c r="F515" s="29" t="n">
        <f aca="false">IF(D515=0,"",E515/D515)</f>
        <v>-0.104576309794989</v>
      </c>
      <c r="G515" s="26" t="n">
        <v>399</v>
      </c>
      <c r="H515" s="39" t="n">
        <v>17.562</v>
      </c>
      <c r="I515" s="29" t="n">
        <f aca="false">IF(G515=0,"",H515/G515)</f>
        <v>0.044015037593985</v>
      </c>
      <c r="J515" s="26" t="n">
        <v>2</v>
      </c>
      <c r="K515" s="43" t="n">
        <v>0.3294</v>
      </c>
      <c r="L515" s="43" t="n">
        <v>0.5943</v>
      </c>
      <c r="M515" s="43" t="n">
        <v>0.4905</v>
      </c>
      <c r="N515" s="43" t="n">
        <v>0.3831</v>
      </c>
      <c r="O515" s="43" t="n">
        <v>0.3294</v>
      </c>
      <c r="P515" s="26" t="n">
        <v>6</v>
      </c>
      <c r="Q515" s="26" t="n">
        <v>14</v>
      </c>
    </row>
    <row r="516" customFormat="false" ht="15" hidden="false" customHeight="false" outlineLevel="0" collapsed="false">
      <c r="A516" s="8" t="s">
        <v>109</v>
      </c>
      <c r="B516" s="8" t="s">
        <v>247</v>
      </c>
      <c r="C516" s="26" t="n">
        <v>500</v>
      </c>
      <c r="D516" s="26" t="n">
        <v>278</v>
      </c>
      <c r="E516" s="39" t="n">
        <v>-29.126</v>
      </c>
      <c r="F516" s="29" t="n">
        <f aca="false">IF(D516=0,"",E516/D516)</f>
        <v>-0.104769784172662</v>
      </c>
      <c r="G516" s="26" t="n">
        <v>222</v>
      </c>
      <c r="H516" s="39" t="n">
        <v>13.279</v>
      </c>
      <c r="I516" s="29" t="n">
        <f aca="false">IF(G516=0,"",H516/G516)</f>
        <v>0.0598153153153153</v>
      </c>
      <c r="J516" s="26" t="n">
        <v>3</v>
      </c>
      <c r="K516" s="43" t="n">
        <v>0.33</v>
      </c>
      <c r="L516" s="43" t="n">
        <v>0.58</v>
      </c>
      <c r="M516" s="43" t="n">
        <v>0.484</v>
      </c>
      <c r="N516" s="43" t="n">
        <v>0.382</v>
      </c>
      <c r="O516" s="43" t="n">
        <v>0.33</v>
      </c>
      <c r="P516" s="26" t="n">
        <v>5</v>
      </c>
      <c r="Q516" s="26" t="n">
        <v>14</v>
      </c>
    </row>
    <row r="517" customFormat="false" ht="15" hidden="false" customHeight="false" outlineLevel="0" collapsed="false">
      <c r="A517" s="8" t="s">
        <v>109</v>
      </c>
      <c r="B517" s="8" t="s">
        <v>364</v>
      </c>
      <c r="C517" s="26" t="n">
        <v>881</v>
      </c>
      <c r="D517" s="26" t="n">
        <v>465</v>
      </c>
      <c r="E517" s="39" t="n">
        <v>-48.735</v>
      </c>
      <c r="F517" s="29" t="n">
        <f aca="false">IF(D517=0,"",E517/D517)</f>
        <v>-0.104806451612903</v>
      </c>
      <c r="G517" s="26" t="n">
        <v>416</v>
      </c>
      <c r="H517" s="39" t="n">
        <v>0.289</v>
      </c>
      <c r="I517" s="29" t="n">
        <f aca="false">IF(G517=0,"",H517/G517)</f>
        <v>0.000694711538461538</v>
      </c>
      <c r="J517" s="26" t="n">
        <v>2</v>
      </c>
      <c r="K517" s="43" t="n">
        <v>0.3224</v>
      </c>
      <c r="L517" s="43" t="n">
        <v>0.5925</v>
      </c>
      <c r="M517" s="43" t="n">
        <v>0.4779</v>
      </c>
      <c r="N517" s="43" t="n">
        <v>0.378</v>
      </c>
      <c r="O517" s="43" t="n">
        <v>0.3224</v>
      </c>
      <c r="P517" s="26" t="n">
        <v>5</v>
      </c>
      <c r="Q517" s="26" t="n">
        <v>15</v>
      </c>
    </row>
    <row r="518" customFormat="false" ht="15" hidden="false" customHeight="false" outlineLevel="0" collapsed="false">
      <c r="A518" s="8" t="s">
        <v>109</v>
      </c>
      <c r="B518" s="8" t="s">
        <v>320</v>
      </c>
      <c r="C518" s="26" t="n">
        <v>1046</v>
      </c>
      <c r="D518" s="26" t="n">
        <v>532</v>
      </c>
      <c r="E518" s="39" t="n">
        <v>-56.018</v>
      </c>
      <c r="F518" s="29" t="n">
        <f aca="false">IF(D518=0,"",E518/D518)</f>
        <v>-0.105296992481203</v>
      </c>
      <c r="G518" s="26" t="n">
        <v>514</v>
      </c>
      <c r="H518" s="39" t="n">
        <v>8.836</v>
      </c>
      <c r="I518" s="29" t="n">
        <f aca="false">IF(G518=0,"",H518/G518)</f>
        <v>0.0171906614785992</v>
      </c>
      <c r="J518" s="26" t="n">
        <v>2</v>
      </c>
      <c r="K518" s="43" t="n">
        <v>0.479</v>
      </c>
      <c r="L518" s="43" t="n">
        <v>0.5851</v>
      </c>
      <c r="M518" s="43" t="n">
        <v>0.479</v>
      </c>
      <c r="N518" s="43" t="n">
        <v>0.217</v>
      </c>
      <c r="O518" s="43" t="n">
        <v>0.1501</v>
      </c>
      <c r="P518" s="26" t="n">
        <v>9</v>
      </c>
      <c r="Q518" s="26" t="n">
        <v>10</v>
      </c>
    </row>
    <row r="519" customFormat="false" ht="15" hidden="false" customHeight="false" outlineLevel="0" collapsed="false">
      <c r="A519" s="8" t="s">
        <v>109</v>
      </c>
      <c r="B519" s="8" t="s">
        <v>380</v>
      </c>
      <c r="C519" s="26" t="n">
        <v>779</v>
      </c>
      <c r="D519" s="26" t="n">
        <v>407</v>
      </c>
      <c r="E519" s="39" t="n">
        <v>-42.93</v>
      </c>
      <c r="F519" s="29" t="n">
        <f aca="false">IF(D519=0,"",E519/D519)</f>
        <v>-0.105479115479115</v>
      </c>
      <c r="G519" s="26" t="n">
        <v>372</v>
      </c>
      <c r="H519" s="39" t="n">
        <v>23.546</v>
      </c>
      <c r="I519" s="29" t="n">
        <f aca="false">IF(G519=0,"",H519/G519)</f>
        <v>0.0632956989247312</v>
      </c>
      <c r="J519" s="26" t="n">
        <v>3</v>
      </c>
      <c r="K519" s="43" t="n">
        <v>0.3325</v>
      </c>
      <c r="L519" s="43" t="n">
        <v>0.6072</v>
      </c>
      <c r="M519" s="43" t="n">
        <v>0.4891</v>
      </c>
      <c r="N519" s="43" t="n">
        <v>0.38</v>
      </c>
      <c r="O519" s="43" t="n">
        <v>0.3325</v>
      </c>
      <c r="P519" s="26" t="n">
        <v>9</v>
      </c>
      <c r="Q519" s="26" t="n">
        <v>14</v>
      </c>
    </row>
    <row r="520" customFormat="false" ht="15" hidden="false" customHeight="false" outlineLevel="0" collapsed="false">
      <c r="A520" s="8" t="s">
        <v>109</v>
      </c>
      <c r="B520" s="8" t="s">
        <v>278</v>
      </c>
      <c r="C520" s="26" t="n">
        <v>742</v>
      </c>
      <c r="D520" s="26" t="n">
        <v>388</v>
      </c>
      <c r="E520" s="39" t="n">
        <v>-41.196</v>
      </c>
      <c r="F520" s="29" t="n">
        <f aca="false">IF(D520=0,"",E520/D520)</f>
        <v>-0.106175257731959</v>
      </c>
      <c r="G520" s="26" t="n">
        <v>354</v>
      </c>
      <c r="H520" s="39" t="n">
        <v>14.766</v>
      </c>
      <c r="I520" s="29" t="n">
        <f aca="false">IF(G520=0,"",H520/G520)</f>
        <v>0.0417118644067797</v>
      </c>
      <c r="J520" s="26" t="n">
        <v>3</v>
      </c>
      <c r="K520" s="43" t="n">
        <v>0.3288</v>
      </c>
      <c r="L520" s="43" t="n">
        <v>0.5916</v>
      </c>
      <c r="M520" s="43" t="n">
        <v>0.4825</v>
      </c>
      <c r="N520" s="43" t="n">
        <v>0.3787</v>
      </c>
      <c r="O520" s="43" t="n">
        <v>0.3288</v>
      </c>
      <c r="P520" s="26" t="n">
        <v>8</v>
      </c>
      <c r="Q520" s="26" t="n">
        <v>13</v>
      </c>
    </row>
    <row r="521" customFormat="false" ht="15" hidden="false" customHeight="false" outlineLevel="0" collapsed="false">
      <c r="A521" s="8" t="s">
        <v>109</v>
      </c>
      <c r="B521" s="8" t="s">
        <v>361</v>
      </c>
      <c r="C521" s="26" t="n">
        <v>900</v>
      </c>
      <c r="D521" s="26" t="n">
        <v>469</v>
      </c>
      <c r="E521" s="39" t="n">
        <v>-49.864</v>
      </c>
      <c r="F521" s="29" t="n">
        <f aca="false">IF(D521=0,"",E521/D521)</f>
        <v>-0.106319829424307</v>
      </c>
      <c r="G521" s="26" t="n">
        <v>431</v>
      </c>
      <c r="H521" s="39" t="n">
        <v>15.149</v>
      </c>
      <c r="I521" s="29" t="n">
        <f aca="false">IF(G521=0,"",H521/G521)</f>
        <v>0.0351484918793503</v>
      </c>
      <c r="J521" s="26" t="n">
        <v>2</v>
      </c>
      <c r="K521" s="43" t="n">
        <v>0.3278</v>
      </c>
      <c r="L521" s="43" t="n">
        <v>0.6</v>
      </c>
      <c r="M521" s="43" t="n">
        <v>0.4856</v>
      </c>
      <c r="N521" s="43" t="n">
        <v>0.3811</v>
      </c>
      <c r="O521" s="43" t="n">
        <v>0.3278</v>
      </c>
      <c r="P521" s="26" t="n">
        <v>9</v>
      </c>
      <c r="Q521" s="26" t="n">
        <v>15</v>
      </c>
    </row>
    <row r="522" customFormat="false" ht="15" hidden="false" customHeight="false" outlineLevel="0" collapsed="false">
      <c r="A522" s="8" t="s">
        <v>109</v>
      </c>
      <c r="B522" s="8" t="s">
        <v>299</v>
      </c>
      <c r="C522" s="26" t="n">
        <v>674</v>
      </c>
      <c r="D522" s="26" t="n">
        <v>346</v>
      </c>
      <c r="E522" s="39" t="n">
        <v>-37.002</v>
      </c>
      <c r="F522" s="29" t="n">
        <f aca="false">IF(D522=0,"",E522/D522)</f>
        <v>-0.106942196531792</v>
      </c>
      <c r="G522" s="26" t="n">
        <v>328</v>
      </c>
      <c r="H522" s="39" t="n">
        <v>28.998</v>
      </c>
      <c r="I522" s="29" t="n">
        <f aca="false">IF(G522=0,"",H522/G522)</f>
        <v>0.0884085365853659</v>
      </c>
      <c r="J522" s="26" t="n">
        <v>3</v>
      </c>
      <c r="K522" s="43" t="n">
        <v>0.3368</v>
      </c>
      <c r="L522" s="43" t="n">
        <v>0.6053</v>
      </c>
      <c r="M522" s="43" t="n">
        <v>0.4926</v>
      </c>
      <c r="N522" s="43" t="n">
        <v>0.3783</v>
      </c>
      <c r="O522" s="43" t="n">
        <v>0.3368</v>
      </c>
      <c r="P522" s="26" t="n">
        <v>8</v>
      </c>
      <c r="Q522" s="26" t="n">
        <v>12</v>
      </c>
    </row>
    <row r="523" customFormat="false" ht="15" hidden="false" customHeight="false" outlineLevel="0" collapsed="false">
      <c r="A523" s="8" t="s">
        <v>109</v>
      </c>
      <c r="B523" s="8" t="s">
        <v>346</v>
      </c>
      <c r="C523" s="26" t="n">
        <v>895</v>
      </c>
      <c r="D523" s="26" t="n">
        <v>466</v>
      </c>
      <c r="E523" s="39" t="n">
        <v>-49.935</v>
      </c>
      <c r="F523" s="29" t="n">
        <f aca="false">IF(D523=0,"",E523/D523)</f>
        <v>-0.107156652360515</v>
      </c>
      <c r="G523" s="26" t="n">
        <v>429</v>
      </c>
      <c r="H523" s="39" t="n">
        <v>11.143</v>
      </c>
      <c r="I523" s="29" t="n">
        <f aca="false">IF(G523=0,"",H523/G523)</f>
        <v>0.025974358974359</v>
      </c>
      <c r="J523" s="26" t="n">
        <v>2</v>
      </c>
      <c r="K523" s="43" t="n">
        <v>0.3263</v>
      </c>
      <c r="L523" s="43" t="n">
        <v>0.5966</v>
      </c>
      <c r="M523" s="43" t="n">
        <v>0.4838</v>
      </c>
      <c r="N523" s="43" t="n">
        <v>0.3743</v>
      </c>
      <c r="O523" s="43" t="n">
        <v>0.3263</v>
      </c>
      <c r="P523" s="26" t="n">
        <v>9</v>
      </c>
      <c r="Q523" s="26" t="n">
        <v>15</v>
      </c>
    </row>
    <row r="524" customFormat="false" ht="15" hidden="false" customHeight="false" outlineLevel="0" collapsed="false">
      <c r="A524" s="8" t="s">
        <v>109</v>
      </c>
      <c r="B524" s="8" t="s">
        <v>345</v>
      </c>
      <c r="C524" s="26" t="n">
        <v>895</v>
      </c>
      <c r="D524" s="26" t="n">
        <v>466</v>
      </c>
      <c r="E524" s="39" t="n">
        <v>-49.935</v>
      </c>
      <c r="F524" s="29" t="n">
        <f aca="false">IF(D524=0,"",E524/D524)</f>
        <v>-0.107156652360515</v>
      </c>
      <c r="G524" s="26" t="n">
        <v>429</v>
      </c>
      <c r="H524" s="39" t="n">
        <v>11.143</v>
      </c>
      <c r="I524" s="29" t="n">
        <f aca="false">IF(G524=0,"",H524/G524)</f>
        <v>0.025974358974359</v>
      </c>
      <c r="J524" s="26" t="n">
        <v>2</v>
      </c>
      <c r="K524" s="43" t="n">
        <v>0.3263</v>
      </c>
      <c r="L524" s="43" t="n">
        <v>0.5966</v>
      </c>
      <c r="M524" s="43" t="n">
        <v>0.4838</v>
      </c>
      <c r="N524" s="43" t="n">
        <v>0.3743</v>
      </c>
      <c r="O524" s="43" t="n">
        <v>0.3263</v>
      </c>
      <c r="P524" s="26" t="n">
        <v>9</v>
      </c>
      <c r="Q524" s="26" t="n">
        <v>15</v>
      </c>
    </row>
    <row r="525" customFormat="false" ht="15" hidden="false" customHeight="false" outlineLevel="0" collapsed="false">
      <c r="A525" s="8" t="s">
        <v>109</v>
      </c>
      <c r="B525" s="8" t="s">
        <v>377</v>
      </c>
      <c r="C525" s="26" t="n">
        <v>1203</v>
      </c>
      <c r="D525" s="26" t="n">
        <v>612</v>
      </c>
      <c r="E525" s="39" t="n">
        <v>-66.129</v>
      </c>
      <c r="F525" s="29" t="n">
        <f aca="false">IF(D525=0,"",E525/D525)</f>
        <v>-0.108053921568627</v>
      </c>
      <c r="G525" s="26" t="n">
        <v>591</v>
      </c>
      <c r="H525" s="39" t="n">
        <v>-36.186</v>
      </c>
      <c r="I525" s="29" t="n">
        <f aca="false">IF(G525=0,"",H525/G525)</f>
        <v>-0.0612284263959391</v>
      </c>
      <c r="J525" s="26" t="n">
        <v>0</v>
      </c>
      <c r="K525" s="43" t="n">
        <v>0.5852</v>
      </c>
      <c r="L525" s="43" t="n">
        <v>0.5852</v>
      </c>
      <c r="M525" s="43" t="n">
        <v>0</v>
      </c>
      <c r="N525" s="43" t="n">
        <v>0</v>
      </c>
      <c r="O525" s="43" t="n">
        <v>0</v>
      </c>
      <c r="P525" s="26" t="n">
        <v>10</v>
      </c>
      <c r="Q525" s="26" t="n">
        <v>6</v>
      </c>
    </row>
    <row r="526" customFormat="false" ht="15" hidden="false" customHeight="false" outlineLevel="0" collapsed="false">
      <c r="A526" s="8" t="s">
        <v>109</v>
      </c>
      <c r="B526" s="8" t="s">
        <v>384</v>
      </c>
      <c r="C526" s="26" t="n">
        <v>810</v>
      </c>
      <c r="D526" s="26" t="n">
        <v>418</v>
      </c>
      <c r="E526" s="39" t="n">
        <v>-45.339</v>
      </c>
      <c r="F526" s="29" t="n">
        <f aca="false">IF(D526=0,"",E526/D526)</f>
        <v>-0.108466507177033</v>
      </c>
      <c r="G526" s="26" t="n">
        <v>392</v>
      </c>
      <c r="H526" s="39" t="n">
        <v>0.413</v>
      </c>
      <c r="I526" s="29" t="n">
        <f aca="false">IF(G526=0,"",H526/G526)</f>
        <v>0.00105357142857143</v>
      </c>
      <c r="J526" s="26" t="n">
        <v>3</v>
      </c>
      <c r="K526" s="43" t="n">
        <v>0.3222</v>
      </c>
      <c r="L526" s="43" t="n">
        <v>0.6025</v>
      </c>
      <c r="M526" s="43" t="n">
        <v>0.479</v>
      </c>
      <c r="N526" s="43" t="n">
        <v>0.3704</v>
      </c>
      <c r="O526" s="43" t="n">
        <v>0.3222</v>
      </c>
      <c r="P526" s="26" t="n">
        <v>9</v>
      </c>
      <c r="Q526" s="26" t="n">
        <v>15</v>
      </c>
    </row>
    <row r="527" customFormat="false" ht="15" hidden="false" customHeight="false" outlineLevel="0" collapsed="false">
      <c r="A527" s="8" t="s">
        <v>109</v>
      </c>
      <c r="B527" s="8" t="s">
        <v>309</v>
      </c>
      <c r="C527" s="26" t="n">
        <v>763</v>
      </c>
      <c r="D527" s="26" t="n">
        <v>389</v>
      </c>
      <c r="E527" s="39" t="n">
        <v>-42.236</v>
      </c>
      <c r="F527" s="29" t="n">
        <f aca="false">IF(D527=0,"",E527/D527)</f>
        <v>-0.108575835475578</v>
      </c>
      <c r="G527" s="26" t="n">
        <v>374</v>
      </c>
      <c r="H527" s="39" t="n">
        <v>9.638</v>
      </c>
      <c r="I527" s="29" t="n">
        <f aca="false">IF(G527=0,"",H527/G527)</f>
        <v>0.0257700534759358</v>
      </c>
      <c r="J527" s="26" t="n">
        <v>2</v>
      </c>
      <c r="K527" s="43" t="n">
        <v>0.3263</v>
      </c>
      <c r="L527" s="43" t="n">
        <v>0.6055</v>
      </c>
      <c r="M527" s="43" t="n">
        <v>0.4889</v>
      </c>
      <c r="N527" s="43" t="n">
        <v>0.3775</v>
      </c>
      <c r="O527" s="43" t="n">
        <v>0.3263</v>
      </c>
      <c r="P527" s="26" t="n">
        <v>9</v>
      </c>
      <c r="Q527" s="26" t="n">
        <v>14</v>
      </c>
    </row>
    <row r="528" customFormat="false" ht="15" hidden="false" customHeight="false" outlineLevel="0" collapsed="false">
      <c r="A528" s="8" t="s">
        <v>109</v>
      </c>
      <c r="B528" s="8" t="s">
        <v>280</v>
      </c>
      <c r="C528" s="26" t="n">
        <v>560</v>
      </c>
      <c r="D528" s="26" t="n">
        <v>285</v>
      </c>
      <c r="E528" s="39" t="n">
        <v>-31.055</v>
      </c>
      <c r="F528" s="29" t="n">
        <f aca="false">IF(D528=0,"",E528/D528)</f>
        <v>-0.108964912280702</v>
      </c>
      <c r="G528" s="26" t="n">
        <v>275</v>
      </c>
      <c r="H528" s="39" t="n">
        <v>37.442</v>
      </c>
      <c r="I528" s="29" t="n">
        <f aca="false">IF(G528=0,"",H528/G528)</f>
        <v>0.136152727272727</v>
      </c>
      <c r="J528" s="26" t="n">
        <v>3</v>
      </c>
      <c r="K528" s="43" t="n">
        <v>0.3446</v>
      </c>
      <c r="L528" s="43" t="n">
        <v>0.6054</v>
      </c>
      <c r="M528" s="43" t="n">
        <v>0.5018</v>
      </c>
      <c r="N528" s="43" t="n">
        <v>0.3839</v>
      </c>
      <c r="O528" s="43" t="n">
        <v>0.3446</v>
      </c>
      <c r="P528" s="26" t="n">
        <v>5</v>
      </c>
      <c r="Q528" s="26" t="n">
        <v>12</v>
      </c>
    </row>
    <row r="529" customFormat="false" ht="15" hidden="false" customHeight="false" outlineLevel="0" collapsed="false">
      <c r="A529" s="8" t="s">
        <v>109</v>
      </c>
      <c r="B529" s="8" t="s">
        <v>367</v>
      </c>
      <c r="C529" s="26" t="n">
        <v>886</v>
      </c>
      <c r="D529" s="26" t="n">
        <v>461</v>
      </c>
      <c r="E529" s="39" t="n">
        <v>-50.944</v>
      </c>
      <c r="F529" s="29" t="n">
        <f aca="false">IF(D529=0,"",E529/D529)</f>
        <v>-0.110507592190889</v>
      </c>
      <c r="G529" s="26" t="n">
        <v>425</v>
      </c>
      <c r="H529" s="39" t="n">
        <v>3.103</v>
      </c>
      <c r="I529" s="29" t="n">
        <f aca="false">IF(G529=0,"",H529/G529)</f>
        <v>0.00730117647058824</v>
      </c>
      <c r="J529" s="26" t="n">
        <v>2</v>
      </c>
      <c r="K529" s="43" t="n">
        <v>0.3228</v>
      </c>
      <c r="L529" s="43" t="n">
        <v>0.5903</v>
      </c>
      <c r="M529" s="43" t="n">
        <v>0.4763</v>
      </c>
      <c r="N529" s="43" t="n">
        <v>0.3713</v>
      </c>
      <c r="O529" s="43" t="n">
        <v>0.3228</v>
      </c>
      <c r="P529" s="26" t="n">
        <v>8</v>
      </c>
      <c r="Q529" s="26" t="n">
        <v>15</v>
      </c>
    </row>
    <row r="530" customFormat="false" ht="15" hidden="false" customHeight="false" outlineLevel="0" collapsed="false">
      <c r="A530" s="8" t="s">
        <v>109</v>
      </c>
      <c r="B530" s="8" t="s">
        <v>306</v>
      </c>
      <c r="C530" s="26" t="n">
        <v>822</v>
      </c>
      <c r="D530" s="26" t="n">
        <v>436</v>
      </c>
      <c r="E530" s="39" t="n">
        <v>-48.733</v>
      </c>
      <c r="F530" s="29" t="n">
        <f aca="false">IF(D530=0,"",E530/D530)</f>
        <v>-0.111772935779817</v>
      </c>
      <c r="G530" s="26" t="n">
        <v>386</v>
      </c>
      <c r="H530" s="39" t="n">
        <v>-5.45</v>
      </c>
      <c r="I530" s="29" t="n">
        <f aca="false">IF(G530=0,"",H530/G530)</f>
        <v>-0.014119170984456</v>
      </c>
      <c r="J530" s="26" t="n">
        <v>2</v>
      </c>
      <c r="K530" s="43" t="n">
        <v>0.3187</v>
      </c>
      <c r="L530" s="43" t="n">
        <v>0.5864</v>
      </c>
      <c r="M530" s="43" t="n">
        <v>0.4672</v>
      </c>
      <c r="N530" s="43" t="n">
        <v>0.3613</v>
      </c>
      <c r="O530" s="43" t="n">
        <v>0.3187</v>
      </c>
      <c r="P530" s="26" t="n">
        <v>5</v>
      </c>
      <c r="Q530" s="26" t="n">
        <v>18</v>
      </c>
    </row>
    <row r="531" customFormat="false" ht="15" hidden="false" customHeight="false" outlineLevel="0" collapsed="false">
      <c r="A531" s="8" t="s">
        <v>109</v>
      </c>
      <c r="B531" s="8" t="s">
        <v>357</v>
      </c>
      <c r="C531" s="26" t="n">
        <v>877</v>
      </c>
      <c r="D531" s="26" t="n">
        <v>459</v>
      </c>
      <c r="E531" s="39" t="n">
        <v>-51.44</v>
      </c>
      <c r="F531" s="29" t="n">
        <f aca="false">IF(D531=0,"",E531/D531)</f>
        <v>-0.112069716775599</v>
      </c>
      <c r="G531" s="26" t="n">
        <v>418</v>
      </c>
      <c r="H531" s="39" t="n">
        <v>10.294</v>
      </c>
      <c r="I531" s="29" t="n">
        <f aca="false">IF(G531=0,"",H531/G531)</f>
        <v>0.0246267942583732</v>
      </c>
      <c r="J531" s="26" t="n">
        <v>2</v>
      </c>
      <c r="K531" s="43" t="n">
        <v>0.325</v>
      </c>
      <c r="L531" s="43" t="n">
        <v>0.5964</v>
      </c>
      <c r="M531" s="43" t="n">
        <v>0.4812</v>
      </c>
      <c r="N531" s="43" t="n">
        <v>0.374</v>
      </c>
      <c r="O531" s="43" t="n">
        <v>0.325</v>
      </c>
      <c r="P531" s="26" t="n">
        <v>9</v>
      </c>
      <c r="Q531" s="26" t="n">
        <v>14</v>
      </c>
    </row>
    <row r="532" customFormat="false" ht="15" hidden="false" customHeight="false" outlineLevel="0" collapsed="false">
      <c r="A532" s="8" t="s">
        <v>109</v>
      </c>
      <c r="B532" s="8" t="s">
        <v>284</v>
      </c>
      <c r="C532" s="26" t="n">
        <v>886</v>
      </c>
      <c r="D532" s="26" t="n">
        <v>463</v>
      </c>
      <c r="E532" s="39" t="n">
        <v>-52.595</v>
      </c>
      <c r="F532" s="29" t="n">
        <f aca="false">IF(D532=0,"",E532/D532)</f>
        <v>-0.113596112311015</v>
      </c>
      <c r="G532" s="26" t="n">
        <v>423</v>
      </c>
      <c r="H532" s="39" t="n">
        <v>5.347</v>
      </c>
      <c r="I532" s="29" t="n">
        <f aca="false">IF(G532=0,"",H532/G532)</f>
        <v>0.0126406619385343</v>
      </c>
      <c r="J532" s="26" t="n">
        <v>2</v>
      </c>
      <c r="K532" s="43" t="n">
        <v>0.3228</v>
      </c>
      <c r="L532" s="43" t="n">
        <v>0.5993</v>
      </c>
      <c r="M532" s="43" t="n">
        <v>0.4853</v>
      </c>
      <c r="N532" s="43" t="n">
        <v>0.3837</v>
      </c>
      <c r="O532" s="43" t="n">
        <v>0.3228</v>
      </c>
      <c r="P532" s="26" t="n">
        <v>5</v>
      </c>
      <c r="Q532" s="26" t="n">
        <v>15</v>
      </c>
    </row>
    <row r="533" customFormat="false" ht="15" hidden="false" customHeight="false" outlineLevel="0" collapsed="false">
      <c r="A533" s="8" t="s">
        <v>109</v>
      </c>
      <c r="B533" s="8" t="s">
        <v>310</v>
      </c>
      <c r="C533" s="26" t="n">
        <v>893</v>
      </c>
      <c r="D533" s="26" t="n">
        <v>463</v>
      </c>
      <c r="E533" s="39" t="n">
        <v>-52.715</v>
      </c>
      <c r="F533" s="29" t="n">
        <f aca="false">IF(D533=0,"",E533/D533)</f>
        <v>-0.113855291576674</v>
      </c>
      <c r="G533" s="26" t="n">
        <v>430</v>
      </c>
      <c r="H533" s="39" t="n">
        <v>16.145</v>
      </c>
      <c r="I533" s="29" t="n">
        <f aca="false">IF(G533=0,"",H533/G533)</f>
        <v>0.037546511627907</v>
      </c>
      <c r="J533" s="26" t="n">
        <v>2</v>
      </c>
      <c r="K533" s="43" t="n">
        <v>0.327</v>
      </c>
      <c r="L533" s="43" t="n">
        <v>0.5946</v>
      </c>
      <c r="M533" s="43" t="n">
        <v>0.4815</v>
      </c>
      <c r="N533" s="43" t="n">
        <v>0.3763</v>
      </c>
      <c r="O533" s="43" t="n">
        <v>0.327</v>
      </c>
      <c r="P533" s="26" t="n">
        <v>6</v>
      </c>
      <c r="Q533" s="26" t="n">
        <v>15</v>
      </c>
    </row>
    <row r="534" customFormat="false" ht="15" hidden="false" customHeight="false" outlineLevel="0" collapsed="false">
      <c r="A534" s="8" t="s">
        <v>109</v>
      </c>
      <c r="B534" s="8" t="s">
        <v>321</v>
      </c>
      <c r="C534" s="26" t="n">
        <v>888</v>
      </c>
      <c r="D534" s="26" t="n">
        <v>460</v>
      </c>
      <c r="E534" s="39" t="n">
        <v>-52.533</v>
      </c>
      <c r="F534" s="29" t="n">
        <f aca="false">IF(D534=0,"",E534/D534)</f>
        <v>-0.114202173913043</v>
      </c>
      <c r="G534" s="26" t="n">
        <v>428</v>
      </c>
      <c r="H534" s="39" t="n">
        <v>12.188</v>
      </c>
      <c r="I534" s="29" t="n">
        <f aca="false">IF(G534=0,"",H534/G534)</f>
        <v>0.0284766355140187</v>
      </c>
      <c r="J534" s="26" t="n">
        <v>2</v>
      </c>
      <c r="K534" s="43" t="n">
        <v>0.3255</v>
      </c>
      <c r="L534" s="43" t="n">
        <v>0.5923</v>
      </c>
      <c r="M534" s="43" t="n">
        <v>0.4809</v>
      </c>
      <c r="N534" s="43" t="n">
        <v>0.3727</v>
      </c>
      <c r="O534" s="43" t="n">
        <v>0.3255</v>
      </c>
      <c r="P534" s="26" t="n">
        <v>9</v>
      </c>
      <c r="Q534" s="26" t="n">
        <v>15</v>
      </c>
    </row>
    <row r="535" customFormat="false" ht="15" hidden="false" customHeight="false" outlineLevel="0" collapsed="false">
      <c r="A535" s="8" t="s">
        <v>109</v>
      </c>
      <c r="B535" s="8" t="s">
        <v>331</v>
      </c>
      <c r="C535" s="26" t="n">
        <v>886</v>
      </c>
      <c r="D535" s="26" t="n">
        <v>460</v>
      </c>
      <c r="E535" s="39" t="n">
        <v>-52.543</v>
      </c>
      <c r="F535" s="29" t="n">
        <f aca="false">IF(D535=0,"",E535/D535)</f>
        <v>-0.114223913043478</v>
      </c>
      <c r="G535" s="26" t="n">
        <v>426</v>
      </c>
      <c r="H535" s="39" t="n">
        <v>8.191</v>
      </c>
      <c r="I535" s="29" t="n">
        <f aca="false">IF(G535=0,"",H535/G535)</f>
        <v>0.0192276995305164</v>
      </c>
      <c r="J535" s="26" t="n">
        <v>2</v>
      </c>
      <c r="K535" s="43" t="n">
        <v>0.3239</v>
      </c>
      <c r="L535" s="43" t="n">
        <v>0.5959</v>
      </c>
      <c r="M535" s="43" t="n">
        <v>0.4808</v>
      </c>
      <c r="N535" s="43" t="n">
        <v>0.3725</v>
      </c>
      <c r="O535" s="43" t="n">
        <v>0.3239</v>
      </c>
      <c r="P535" s="26" t="n">
        <v>9</v>
      </c>
      <c r="Q535" s="26" t="n">
        <v>15</v>
      </c>
    </row>
    <row r="536" customFormat="false" ht="15" hidden="false" customHeight="false" outlineLevel="0" collapsed="false">
      <c r="A536" s="8" t="s">
        <v>109</v>
      </c>
      <c r="B536" s="8" t="s">
        <v>376</v>
      </c>
      <c r="C536" s="26" t="n">
        <v>920</v>
      </c>
      <c r="D536" s="26" t="n">
        <v>473</v>
      </c>
      <c r="E536" s="39" t="n">
        <v>-54.031</v>
      </c>
      <c r="F536" s="29" t="n">
        <f aca="false">IF(D536=0,"",E536/D536)</f>
        <v>-0.11423044397463</v>
      </c>
      <c r="G536" s="26" t="n">
        <v>447</v>
      </c>
      <c r="H536" s="39" t="n">
        <v>8.027</v>
      </c>
      <c r="I536" s="29" t="n">
        <f aca="false">IF(G536=0,"",H536/G536)</f>
        <v>0.0179574944071588</v>
      </c>
      <c r="J536" s="26" t="n">
        <v>2</v>
      </c>
      <c r="K536" s="43" t="n">
        <v>0.3239</v>
      </c>
      <c r="L536" s="43" t="n">
        <v>0.5957</v>
      </c>
      <c r="M536" s="43" t="n">
        <v>0.4826</v>
      </c>
      <c r="N536" s="43" t="n">
        <v>0.3783</v>
      </c>
      <c r="O536" s="43" t="n">
        <v>0.3239</v>
      </c>
      <c r="P536" s="26" t="n">
        <v>4</v>
      </c>
      <c r="Q536" s="26" t="n">
        <v>15</v>
      </c>
    </row>
    <row r="537" customFormat="false" ht="15" hidden="false" customHeight="false" outlineLevel="0" collapsed="false">
      <c r="A537" s="8" t="s">
        <v>109</v>
      </c>
      <c r="B537" s="8" t="s">
        <v>371</v>
      </c>
      <c r="C537" s="26" t="n">
        <v>864</v>
      </c>
      <c r="D537" s="26" t="n">
        <v>448</v>
      </c>
      <c r="E537" s="39" t="n">
        <v>-52.056</v>
      </c>
      <c r="F537" s="29" t="n">
        <f aca="false">IF(D537=0,"",E537/D537)</f>
        <v>-0.116196428571429</v>
      </c>
      <c r="G537" s="26" t="n">
        <v>416</v>
      </c>
      <c r="H537" s="39" t="n">
        <v>6.279</v>
      </c>
      <c r="I537" s="29" t="n">
        <f aca="false">IF(G537=0,"",H537/G537)</f>
        <v>0.01509375</v>
      </c>
      <c r="J537" s="26" t="n">
        <v>2</v>
      </c>
      <c r="K537" s="43" t="n">
        <v>0.3229</v>
      </c>
      <c r="L537" s="43" t="n">
        <v>0.5914</v>
      </c>
      <c r="M537" s="43" t="n">
        <v>0.4803</v>
      </c>
      <c r="N537" s="43" t="n">
        <v>0.375</v>
      </c>
      <c r="O537" s="43" t="n">
        <v>0.3229</v>
      </c>
      <c r="P537" s="26" t="n">
        <v>9</v>
      </c>
      <c r="Q537" s="26" t="n">
        <v>15</v>
      </c>
    </row>
    <row r="538" customFormat="false" ht="15" hidden="false" customHeight="false" outlineLevel="0" collapsed="false">
      <c r="A538" s="8" t="s">
        <v>109</v>
      </c>
      <c r="B538" s="8" t="s">
        <v>313</v>
      </c>
      <c r="C538" s="26" t="n">
        <v>865</v>
      </c>
      <c r="D538" s="26" t="n">
        <v>452</v>
      </c>
      <c r="E538" s="39" t="n">
        <v>-53.288</v>
      </c>
      <c r="F538" s="29" t="n">
        <f aca="false">IF(D538=0,"",E538/D538)</f>
        <v>-0.117893805309735</v>
      </c>
      <c r="G538" s="26" t="n">
        <v>413</v>
      </c>
      <c r="H538" s="39" t="n">
        <v>12.373</v>
      </c>
      <c r="I538" s="29" t="n">
        <f aca="false">IF(G538=0,"",H538/G538)</f>
        <v>0.0299588377723971</v>
      </c>
      <c r="J538" s="26" t="n">
        <v>2</v>
      </c>
      <c r="K538" s="43" t="n">
        <v>0.3249</v>
      </c>
      <c r="L538" s="43" t="n">
        <v>0.5873</v>
      </c>
      <c r="M538" s="43" t="n">
        <v>0.4798</v>
      </c>
      <c r="N538" s="43" t="n">
        <v>0.3769</v>
      </c>
      <c r="O538" s="43" t="n">
        <v>0.3249</v>
      </c>
      <c r="P538" s="26" t="n">
        <v>5</v>
      </c>
      <c r="Q538" s="26" t="n">
        <v>15</v>
      </c>
    </row>
    <row r="539" customFormat="false" ht="15" hidden="false" customHeight="false" outlineLevel="0" collapsed="false">
      <c r="A539" s="8" t="s">
        <v>109</v>
      </c>
      <c r="B539" s="8" t="s">
        <v>328</v>
      </c>
      <c r="C539" s="26" t="n">
        <v>979</v>
      </c>
      <c r="D539" s="26" t="n">
        <v>504</v>
      </c>
      <c r="E539" s="39" t="n">
        <v>-61.138</v>
      </c>
      <c r="F539" s="29" t="n">
        <f aca="false">IF(D539=0,"",E539/D539)</f>
        <v>-0.121305555555556</v>
      </c>
      <c r="G539" s="26" t="n">
        <v>475</v>
      </c>
      <c r="H539" s="39" t="n">
        <v>13.799</v>
      </c>
      <c r="I539" s="29" t="n">
        <f aca="false">IF(G539=0,"",H539/G539)</f>
        <v>0.0290505263157895</v>
      </c>
      <c r="J539" s="26" t="n">
        <v>3</v>
      </c>
      <c r="K539" s="43" t="n">
        <v>0.2492</v>
      </c>
      <c r="L539" s="43" t="n">
        <v>0.5843</v>
      </c>
      <c r="M539" s="43" t="n">
        <v>0.475</v>
      </c>
      <c r="N539" s="43" t="n">
        <v>0.3064</v>
      </c>
      <c r="O539" s="43" t="n">
        <v>0.2492</v>
      </c>
      <c r="P539" s="26" t="n">
        <v>4</v>
      </c>
      <c r="Q539" s="26" t="n">
        <v>10</v>
      </c>
    </row>
    <row r="540" customFormat="false" ht="15" hidden="false" customHeight="false" outlineLevel="0" collapsed="false">
      <c r="A540" s="8" t="s">
        <v>109</v>
      </c>
      <c r="B540" s="8" t="s">
        <v>298</v>
      </c>
      <c r="C540" s="26" t="n">
        <v>751</v>
      </c>
      <c r="D540" s="26" t="n">
        <v>399</v>
      </c>
      <c r="E540" s="39" t="n">
        <v>-48.458</v>
      </c>
      <c r="F540" s="29" t="n">
        <f aca="false">IF(D540=0,"",E540/D540)</f>
        <v>-0.121448621553885</v>
      </c>
      <c r="G540" s="26" t="n">
        <v>352</v>
      </c>
      <c r="H540" s="39" t="n">
        <v>4.9</v>
      </c>
      <c r="I540" s="29" t="n">
        <f aca="false">IF(G540=0,"",H540/G540)</f>
        <v>0.0139204545454545</v>
      </c>
      <c r="J540" s="26" t="n">
        <v>2</v>
      </c>
      <c r="K540" s="43" t="n">
        <v>0.241</v>
      </c>
      <c r="L540" s="43" t="n">
        <v>0.5952</v>
      </c>
      <c r="M540" s="43" t="n">
        <v>0.4807</v>
      </c>
      <c r="N540" s="43" t="n">
        <v>0.3728</v>
      </c>
      <c r="O540" s="43" t="n">
        <v>0.241</v>
      </c>
      <c r="P540" s="26" t="n">
        <v>4</v>
      </c>
      <c r="Q540" s="26" t="n">
        <v>17</v>
      </c>
    </row>
    <row r="541" customFormat="false" ht="15" hidden="false" customHeight="false" outlineLevel="0" collapsed="false">
      <c r="A541" s="8" t="s">
        <v>109</v>
      </c>
      <c r="B541" s="8" t="s">
        <v>283</v>
      </c>
      <c r="C541" s="26" t="n">
        <v>790</v>
      </c>
      <c r="D541" s="26" t="n">
        <v>414</v>
      </c>
      <c r="E541" s="39" t="n">
        <v>-50.344</v>
      </c>
      <c r="F541" s="29" t="n">
        <f aca="false">IF(D541=0,"",E541/D541)</f>
        <v>-0.1216038647343</v>
      </c>
      <c r="G541" s="26" t="n">
        <v>376</v>
      </c>
      <c r="H541" s="39" t="n">
        <v>7.543</v>
      </c>
      <c r="I541" s="29" t="n">
        <f aca="false">IF(G541=0,"",H541/G541)</f>
        <v>0.020061170212766</v>
      </c>
      <c r="J541" s="26" t="n">
        <v>2</v>
      </c>
      <c r="K541" s="43" t="n">
        <v>0.3228</v>
      </c>
      <c r="L541" s="43" t="n">
        <v>0.5937</v>
      </c>
      <c r="M541" s="43" t="n">
        <v>0.4772</v>
      </c>
      <c r="N541" s="43" t="n">
        <v>0.3734</v>
      </c>
      <c r="O541" s="43" t="n">
        <v>0.3228</v>
      </c>
      <c r="P541" s="26" t="n">
        <v>8</v>
      </c>
      <c r="Q541" s="26" t="n">
        <v>16</v>
      </c>
    </row>
    <row r="542" customFormat="false" ht="15" hidden="false" customHeight="false" outlineLevel="0" collapsed="false">
      <c r="A542" s="8" t="s">
        <v>109</v>
      </c>
      <c r="B542" s="8" t="s">
        <v>292</v>
      </c>
      <c r="C542" s="26" t="n">
        <v>778</v>
      </c>
      <c r="D542" s="26" t="n">
        <v>408</v>
      </c>
      <c r="E542" s="39" t="n">
        <v>-49.638</v>
      </c>
      <c r="F542" s="29" t="n">
        <f aca="false">IF(D542=0,"",E542/D542)</f>
        <v>-0.121661764705882</v>
      </c>
      <c r="G542" s="26" t="n">
        <v>370</v>
      </c>
      <c r="H542" s="39" t="n">
        <v>40.79</v>
      </c>
      <c r="I542" s="29" t="n">
        <f aca="false">IF(G542=0,"",H542/G542)</f>
        <v>0.110243243243243</v>
      </c>
      <c r="J542" s="26" t="n">
        <v>3</v>
      </c>
      <c r="K542" s="43" t="n">
        <v>0.3368</v>
      </c>
      <c r="L542" s="43" t="n">
        <v>0.6041</v>
      </c>
      <c r="M542" s="43" t="n">
        <v>0.4833</v>
      </c>
      <c r="N542" s="43" t="n">
        <v>0.383</v>
      </c>
      <c r="O542" s="43" t="n">
        <v>0.3368</v>
      </c>
      <c r="P542" s="26" t="n">
        <v>5</v>
      </c>
      <c r="Q542" s="26" t="n">
        <v>13</v>
      </c>
    </row>
    <row r="543" customFormat="false" ht="15" hidden="false" customHeight="false" outlineLevel="0" collapsed="false">
      <c r="A543" s="8" t="s">
        <v>109</v>
      </c>
      <c r="B543" s="8" t="s">
        <v>285</v>
      </c>
      <c r="C543" s="26" t="n">
        <v>775</v>
      </c>
      <c r="D543" s="26" t="n">
        <v>392</v>
      </c>
      <c r="E543" s="39" t="n">
        <v>-47.798</v>
      </c>
      <c r="F543" s="29" t="n">
        <f aca="false">IF(D543=0,"",E543/D543)</f>
        <v>-0.121933673469388</v>
      </c>
      <c r="G543" s="26" t="n">
        <v>383</v>
      </c>
      <c r="H543" s="39" t="n">
        <v>21.686</v>
      </c>
      <c r="I543" s="29" t="n">
        <f aca="false">IF(G543=0,"",H543/G543)</f>
        <v>0.056621409921671</v>
      </c>
      <c r="J543" s="26" t="n">
        <v>3</v>
      </c>
      <c r="K543" s="43" t="n">
        <v>0.329</v>
      </c>
      <c r="L543" s="43" t="n">
        <v>0.6</v>
      </c>
      <c r="M543" s="43" t="n">
        <v>0.4903</v>
      </c>
      <c r="N543" s="43" t="n">
        <v>0.3832</v>
      </c>
      <c r="O543" s="43" t="n">
        <v>0.329</v>
      </c>
      <c r="P543" s="26" t="n">
        <v>4</v>
      </c>
      <c r="Q543" s="26" t="n">
        <v>16</v>
      </c>
    </row>
    <row r="544" customFormat="false" ht="15" hidden="false" customHeight="false" outlineLevel="0" collapsed="false">
      <c r="A544" s="8" t="s">
        <v>109</v>
      </c>
      <c r="B544" s="8" t="s">
        <v>241</v>
      </c>
      <c r="C544" s="26" t="n">
        <v>191</v>
      </c>
      <c r="D544" s="26" t="n">
        <v>96</v>
      </c>
      <c r="E544" s="39" t="n">
        <v>-11.78</v>
      </c>
      <c r="F544" s="29" t="n">
        <f aca="false">IF(D544=0,"",E544/D544)</f>
        <v>-0.122708333333333</v>
      </c>
      <c r="G544" s="26" t="n">
        <v>95</v>
      </c>
      <c r="H544" s="39" t="n">
        <v>30.314</v>
      </c>
      <c r="I544" s="29" t="n">
        <f aca="false">IF(G544=0,"",H544/G544)</f>
        <v>0.319094736842105</v>
      </c>
      <c r="J544" s="26" t="n">
        <v>4</v>
      </c>
      <c r="K544" s="43" t="n">
        <v>0.3717</v>
      </c>
      <c r="L544" s="43" t="n">
        <v>0.6126</v>
      </c>
      <c r="M544" s="43" t="n">
        <v>0.5393</v>
      </c>
      <c r="N544" s="43" t="n">
        <v>0.4398</v>
      </c>
      <c r="O544" s="43" t="n">
        <v>0.3717</v>
      </c>
      <c r="P544" s="26" t="n">
        <v>5</v>
      </c>
      <c r="Q544" s="26" t="n">
        <v>11</v>
      </c>
    </row>
    <row r="545" customFormat="false" ht="15" hidden="false" customHeight="false" outlineLevel="0" collapsed="false">
      <c r="A545" s="8" t="s">
        <v>109</v>
      </c>
      <c r="B545" s="8" t="s">
        <v>353</v>
      </c>
      <c r="C545" s="26" t="n">
        <v>899</v>
      </c>
      <c r="D545" s="26" t="n">
        <v>471</v>
      </c>
      <c r="E545" s="39" t="n">
        <v>-57.808</v>
      </c>
      <c r="F545" s="29" t="n">
        <f aca="false">IF(D545=0,"",E545/D545)</f>
        <v>-0.122734607218684</v>
      </c>
      <c r="G545" s="26" t="n">
        <v>428</v>
      </c>
      <c r="H545" s="39" t="n">
        <v>-2.819</v>
      </c>
      <c r="I545" s="29" t="n">
        <f aca="false">IF(G545=0,"",H545/G545)</f>
        <v>-0.00658644859813084</v>
      </c>
      <c r="J545" s="26" t="n">
        <v>2</v>
      </c>
      <c r="K545" s="43" t="n">
        <v>0.3181</v>
      </c>
      <c r="L545" s="43" t="n">
        <v>0.5918</v>
      </c>
      <c r="M545" s="43" t="n">
        <v>0.4772</v>
      </c>
      <c r="N545" s="43" t="n">
        <v>0.3671</v>
      </c>
      <c r="O545" s="43" t="n">
        <v>0.3181</v>
      </c>
      <c r="P545" s="26" t="n">
        <v>7</v>
      </c>
      <c r="Q545" s="26" t="n">
        <v>15</v>
      </c>
    </row>
    <row r="546" customFormat="false" ht="15" hidden="false" customHeight="false" outlineLevel="0" collapsed="false">
      <c r="A546" s="8" t="s">
        <v>109</v>
      </c>
      <c r="B546" s="8" t="s">
        <v>303</v>
      </c>
      <c r="C546" s="26" t="n">
        <v>853</v>
      </c>
      <c r="D546" s="26" t="n">
        <v>445</v>
      </c>
      <c r="E546" s="39" t="n">
        <v>-54.885</v>
      </c>
      <c r="F546" s="29" t="n">
        <f aca="false">IF(D546=0,"",E546/D546)</f>
        <v>-0.123337078651685</v>
      </c>
      <c r="G546" s="26" t="n">
        <v>408</v>
      </c>
      <c r="H546" s="39" t="n">
        <v>14.335</v>
      </c>
      <c r="I546" s="29" t="n">
        <f aca="false">IF(G546=0,"",H546/G546)</f>
        <v>0.0351348039215686</v>
      </c>
      <c r="J546" s="26" t="n">
        <v>2</v>
      </c>
      <c r="K546" s="43" t="n">
        <v>0.3247</v>
      </c>
      <c r="L546" s="43" t="n">
        <v>0.5885</v>
      </c>
      <c r="M546" s="43" t="n">
        <v>0.4725</v>
      </c>
      <c r="N546" s="43" t="n">
        <v>0.3669</v>
      </c>
      <c r="O546" s="43" t="n">
        <v>0.3247</v>
      </c>
      <c r="P546" s="26" t="n">
        <v>5</v>
      </c>
      <c r="Q546" s="26" t="n">
        <v>19</v>
      </c>
    </row>
    <row r="547" customFormat="false" ht="15" hidden="false" customHeight="false" outlineLevel="0" collapsed="false">
      <c r="A547" s="8" t="s">
        <v>109</v>
      </c>
      <c r="B547" s="8" t="s">
        <v>272</v>
      </c>
      <c r="C547" s="26" t="n">
        <v>620</v>
      </c>
      <c r="D547" s="26" t="n">
        <v>326</v>
      </c>
      <c r="E547" s="39" t="n">
        <v>-40.549</v>
      </c>
      <c r="F547" s="29" t="n">
        <f aca="false">IF(D547=0,"",E547/D547)</f>
        <v>-0.124383435582822</v>
      </c>
      <c r="G547" s="26" t="n">
        <v>294</v>
      </c>
      <c r="H547" s="39" t="n">
        <v>18.289</v>
      </c>
      <c r="I547" s="29" t="n">
        <f aca="false">IF(G547=0,"",H547/G547)</f>
        <v>0.0622074829931973</v>
      </c>
      <c r="J547" s="26" t="n">
        <v>4</v>
      </c>
      <c r="K547" s="43" t="n">
        <v>0.329</v>
      </c>
      <c r="L547" s="43" t="n">
        <v>0.6113</v>
      </c>
      <c r="M547" s="43" t="n">
        <v>0.4968</v>
      </c>
      <c r="N547" s="43" t="n">
        <v>0.3984</v>
      </c>
      <c r="O547" s="43" t="n">
        <v>0.329</v>
      </c>
      <c r="P547" s="26" t="n">
        <v>5</v>
      </c>
      <c r="Q547" s="26" t="n">
        <v>14</v>
      </c>
    </row>
    <row r="548" customFormat="false" ht="15" hidden="false" customHeight="false" outlineLevel="0" collapsed="false">
      <c r="A548" s="8" t="s">
        <v>109</v>
      </c>
      <c r="B548" s="8" t="s">
        <v>262</v>
      </c>
      <c r="C548" s="26" t="n">
        <v>430</v>
      </c>
      <c r="D548" s="26" t="n">
        <v>217</v>
      </c>
      <c r="E548" s="39" t="n">
        <v>-27.262</v>
      </c>
      <c r="F548" s="29" t="n">
        <f aca="false">IF(D548=0,"",E548/D548)</f>
        <v>-0.12563133640553</v>
      </c>
      <c r="G548" s="26" t="n">
        <v>213</v>
      </c>
      <c r="H548" s="39" t="n">
        <v>0.869</v>
      </c>
      <c r="I548" s="29" t="n">
        <f aca="false">IF(G548=0,"",H548/G548)</f>
        <v>0.00407981220657277</v>
      </c>
      <c r="J548" s="26" t="n">
        <v>3</v>
      </c>
      <c r="K548" s="43" t="n">
        <v>0.3209</v>
      </c>
      <c r="L548" s="43" t="n">
        <v>0.6023</v>
      </c>
      <c r="M548" s="43" t="n">
        <v>0.4977</v>
      </c>
      <c r="N548" s="43" t="n">
        <v>0.3744</v>
      </c>
      <c r="O548" s="43" t="n">
        <v>0.3209</v>
      </c>
      <c r="P548" s="26" t="n">
        <v>5</v>
      </c>
      <c r="Q548" s="26" t="n">
        <v>13</v>
      </c>
    </row>
    <row r="549" customFormat="false" ht="15" hidden="false" customHeight="false" outlineLevel="0" collapsed="false">
      <c r="A549" s="8" t="s">
        <v>109</v>
      </c>
      <c r="B549" s="8" t="s">
        <v>316</v>
      </c>
      <c r="C549" s="26" t="n">
        <v>914</v>
      </c>
      <c r="D549" s="26" t="n">
        <v>476</v>
      </c>
      <c r="E549" s="39" t="n">
        <v>-60.436</v>
      </c>
      <c r="F549" s="29" t="n">
        <f aca="false">IF(D549=0,"",E549/D549)</f>
        <v>-0.126966386554622</v>
      </c>
      <c r="G549" s="26" t="n">
        <v>438</v>
      </c>
      <c r="H549" s="39" t="n">
        <v>-3.948</v>
      </c>
      <c r="I549" s="29" t="n">
        <f aca="false">IF(G549=0,"",H549/G549)</f>
        <v>-0.00901369863013699</v>
      </c>
      <c r="J549" s="26" t="n">
        <v>2</v>
      </c>
      <c r="K549" s="43" t="n">
        <v>0.3173</v>
      </c>
      <c r="L549" s="43" t="n">
        <v>0.5908</v>
      </c>
      <c r="M549" s="43" t="n">
        <v>0.4759</v>
      </c>
      <c r="N549" s="43" t="n">
        <v>0.3676</v>
      </c>
      <c r="O549" s="43" t="n">
        <v>0.3173</v>
      </c>
      <c r="P549" s="26" t="n">
        <v>6</v>
      </c>
      <c r="Q549" s="26" t="n">
        <v>14</v>
      </c>
    </row>
    <row r="550" customFormat="false" ht="15" hidden="false" customHeight="false" outlineLevel="0" collapsed="false">
      <c r="A550" s="8" t="s">
        <v>109</v>
      </c>
      <c r="B550" s="8" t="s">
        <v>356</v>
      </c>
      <c r="C550" s="26" t="n">
        <v>949</v>
      </c>
      <c r="D550" s="26" t="n">
        <v>490</v>
      </c>
      <c r="E550" s="39" t="n">
        <v>-62.439</v>
      </c>
      <c r="F550" s="29" t="n">
        <f aca="false">IF(D550=0,"",E550/D550)</f>
        <v>-0.127426530612245</v>
      </c>
      <c r="G550" s="26" t="n">
        <v>459</v>
      </c>
      <c r="H550" s="39" t="n">
        <v>10.827</v>
      </c>
      <c r="I550" s="29" t="n">
        <f aca="false">IF(G550=0,"",H550/G550)</f>
        <v>0.0235882352941176</v>
      </c>
      <c r="J550" s="26" t="n">
        <v>2</v>
      </c>
      <c r="K550" s="43" t="n">
        <v>0.3224</v>
      </c>
      <c r="L550" s="43" t="n">
        <v>0.5827</v>
      </c>
      <c r="M550" s="43" t="n">
        <v>0.4773</v>
      </c>
      <c r="N550" s="43" t="n">
        <v>0.3678</v>
      </c>
      <c r="O550" s="43" t="n">
        <v>0.3224</v>
      </c>
      <c r="P550" s="26" t="n">
        <v>5</v>
      </c>
      <c r="Q550" s="26" t="n">
        <v>15</v>
      </c>
    </row>
    <row r="551" customFormat="false" ht="15" hidden="false" customHeight="false" outlineLevel="0" collapsed="false">
      <c r="A551" s="8" t="s">
        <v>109</v>
      </c>
      <c r="B551" s="8" t="s">
        <v>308</v>
      </c>
      <c r="C551" s="26" t="n">
        <v>954</v>
      </c>
      <c r="D551" s="26" t="n">
        <v>495</v>
      </c>
      <c r="E551" s="39" t="n">
        <v>-63.82</v>
      </c>
      <c r="F551" s="29" t="n">
        <f aca="false">IF(D551=0,"",E551/D551)</f>
        <v>-0.128929292929293</v>
      </c>
      <c r="G551" s="26" t="n">
        <v>459</v>
      </c>
      <c r="H551" s="39" t="n">
        <v>11.927</v>
      </c>
      <c r="I551" s="29" t="n">
        <f aca="false">IF(G551=0,"",H551/G551)</f>
        <v>0.0259847494553377</v>
      </c>
      <c r="J551" s="26" t="n">
        <v>2</v>
      </c>
      <c r="K551" s="43" t="n">
        <v>0.3805</v>
      </c>
      <c r="L551" s="43" t="n">
        <v>0.5943</v>
      </c>
      <c r="M551" s="43" t="n">
        <v>0.4832</v>
      </c>
      <c r="N551" s="43" t="n">
        <v>0.3805</v>
      </c>
      <c r="O551" s="43" t="n">
        <v>0.2065</v>
      </c>
      <c r="P551" s="26" t="n">
        <v>9</v>
      </c>
      <c r="Q551" s="26" t="n">
        <v>14</v>
      </c>
    </row>
    <row r="552" customFormat="false" ht="15" hidden="false" customHeight="false" outlineLevel="0" collapsed="false">
      <c r="A552" s="8" t="s">
        <v>109</v>
      </c>
      <c r="B552" s="8" t="s">
        <v>314</v>
      </c>
      <c r="C552" s="26" t="n">
        <v>798</v>
      </c>
      <c r="D552" s="26" t="n">
        <v>418</v>
      </c>
      <c r="E552" s="39" t="n">
        <v>-54.251</v>
      </c>
      <c r="F552" s="29" t="n">
        <f aca="false">IF(D552=0,"",E552/D552)</f>
        <v>-0.129787081339713</v>
      </c>
      <c r="G552" s="26" t="n">
        <v>380</v>
      </c>
      <c r="H552" s="39" t="n">
        <v>-2.39</v>
      </c>
      <c r="I552" s="29" t="n">
        <f aca="false">IF(G552=0,"",H552/G552)</f>
        <v>-0.00628947368421053</v>
      </c>
      <c r="J552" s="26" t="n">
        <v>2</v>
      </c>
      <c r="K552" s="43" t="n">
        <v>0.317</v>
      </c>
      <c r="L552" s="43" t="n">
        <v>0.594</v>
      </c>
      <c r="M552" s="43" t="n">
        <v>0.4737</v>
      </c>
      <c r="N552" s="43" t="n">
        <v>0.3659</v>
      </c>
      <c r="O552" s="43" t="n">
        <v>0.317</v>
      </c>
      <c r="P552" s="26" t="n">
        <v>5</v>
      </c>
      <c r="Q552" s="26" t="n">
        <v>14</v>
      </c>
    </row>
    <row r="553" customFormat="false" ht="15" hidden="false" customHeight="false" outlineLevel="0" collapsed="false">
      <c r="A553" s="8" t="s">
        <v>109</v>
      </c>
      <c r="B553" s="8" t="s">
        <v>344</v>
      </c>
      <c r="C553" s="26" t="n">
        <v>881</v>
      </c>
      <c r="D553" s="26" t="n">
        <v>462</v>
      </c>
      <c r="E553" s="39" t="n">
        <v>-60.644</v>
      </c>
      <c r="F553" s="29" t="n">
        <f aca="false">IF(D553=0,"",E553/D553)</f>
        <v>-0.131264069264069</v>
      </c>
      <c r="G553" s="26" t="n">
        <v>419</v>
      </c>
      <c r="H553" s="39" t="n">
        <v>6.259</v>
      </c>
      <c r="I553" s="29" t="n">
        <f aca="false">IF(G553=0,"",H553/G553)</f>
        <v>0.0149379474940334</v>
      </c>
      <c r="J553" s="26" t="n">
        <v>2</v>
      </c>
      <c r="K553" s="43" t="n">
        <v>0.3201</v>
      </c>
      <c r="L553" s="43" t="n">
        <v>0.5902</v>
      </c>
      <c r="M553" s="43" t="n">
        <v>0.4745</v>
      </c>
      <c r="N553" s="43" t="n">
        <v>0.3678</v>
      </c>
      <c r="O553" s="43" t="n">
        <v>0.3201</v>
      </c>
      <c r="P553" s="26" t="n">
        <v>6</v>
      </c>
      <c r="Q553" s="26" t="n">
        <v>17</v>
      </c>
    </row>
    <row r="554" customFormat="false" ht="15" hidden="false" customHeight="false" outlineLevel="0" collapsed="false">
      <c r="A554" s="8" t="s">
        <v>109</v>
      </c>
      <c r="B554" s="8" t="s">
        <v>242</v>
      </c>
      <c r="C554" s="26" t="n">
        <v>326</v>
      </c>
      <c r="D554" s="26" t="n">
        <v>164</v>
      </c>
      <c r="E554" s="39" t="n">
        <v>-21.647</v>
      </c>
      <c r="F554" s="29" t="n">
        <f aca="false">IF(D554=0,"",E554/D554)</f>
        <v>-0.131993902439024</v>
      </c>
      <c r="G554" s="26" t="n">
        <v>162</v>
      </c>
      <c r="H554" s="39" t="n">
        <v>16.777</v>
      </c>
      <c r="I554" s="29" t="n">
        <f aca="false">IF(G554=0,"",H554/G554)</f>
        <v>0.103561728395062</v>
      </c>
      <c r="J554" s="26" t="n">
        <v>4</v>
      </c>
      <c r="K554" s="43" t="n">
        <v>0.3344</v>
      </c>
      <c r="L554" s="43" t="n">
        <v>0.5828</v>
      </c>
      <c r="M554" s="43" t="n">
        <v>0.4908</v>
      </c>
      <c r="N554" s="43" t="n">
        <v>0.3957</v>
      </c>
      <c r="O554" s="43" t="n">
        <v>0.3344</v>
      </c>
      <c r="P554" s="26" t="n">
        <v>4</v>
      </c>
      <c r="Q554" s="26" t="n">
        <v>13</v>
      </c>
    </row>
    <row r="555" customFormat="false" ht="15" hidden="false" customHeight="false" outlineLevel="0" collapsed="false">
      <c r="A555" s="8" t="s">
        <v>109</v>
      </c>
      <c r="B555" s="8" t="s">
        <v>287</v>
      </c>
      <c r="C555" s="26" t="n">
        <v>756</v>
      </c>
      <c r="D555" s="26" t="n">
        <v>399</v>
      </c>
      <c r="E555" s="39" t="n">
        <v>-52.735</v>
      </c>
      <c r="F555" s="29" t="n">
        <f aca="false">IF(D555=0,"",E555/D555)</f>
        <v>-0.132167919799499</v>
      </c>
      <c r="G555" s="26" t="n">
        <v>357</v>
      </c>
      <c r="H555" s="39" t="n">
        <v>32.753</v>
      </c>
      <c r="I555" s="29" t="n">
        <f aca="false">IF(G555=0,"",H555/G555)</f>
        <v>0.0917450980392157</v>
      </c>
      <c r="J555" s="26" t="n">
        <v>4</v>
      </c>
      <c r="K555" s="43" t="n">
        <v>0.332</v>
      </c>
      <c r="L555" s="43" t="n">
        <v>0.6005</v>
      </c>
      <c r="M555" s="43" t="n">
        <v>0.4987</v>
      </c>
      <c r="N555" s="43" t="n">
        <v>0.3981</v>
      </c>
      <c r="O555" s="43" t="n">
        <v>0.332</v>
      </c>
      <c r="P555" s="26" t="n">
        <v>5</v>
      </c>
      <c r="Q555" s="26" t="n">
        <v>12</v>
      </c>
    </row>
    <row r="556" customFormat="false" ht="15" hidden="false" customHeight="false" outlineLevel="0" collapsed="false">
      <c r="A556" s="8" t="s">
        <v>109</v>
      </c>
      <c r="B556" s="8" t="s">
        <v>351</v>
      </c>
      <c r="C556" s="26" t="n">
        <v>877</v>
      </c>
      <c r="D556" s="26" t="n">
        <v>460</v>
      </c>
      <c r="E556" s="39" t="n">
        <v>-61.493</v>
      </c>
      <c r="F556" s="29" t="n">
        <f aca="false">IF(D556=0,"",E556/D556)</f>
        <v>-0.133680434782609</v>
      </c>
      <c r="G556" s="26" t="n">
        <v>417</v>
      </c>
      <c r="H556" s="39" t="n">
        <v>8.274</v>
      </c>
      <c r="I556" s="29" t="n">
        <f aca="false">IF(G556=0,"",H556/G556)</f>
        <v>0.019841726618705</v>
      </c>
      <c r="J556" s="26" t="n">
        <v>2</v>
      </c>
      <c r="K556" s="43" t="n">
        <v>0.3204</v>
      </c>
      <c r="L556" s="43" t="n">
        <v>0.5918</v>
      </c>
      <c r="M556" s="43" t="n">
        <v>0.4732</v>
      </c>
      <c r="N556" s="43" t="n">
        <v>0.3672</v>
      </c>
      <c r="O556" s="43" t="n">
        <v>0.3204</v>
      </c>
      <c r="P556" s="26" t="n">
        <v>6</v>
      </c>
      <c r="Q556" s="26" t="n">
        <v>17</v>
      </c>
    </row>
    <row r="557" customFormat="false" ht="15" hidden="false" customHeight="false" outlineLevel="0" collapsed="false">
      <c r="A557" s="8" t="s">
        <v>109</v>
      </c>
      <c r="B557" s="8" t="s">
        <v>358</v>
      </c>
      <c r="C557" s="26" t="n">
        <v>891</v>
      </c>
      <c r="D557" s="26" t="n">
        <v>474</v>
      </c>
      <c r="E557" s="39" t="n">
        <v>-64.507</v>
      </c>
      <c r="F557" s="29" t="n">
        <f aca="false">IF(D557=0,"",E557/D557)</f>
        <v>-0.136090717299578</v>
      </c>
      <c r="G557" s="26" t="n">
        <v>417</v>
      </c>
      <c r="H557" s="39" t="n">
        <v>35.228</v>
      </c>
      <c r="I557" s="29" t="n">
        <f aca="false">IF(G557=0,"",H557/G557)</f>
        <v>0.0844796163069544</v>
      </c>
      <c r="J557" s="26" t="n">
        <v>3</v>
      </c>
      <c r="K557" s="43" t="n">
        <v>0.33</v>
      </c>
      <c r="L557" s="43" t="n">
        <v>0.6004</v>
      </c>
      <c r="M557" s="43" t="n">
        <v>0.4848</v>
      </c>
      <c r="N557" s="43" t="n">
        <v>0.3827</v>
      </c>
      <c r="O557" s="43" t="n">
        <v>0.33</v>
      </c>
      <c r="P557" s="26" t="n">
        <v>7</v>
      </c>
      <c r="Q557" s="26" t="n">
        <v>17</v>
      </c>
    </row>
    <row r="558" customFormat="false" ht="15" hidden="false" customHeight="false" outlineLevel="0" collapsed="false">
      <c r="A558" s="8" t="s">
        <v>109</v>
      </c>
      <c r="B558" s="8" t="s">
        <v>348</v>
      </c>
      <c r="C558" s="26" t="n">
        <v>849</v>
      </c>
      <c r="D558" s="26" t="n">
        <v>439</v>
      </c>
      <c r="E558" s="39" t="n">
        <v>-60.715</v>
      </c>
      <c r="F558" s="29" t="n">
        <f aca="false">IF(D558=0,"",E558/D558)</f>
        <v>-0.138302961275626</v>
      </c>
      <c r="G558" s="26" t="n">
        <v>410</v>
      </c>
      <c r="H558" s="39" t="n">
        <v>-8.623</v>
      </c>
      <c r="I558" s="29" t="n">
        <f aca="false">IF(G558=0,"",H558/G558)</f>
        <v>-0.0210317073170732</v>
      </c>
      <c r="J558" s="26" t="n">
        <v>2</v>
      </c>
      <c r="K558" s="43" t="n">
        <v>0.3133</v>
      </c>
      <c r="L558" s="43" t="n">
        <v>0.5901</v>
      </c>
      <c r="M558" s="43" t="n">
        <v>0.477</v>
      </c>
      <c r="N558" s="43" t="n">
        <v>0.3628</v>
      </c>
      <c r="O558" s="43" t="n">
        <v>0.3133</v>
      </c>
      <c r="P558" s="26" t="n">
        <v>7</v>
      </c>
      <c r="Q558" s="26" t="n">
        <v>15</v>
      </c>
    </row>
    <row r="559" customFormat="false" ht="15" hidden="false" customHeight="false" outlineLevel="0" collapsed="false">
      <c r="A559" s="8" t="s">
        <v>109</v>
      </c>
      <c r="B559" s="8" t="s">
        <v>244</v>
      </c>
      <c r="C559" s="26" t="n">
        <v>266</v>
      </c>
      <c r="D559" s="26" t="n">
        <v>154</v>
      </c>
      <c r="E559" s="39" t="n">
        <v>-21.311</v>
      </c>
      <c r="F559" s="29" t="n">
        <f aca="false">IF(D559=0,"",E559/D559)</f>
        <v>-0.138383116883117</v>
      </c>
      <c r="G559" s="26" t="n">
        <v>112</v>
      </c>
      <c r="H559" s="39" t="n">
        <v>28.093</v>
      </c>
      <c r="I559" s="29" t="n">
        <f aca="false">IF(G559=0,"",H559/G559)</f>
        <v>0.250830357142857</v>
      </c>
      <c r="J559" s="26" t="n">
        <v>4</v>
      </c>
      <c r="K559" s="43" t="n">
        <v>0.3496</v>
      </c>
      <c r="L559" s="43" t="n">
        <v>0.609</v>
      </c>
      <c r="M559" s="43" t="n">
        <v>0.5075</v>
      </c>
      <c r="N559" s="43" t="n">
        <v>0.4023</v>
      </c>
      <c r="O559" s="43" t="n">
        <v>0.3496</v>
      </c>
      <c r="P559" s="26" t="n">
        <v>9</v>
      </c>
      <c r="Q559" s="26" t="n">
        <v>16</v>
      </c>
    </row>
    <row r="560" customFormat="false" ht="15" hidden="false" customHeight="false" outlineLevel="0" collapsed="false">
      <c r="A560" s="8" t="s">
        <v>109</v>
      </c>
      <c r="B560" s="8" t="s">
        <v>326</v>
      </c>
      <c r="C560" s="26" t="n">
        <v>1060</v>
      </c>
      <c r="D560" s="26" t="n">
        <v>548</v>
      </c>
      <c r="E560" s="39" t="n">
        <v>-76.553</v>
      </c>
      <c r="F560" s="29" t="n">
        <f aca="false">IF(D560=0,"",E560/D560)</f>
        <v>-0.139695255474453</v>
      </c>
      <c r="G560" s="26" t="n">
        <v>512</v>
      </c>
      <c r="H560" s="39" t="n">
        <v>10.459</v>
      </c>
      <c r="I560" s="29" t="n">
        <f aca="false">IF(G560=0,"",H560/G560)</f>
        <v>0.020427734375</v>
      </c>
      <c r="J560" s="26" t="n">
        <v>3</v>
      </c>
      <c r="K560" s="43" t="n">
        <v>0.1887</v>
      </c>
      <c r="L560" s="43" t="n">
        <v>0.5821</v>
      </c>
      <c r="M560" s="43" t="n">
        <v>0.3642</v>
      </c>
      <c r="N560" s="43" t="n">
        <v>0.234</v>
      </c>
      <c r="O560" s="43" t="n">
        <v>0.1887</v>
      </c>
      <c r="P560" s="26" t="n">
        <v>4</v>
      </c>
      <c r="Q560" s="26" t="n">
        <v>6</v>
      </c>
    </row>
    <row r="561" customFormat="false" ht="15" hidden="false" customHeight="false" outlineLevel="0" collapsed="false">
      <c r="A561" s="8" t="s">
        <v>109</v>
      </c>
      <c r="B561" s="8" t="s">
        <v>355</v>
      </c>
      <c r="C561" s="26" t="n">
        <v>971</v>
      </c>
      <c r="D561" s="26" t="n">
        <v>504</v>
      </c>
      <c r="E561" s="39" t="n">
        <v>-71.046</v>
      </c>
      <c r="F561" s="29" t="n">
        <f aca="false">IF(D561=0,"",E561/D561)</f>
        <v>-0.140964285714286</v>
      </c>
      <c r="G561" s="26" t="n">
        <v>467</v>
      </c>
      <c r="H561" s="39" t="n">
        <v>23.745</v>
      </c>
      <c r="I561" s="29" t="n">
        <f aca="false">IF(G561=0,"",H561/G561)</f>
        <v>0.0508458244111349</v>
      </c>
      <c r="J561" s="26" t="n">
        <v>3</v>
      </c>
      <c r="K561" s="43" t="n">
        <v>0.3244</v>
      </c>
      <c r="L561" s="43" t="n">
        <v>0.5922</v>
      </c>
      <c r="M561" s="43" t="n">
        <v>0.484</v>
      </c>
      <c r="N561" s="43" t="n">
        <v>0.378</v>
      </c>
      <c r="O561" s="43" t="n">
        <v>0.3244</v>
      </c>
      <c r="P561" s="26" t="n">
        <v>5</v>
      </c>
      <c r="Q561" s="26" t="n">
        <v>15</v>
      </c>
    </row>
    <row r="562" customFormat="false" ht="15" hidden="false" customHeight="false" outlineLevel="0" collapsed="false">
      <c r="A562" s="8" t="s">
        <v>109</v>
      </c>
      <c r="B562" s="8" t="s">
        <v>333</v>
      </c>
      <c r="C562" s="26" t="n">
        <v>918</v>
      </c>
      <c r="D562" s="26" t="n">
        <v>474</v>
      </c>
      <c r="E562" s="39" t="n">
        <v>-67.32</v>
      </c>
      <c r="F562" s="29" t="n">
        <f aca="false">IF(D562=0,"",E562/D562)</f>
        <v>-0.142025316455696</v>
      </c>
      <c r="G562" s="26" t="n">
        <v>444</v>
      </c>
      <c r="H562" s="39" t="n">
        <v>-0.958</v>
      </c>
      <c r="I562" s="29" t="n">
        <f aca="false">IF(G562=0,"",H562/G562)</f>
        <v>-0.00215765765765766</v>
      </c>
      <c r="J562" s="26" t="n">
        <v>2</v>
      </c>
      <c r="K562" s="43" t="n">
        <v>0.3159</v>
      </c>
      <c r="L562" s="43" t="n">
        <v>0.585</v>
      </c>
      <c r="M562" s="43" t="n">
        <v>0.4728</v>
      </c>
      <c r="N562" s="43" t="n">
        <v>0.3725</v>
      </c>
      <c r="O562" s="43" t="n">
        <v>0.3159</v>
      </c>
      <c r="P562" s="26" t="n">
        <v>6</v>
      </c>
      <c r="Q562" s="26" t="n">
        <v>17</v>
      </c>
    </row>
    <row r="563" customFormat="false" ht="15" hidden="false" customHeight="false" outlineLevel="0" collapsed="false">
      <c r="A563" s="8" t="s">
        <v>109</v>
      </c>
      <c r="B563" s="8" t="s">
        <v>243</v>
      </c>
      <c r="C563" s="26" t="n">
        <v>303</v>
      </c>
      <c r="D563" s="26" t="n">
        <v>162</v>
      </c>
      <c r="E563" s="39" t="n">
        <v>-23.077</v>
      </c>
      <c r="F563" s="29" t="n">
        <f aca="false">IF(D563=0,"",E563/D563)</f>
        <v>-0.142450617283951</v>
      </c>
      <c r="G563" s="26" t="n">
        <v>141</v>
      </c>
      <c r="H563" s="39" t="n">
        <v>-1.059</v>
      </c>
      <c r="I563" s="29" t="n">
        <f aca="false">IF(G563=0,"",H563/G563)</f>
        <v>-0.00751063829787234</v>
      </c>
      <c r="J563" s="26" t="n">
        <v>1</v>
      </c>
      <c r="K563" s="43" t="n">
        <v>0.3135</v>
      </c>
      <c r="L563" s="43" t="n">
        <v>0.5512</v>
      </c>
      <c r="M563" s="43" t="n">
        <v>0.4587</v>
      </c>
      <c r="N563" s="43" t="n">
        <v>0.3696</v>
      </c>
      <c r="O563" s="43" t="n">
        <v>0.3135</v>
      </c>
      <c r="P563" s="26" t="n">
        <v>4</v>
      </c>
      <c r="Q563" s="26" t="n">
        <v>10</v>
      </c>
    </row>
    <row r="564" customFormat="false" ht="15" hidden="false" customHeight="false" outlineLevel="0" collapsed="false">
      <c r="A564" s="8" t="s">
        <v>109</v>
      </c>
      <c r="B564" s="8" t="s">
        <v>260</v>
      </c>
      <c r="C564" s="26" t="n">
        <v>713</v>
      </c>
      <c r="D564" s="26" t="n">
        <v>385</v>
      </c>
      <c r="E564" s="39" t="n">
        <v>-56.197</v>
      </c>
      <c r="F564" s="29" t="n">
        <f aca="false">IF(D564=0,"",E564/D564)</f>
        <v>-0.145966233766234</v>
      </c>
      <c r="G564" s="26" t="n">
        <v>328</v>
      </c>
      <c r="H564" s="39" t="n">
        <v>32.227</v>
      </c>
      <c r="I564" s="29" t="n">
        <f aca="false">IF(G564=0,"",H564/G564)</f>
        <v>0.0982530487804878</v>
      </c>
      <c r="J564" s="26" t="n">
        <v>3</v>
      </c>
      <c r="K564" s="43" t="n">
        <v>0.3296</v>
      </c>
      <c r="L564" s="43" t="n">
        <v>0.6157</v>
      </c>
      <c r="M564" s="43" t="n">
        <v>0.5119</v>
      </c>
      <c r="N564" s="43" t="n">
        <v>0.3857</v>
      </c>
      <c r="O564" s="43" t="n">
        <v>0.3296</v>
      </c>
      <c r="P564" s="26" t="n">
        <v>8</v>
      </c>
      <c r="Q564" s="26" t="n">
        <v>15</v>
      </c>
    </row>
    <row r="565" customFormat="false" ht="15" hidden="false" customHeight="false" outlineLevel="0" collapsed="false">
      <c r="A565" s="8" t="s">
        <v>109</v>
      </c>
      <c r="B565" s="8" t="s">
        <v>297</v>
      </c>
      <c r="C565" s="26" t="n">
        <v>705</v>
      </c>
      <c r="D565" s="26" t="n">
        <v>367</v>
      </c>
      <c r="E565" s="39" t="n">
        <v>-55.066</v>
      </c>
      <c r="F565" s="29" t="n">
        <f aca="false">IF(D565=0,"",E565/D565)</f>
        <v>-0.150043596730245</v>
      </c>
      <c r="G565" s="26" t="n">
        <v>338</v>
      </c>
      <c r="H565" s="39" t="n">
        <v>-4.941</v>
      </c>
      <c r="I565" s="29" t="n">
        <f aca="false">IF(G565=0,"",H565/G565)</f>
        <v>-0.0146183431952663</v>
      </c>
      <c r="J565" s="26" t="n">
        <v>2</v>
      </c>
      <c r="K565" s="43" t="n">
        <v>0.3121</v>
      </c>
      <c r="L565" s="43" t="n">
        <v>0.5901</v>
      </c>
      <c r="M565" s="43" t="n">
        <v>0.4709</v>
      </c>
      <c r="N565" s="43" t="n">
        <v>0.3631</v>
      </c>
      <c r="O565" s="43" t="n">
        <v>0.3121</v>
      </c>
      <c r="P565" s="26" t="n">
        <v>5</v>
      </c>
      <c r="Q565" s="26" t="n">
        <v>18</v>
      </c>
    </row>
    <row r="566" customFormat="false" ht="15" hidden="false" customHeight="false" outlineLevel="0" collapsed="false">
      <c r="A566" s="8" t="s">
        <v>109</v>
      </c>
      <c r="B566" s="8" t="s">
        <v>277</v>
      </c>
      <c r="C566" s="26" t="n">
        <v>743</v>
      </c>
      <c r="D566" s="26" t="n">
        <v>401</v>
      </c>
      <c r="E566" s="39" t="n">
        <v>-60.813</v>
      </c>
      <c r="F566" s="29" t="n">
        <f aca="false">IF(D566=0,"",E566/D566)</f>
        <v>-0.151653366583541</v>
      </c>
      <c r="G566" s="26" t="n">
        <v>342</v>
      </c>
      <c r="H566" s="39" t="n">
        <v>5.933</v>
      </c>
      <c r="I566" s="29" t="n">
        <f aca="false">IF(G566=0,"",H566/G566)</f>
        <v>0.0173479532163743</v>
      </c>
      <c r="J566" s="26" t="n">
        <v>2</v>
      </c>
      <c r="K566" s="43" t="n">
        <v>0.3163</v>
      </c>
      <c r="L566" s="43" t="n">
        <v>0.5976</v>
      </c>
      <c r="M566" s="43" t="n">
        <v>0.4751</v>
      </c>
      <c r="N566" s="43" t="n">
        <v>0.3647</v>
      </c>
      <c r="O566" s="43" t="n">
        <v>0.3163</v>
      </c>
      <c r="P566" s="26" t="n">
        <v>7</v>
      </c>
      <c r="Q566" s="26" t="n">
        <v>13</v>
      </c>
    </row>
    <row r="567" customFormat="false" ht="15" hidden="false" customHeight="false" outlineLevel="0" collapsed="false">
      <c r="A567" s="8" t="s">
        <v>109</v>
      </c>
      <c r="B567" s="8" t="s">
        <v>378</v>
      </c>
      <c r="C567" s="26" t="n">
        <v>1098</v>
      </c>
      <c r="D567" s="26" t="n">
        <v>556</v>
      </c>
      <c r="E567" s="39" t="n">
        <v>-84.785</v>
      </c>
      <c r="F567" s="29" t="n">
        <f aca="false">IF(D567=0,"",E567/D567)</f>
        <v>-0.152491007194245</v>
      </c>
      <c r="G567" s="26" t="n">
        <v>542</v>
      </c>
      <c r="H567" s="39" t="n">
        <v>-8.752</v>
      </c>
      <c r="I567" s="29" t="n">
        <f aca="false">IF(G567=0,"",H567/G567)</f>
        <v>-0.0161476014760148</v>
      </c>
      <c r="J567" s="26" t="n">
        <v>1</v>
      </c>
      <c r="K567" s="43" t="n">
        <v>0.4681</v>
      </c>
      <c r="L567" s="43" t="n">
        <v>0.5756</v>
      </c>
      <c r="M567" s="43" t="n">
        <v>0.4681</v>
      </c>
      <c r="N567" s="43" t="n">
        <v>0</v>
      </c>
      <c r="O567" s="43" t="n">
        <v>0</v>
      </c>
      <c r="P567" s="26" t="n">
        <v>10</v>
      </c>
      <c r="Q567" s="26" t="n">
        <v>10</v>
      </c>
    </row>
    <row r="568" customFormat="false" ht="15" hidden="false" customHeight="false" outlineLevel="0" collapsed="false">
      <c r="A568" s="8" t="s">
        <v>109</v>
      </c>
      <c r="B568" s="8" t="s">
        <v>271</v>
      </c>
      <c r="C568" s="26" t="n">
        <v>448</v>
      </c>
      <c r="D568" s="26" t="n">
        <v>231</v>
      </c>
      <c r="E568" s="39" t="n">
        <v>-35.337</v>
      </c>
      <c r="F568" s="29" t="n">
        <f aca="false">IF(D568=0,"",E568/D568)</f>
        <v>-0.152974025974026</v>
      </c>
      <c r="G568" s="26" t="n">
        <v>217</v>
      </c>
      <c r="H568" s="39" t="n">
        <v>26.998</v>
      </c>
      <c r="I568" s="29" t="n">
        <f aca="false">IF(G568=0,"",H568/G568)</f>
        <v>0.124414746543779</v>
      </c>
      <c r="J568" s="26" t="n">
        <v>3</v>
      </c>
      <c r="K568" s="43" t="n">
        <v>0.3348</v>
      </c>
      <c r="L568" s="43" t="n">
        <v>0.6027</v>
      </c>
      <c r="M568" s="43" t="n">
        <v>0.4978</v>
      </c>
      <c r="N568" s="43" t="n">
        <v>0.3728</v>
      </c>
      <c r="O568" s="43" t="n">
        <v>0.3348</v>
      </c>
      <c r="P568" s="26" t="n">
        <v>5</v>
      </c>
      <c r="Q568" s="26" t="n">
        <v>15</v>
      </c>
    </row>
    <row r="569" customFormat="false" ht="15" hidden="false" customHeight="false" outlineLevel="0" collapsed="false">
      <c r="A569" s="8" t="s">
        <v>109</v>
      </c>
      <c r="B569" s="8" t="s">
        <v>273</v>
      </c>
      <c r="C569" s="26" t="n">
        <v>714</v>
      </c>
      <c r="D569" s="26" t="n">
        <v>368</v>
      </c>
      <c r="E569" s="39" t="n">
        <v>-56.464</v>
      </c>
      <c r="F569" s="29" t="n">
        <f aca="false">IF(D569=0,"",E569/D569)</f>
        <v>-0.153434782608696</v>
      </c>
      <c r="G569" s="26" t="n">
        <v>346</v>
      </c>
      <c r="H569" s="39" t="n">
        <v>19.777</v>
      </c>
      <c r="I569" s="29" t="n">
        <f aca="false">IF(G569=0,"",H569/G569)</f>
        <v>0.0571589595375723</v>
      </c>
      <c r="J569" s="26" t="n">
        <v>3</v>
      </c>
      <c r="K569" s="43" t="n">
        <v>0.3235</v>
      </c>
      <c r="L569" s="43" t="n">
        <v>0.5966</v>
      </c>
      <c r="M569" s="43" t="n">
        <v>0.4818</v>
      </c>
      <c r="N569" s="43" t="n">
        <v>0.3754</v>
      </c>
      <c r="O569" s="43" t="n">
        <v>0.3235</v>
      </c>
      <c r="P569" s="26" t="n">
        <v>6</v>
      </c>
      <c r="Q569" s="26" t="n">
        <v>16</v>
      </c>
    </row>
    <row r="570" customFormat="false" ht="15" hidden="false" customHeight="false" outlineLevel="0" collapsed="false">
      <c r="A570" s="8" t="s">
        <v>109</v>
      </c>
      <c r="B570" s="8" t="s">
        <v>286</v>
      </c>
      <c r="C570" s="26" t="n">
        <v>719</v>
      </c>
      <c r="D570" s="26" t="n">
        <v>372</v>
      </c>
      <c r="E570" s="39" t="n">
        <v>-57.405</v>
      </c>
      <c r="F570" s="29" t="n">
        <f aca="false">IF(D570=0,"",E570/D570)</f>
        <v>-0.154314516129032</v>
      </c>
      <c r="G570" s="26" t="n">
        <v>347</v>
      </c>
      <c r="H570" s="39" t="n">
        <v>0.953</v>
      </c>
      <c r="I570" s="29" t="n">
        <f aca="false">IF(G570=0,"",H570/G570)</f>
        <v>0.0027463976945245</v>
      </c>
      <c r="J570" s="26" t="n">
        <v>2</v>
      </c>
      <c r="K570" s="43" t="n">
        <v>0.3143</v>
      </c>
      <c r="L570" s="43" t="n">
        <v>0.58</v>
      </c>
      <c r="M570" s="43" t="n">
        <v>0.4659</v>
      </c>
      <c r="N570" s="43" t="n">
        <v>0.3574</v>
      </c>
      <c r="O570" s="43" t="n">
        <v>0.3143</v>
      </c>
      <c r="P570" s="26" t="n">
        <v>4</v>
      </c>
      <c r="Q570" s="26" t="n">
        <v>16</v>
      </c>
    </row>
    <row r="571" customFormat="false" ht="15" hidden="false" customHeight="false" outlineLevel="0" collapsed="false">
      <c r="A571" s="8" t="s">
        <v>109</v>
      </c>
      <c r="B571" s="8" t="s">
        <v>253</v>
      </c>
      <c r="C571" s="26" t="n">
        <v>720</v>
      </c>
      <c r="D571" s="26" t="n">
        <v>389</v>
      </c>
      <c r="E571" s="39" t="n">
        <v>-60.336</v>
      </c>
      <c r="F571" s="29" t="n">
        <f aca="false">IF(D571=0,"",E571/D571)</f>
        <v>-0.155105398457584</v>
      </c>
      <c r="G571" s="26" t="n">
        <v>331</v>
      </c>
      <c r="H571" s="39" t="n">
        <v>32.163</v>
      </c>
      <c r="I571" s="29" t="n">
        <f aca="false">IF(G571=0,"",H571/G571)</f>
        <v>0.0971691842900302</v>
      </c>
      <c r="J571" s="26" t="n">
        <v>4</v>
      </c>
      <c r="K571" s="43" t="n">
        <v>0.3278</v>
      </c>
      <c r="L571" s="43" t="n">
        <v>0.5931</v>
      </c>
      <c r="M571" s="43" t="n">
        <v>0.5028</v>
      </c>
      <c r="N571" s="43" t="n">
        <v>0.3792</v>
      </c>
      <c r="O571" s="43" t="n">
        <v>0.3278</v>
      </c>
      <c r="P571" s="26" t="n">
        <v>6</v>
      </c>
      <c r="Q571" s="26" t="n">
        <v>14</v>
      </c>
    </row>
    <row r="572" customFormat="false" ht="15" hidden="false" customHeight="false" outlineLevel="0" collapsed="false">
      <c r="A572" s="8" t="s">
        <v>109</v>
      </c>
      <c r="B572" s="8" t="s">
        <v>369</v>
      </c>
      <c r="C572" s="26" t="n">
        <v>979</v>
      </c>
      <c r="D572" s="26" t="n">
        <v>510</v>
      </c>
      <c r="E572" s="39" t="n">
        <v>-79.679</v>
      </c>
      <c r="F572" s="29" t="n">
        <f aca="false">IF(D572=0,"",E572/D572)</f>
        <v>-0.156233333333333</v>
      </c>
      <c r="G572" s="26" t="n">
        <v>469</v>
      </c>
      <c r="H572" s="39" t="n">
        <v>6.857</v>
      </c>
      <c r="I572" s="29" t="n">
        <f aca="false">IF(G572=0,"",H572/G572)</f>
        <v>0.0146204690831557</v>
      </c>
      <c r="J572" s="26" t="n">
        <v>2</v>
      </c>
      <c r="K572" s="43" t="n">
        <v>0.379</v>
      </c>
      <c r="L572" s="43" t="n">
        <v>0.5884</v>
      </c>
      <c r="M572" s="43" t="n">
        <v>0.4811</v>
      </c>
      <c r="N572" s="43" t="n">
        <v>0.379</v>
      </c>
      <c r="O572" s="43" t="n">
        <v>0.379</v>
      </c>
      <c r="P572" s="26" t="n">
        <v>9</v>
      </c>
      <c r="Q572" s="26" t="n">
        <v>14</v>
      </c>
    </row>
    <row r="573" customFormat="false" ht="15" hidden="false" customHeight="false" outlineLevel="0" collapsed="false">
      <c r="A573" s="8" t="s">
        <v>109</v>
      </c>
      <c r="B573" s="8" t="s">
        <v>370</v>
      </c>
      <c r="C573" s="26" t="n">
        <v>979</v>
      </c>
      <c r="D573" s="26" t="n">
        <v>510</v>
      </c>
      <c r="E573" s="39" t="n">
        <v>-79.679</v>
      </c>
      <c r="F573" s="29" t="n">
        <f aca="false">IF(D573=0,"",E573/D573)</f>
        <v>-0.156233333333333</v>
      </c>
      <c r="G573" s="26" t="n">
        <v>469</v>
      </c>
      <c r="H573" s="39" t="n">
        <v>6.857</v>
      </c>
      <c r="I573" s="29" t="n">
        <f aca="false">IF(G573=0,"",H573/G573)</f>
        <v>0.0146204690831557</v>
      </c>
      <c r="J573" s="26" t="n">
        <v>2</v>
      </c>
      <c r="K573" s="43" t="n">
        <v>0.379</v>
      </c>
      <c r="L573" s="43" t="n">
        <v>0.5884</v>
      </c>
      <c r="M573" s="43" t="n">
        <v>0.4811</v>
      </c>
      <c r="N573" s="43" t="n">
        <v>0.379</v>
      </c>
      <c r="O573" s="43" t="n">
        <v>0</v>
      </c>
      <c r="P573" s="26" t="n">
        <v>9</v>
      </c>
      <c r="Q573" s="26" t="n">
        <v>14</v>
      </c>
    </row>
    <row r="574" customFormat="false" ht="15" hidden="false" customHeight="false" outlineLevel="0" collapsed="false">
      <c r="A574" s="8" t="s">
        <v>109</v>
      </c>
      <c r="B574" s="8" t="s">
        <v>360</v>
      </c>
      <c r="C574" s="26" t="n">
        <v>925</v>
      </c>
      <c r="D574" s="26" t="n">
        <v>493</v>
      </c>
      <c r="E574" s="39" t="n">
        <v>-77.606</v>
      </c>
      <c r="F574" s="29" t="n">
        <f aca="false">IF(D574=0,"",E574/D574)</f>
        <v>-0.157415821501014</v>
      </c>
      <c r="G574" s="26" t="n">
        <v>432</v>
      </c>
      <c r="H574" s="39" t="n">
        <v>8.113</v>
      </c>
      <c r="I574" s="29" t="n">
        <f aca="false">IF(G574=0,"",H574/G574)</f>
        <v>0.0187800925925926</v>
      </c>
      <c r="J574" s="26" t="n">
        <v>3</v>
      </c>
      <c r="K574" s="43" t="n">
        <v>0.3157</v>
      </c>
      <c r="L574" s="43" t="n">
        <v>0.5903</v>
      </c>
      <c r="M574" s="43" t="n">
        <v>0.4746</v>
      </c>
      <c r="N574" s="43" t="n">
        <v>0.3665</v>
      </c>
      <c r="O574" s="43" t="n">
        <v>0.3157</v>
      </c>
      <c r="P574" s="26" t="n">
        <v>5</v>
      </c>
      <c r="Q574" s="26" t="n">
        <v>19</v>
      </c>
    </row>
    <row r="575" customFormat="false" ht="15" hidden="false" customHeight="false" outlineLevel="0" collapsed="false">
      <c r="A575" s="8" t="s">
        <v>109</v>
      </c>
      <c r="B575" s="8" t="s">
        <v>294</v>
      </c>
      <c r="C575" s="26" t="n">
        <v>799</v>
      </c>
      <c r="D575" s="26" t="n">
        <v>418</v>
      </c>
      <c r="E575" s="39" t="n">
        <v>-65.954</v>
      </c>
      <c r="F575" s="29" t="n">
        <f aca="false">IF(D575=0,"",E575/D575)</f>
        <v>-0.157784688995215</v>
      </c>
      <c r="G575" s="26" t="n">
        <v>381</v>
      </c>
      <c r="H575" s="39" t="n">
        <v>-6.296</v>
      </c>
      <c r="I575" s="29" t="n">
        <f aca="false">IF(G575=0,"",H575/G575)</f>
        <v>-0.0165249343832021</v>
      </c>
      <c r="J575" s="26" t="n">
        <v>2</v>
      </c>
      <c r="K575" s="43" t="n">
        <v>0.3104</v>
      </c>
      <c r="L575" s="43" t="n">
        <v>0.5957</v>
      </c>
      <c r="M575" s="43" t="n">
        <v>0.4768</v>
      </c>
      <c r="N575" s="43" t="n">
        <v>0.3642</v>
      </c>
      <c r="O575" s="43" t="n">
        <v>0.3104</v>
      </c>
      <c r="P575" s="26" t="n">
        <v>4</v>
      </c>
      <c r="Q575" s="26" t="n">
        <v>18</v>
      </c>
    </row>
    <row r="576" customFormat="false" ht="15" hidden="false" customHeight="false" outlineLevel="0" collapsed="false">
      <c r="A576" s="8" t="s">
        <v>109</v>
      </c>
      <c r="B576" s="8" t="s">
        <v>252</v>
      </c>
      <c r="C576" s="26" t="n">
        <v>655</v>
      </c>
      <c r="D576" s="26" t="n">
        <v>366</v>
      </c>
      <c r="E576" s="39" t="n">
        <v>-60.772</v>
      </c>
      <c r="F576" s="29" t="n">
        <f aca="false">IF(D576=0,"",E576/D576)</f>
        <v>-0.166043715846995</v>
      </c>
      <c r="G576" s="26" t="n">
        <v>289</v>
      </c>
      <c r="H576" s="39" t="n">
        <v>8.405</v>
      </c>
      <c r="I576" s="29" t="n">
        <f aca="false">IF(G576=0,"",H576/G576)</f>
        <v>0.029083044982699</v>
      </c>
      <c r="J576" s="26" t="n">
        <v>2</v>
      </c>
      <c r="K576" s="43" t="n">
        <v>0.3145</v>
      </c>
      <c r="L576" s="43" t="n">
        <v>0.574</v>
      </c>
      <c r="M576" s="43" t="n">
        <v>0.484</v>
      </c>
      <c r="N576" s="43" t="n">
        <v>0.3588</v>
      </c>
      <c r="O576" s="43" t="n">
        <v>0.3145</v>
      </c>
      <c r="P576" s="26" t="n">
        <v>5</v>
      </c>
      <c r="Q576" s="26" t="n">
        <v>19</v>
      </c>
    </row>
    <row r="577" customFormat="false" ht="15" hidden="false" customHeight="false" outlineLevel="0" collapsed="false">
      <c r="A577" s="8" t="s">
        <v>109</v>
      </c>
      <c r="B577" s="8" t="s">
        <v>289</v>
      </c>
      <c r="C577" s="26" t="n">
        <v>743</v>
      </c>
      <c r="D577" s="26" t="n">
        <v>387</v>
      </c>
      <c r="E577" s="39" t="n">
        <v>-64.264</v>
      </c>
      <c r="F577" s="29" t="n">
        <f aca="false">IF(D577=0,"",E577/D577)</f>
        <v>-0.16605684754522</v>
      </c>
      <c r="G577" s="26" t="n">
        <v>356</v>
      </c>
      <c r="H577" s="39" t="n">
        <v>0.767</v>
      </c>
      <c r="I577" s="29" t="n">
        <f aca="false">IF(G577=0,"",H577/G577)</f>
        <v>0.00215449438202247</v>
      </c>
      <c r="J577" s="26" t="n">
        <v>2</v>
      </c>
      <c r="K577" s="43" t="n">
        <v>0.3122</v>
      </c>
      <c r="L577" s="43" t="n">
        <v>0.5868</v>
      </c>
      <c r="M577" s="43" t="n">
        <v>0.4738</v>
      </c>
      <c r="N577" s="43" t="n">
        <v>0.3688</v>
      </c>
      <c r="O577" s="43" t="n">
        <v>0.3122</v>
      </c>
      <c r="P577" s="26" t="n">
        <v>5</v>
      </c>
      <c r="Q577" s="26" t="n">
        <v>17</v>
      </c>
    </row>
    <row r="578" customFormat="false" ht="15" hidden="false" customHeight="false" outlineLevel="0" collapsed="false">
      <c r="A578" s="8" t="s">
        <v>109</v>
      </c>
      <c r="B578" s="8" t="s">
        <v>382</v>
      </c>
      <c r="C578" s="26" t="n">
        <v>980</v>
      </c>
      <c r="D578" s="26" t="n">
        <v>506</v>
      </c>
      <c r="E578" s="39" t="n">
        <v>-85.224</v>
      </c>
      <c r="F578" s="29" t="n">
        <f aca="false">IF(D578=0,"",E578/D578)</f>
        <v>-0.168426877470356</v>
      </c>
      <c r="G578" s="26" t="n">
        <v>474</v>
      </c>
      <c r="H578" s="39" t="n">
        <v>-1.957</v>
      </c>
      <c r="I578" s="29" t="n">
        <f aca="false">IF(G578=0,"",H578/G578)</f>
        <v>-0.00412869198312236</v>
      </c>
      <c r="J578" s="26" t="n">
        <v>1</v>
      </c>
      <c r="K578" s="43" t="n">
        <v>0.3122</v>
      </c>
      <c r="L578" s="43" t="n">
        <v>0.5867</v>
      </c>
      <c r="M578" s="43" t="n">
        <v>0.4786</v>
      </c>
      <c r="N578" s="43" t="n">
        <v>0.3806</v>
      </c>
      <c r="O578" s="43" t="n">
        <v>0.3122</v>
      </c>
      <c r="P578" s="26" t="n">
        <v>5</v>
      </c>
      <c r="Q578" s="26" t="n">
        <v>14</v>
      </c>
    </row>
    <row r="579" customFormat="false" ht="15" hidden="false" customHeight="false" outlineLevel="0" collapsed="false">
      <c r="A579" s="8" t="s">
        <v>109</v>
      </c>
      <c r="B579" s="8" t="s">
        <v>249</v>
      </c>
      <c r="C579" s="26" t="n">
        <v>679</v>
      </c>
      <c r="D579" s="26" t="n">
        <v>354</v>
      </c>
      <c r="E579" s="39" t="n">
        <v>-62.265</v>
      </c>
      <c r="F579" s="29" t="n">
        <f aca="false">IF(D579=0,"",E579/D579)</f>
        <v>-0.175889830508475</v>
      </c>
      <c r="G579" s="26" t="n">
        <v>325</v>
      </c>
      <c r="H579" s="39" t="n">
        <v>20.328</v>
      </c>
      <c r="I579" s="29" t="n">
        <f aca="false">IF(G579=0,"",H579/G579)</f>
        <v>0.0625476923076923</v>
      </c>
      <c r="J579" s="26" t="n">
        <v>3</v>
      </c>
      <c r="K579" s="43" t="n">
        <v>0.3196</v>
      </c>
      <c r="L579" s="43" t="n">
        <v>0.592</v>
      </c>
      <c r="M579" s="43" t="n">
        <v>0.4772</v>
      </c>
      <c r="N579" s="43" t="n">
        <v>0.3814</v>
      </c>
      <c r="O579" s="43" t="n">
        <v>0.3196</v>
      </c>
      <c r="P579" s="26" t="n">
        <v>4</v>
      </c>
      <c r="Q579" s="26" t="n">
        <v>17</v>
      </c>
    </row>
    <row r="580" customFormat="false" ht="15" hidden="false" customHeight="false" outlineLevel="0" collapsed="false">
      <c r="A580" s="8" t="s">
        <v>109</v>
      </c>
      <c r="B580" s="8" t="s">
        <v>305</v>
      </c>
      <c r="C580" s="26" t="n">
        <v>798</v>
      </c>
      <c r="D580" s="26" t="n">
        <v>418</v>
      </c>
      <c r="E580" s="39" t="n">
        <v>-78.009</v>
      </c>
      <c r="F580" s="29" t="n">
        <f aca="false">IF(D580=0,"",E580/D580)</f>
        <v>-0.186624401913876</v>
      </c>
      <c r="G580" s="26" t="n">
        <v>380</v>
      </c>
      <c r="H580" s="39" t="n">
        <v>6.678</v>
      </c>
      <c r="I580" s="29" t="n">
        <f aca="false">IF(G580=0,"",H580/G580)</f>
        <v>0.0175736842105263</v>
      </c>
      <c r="J580" s="26" t="n">
        <v>2</v>
      </c>
      <c r="K580" s="43" t="n">
        <v>0.3108</v>
      </c>
      <c r="L580" s="43" t="n">
        <v>0.5789</v>
      </c>
      <c r="M580" s="43" t="n">
        <v>0.4662</v>
      </c>
      <c r="N580" s="43" t="n">
        <v>0.3571</v>
      </c>
      <c r="O580" s="43" t="n">
        <v>0.3108</v>
      </c>
      <c r="P580" s="26" t="n">
        <v>5</v>
      </c>
      <c r="Q580" s="26" t="n">
        <v>18</v>
      </c>
    </row>
    <row r="581" customFormat="false" ht="15" hidden="false" customHeight="false" outlineLevel="0" collapsed="false">
      <c r="A581" s="8" t="s">
        <v>109</v>
      </c>
      <c r="B581" s="8" t="s">
        <v>254</v>
      </c>
      <c r="C581" s="26" t="n">
        <v>708</v>
      </c>
      <c r="D581" s="26" t="n">
        <v>362</v>
      </c>
      <c r="E581" s="39" t="n">
        <v>-68.184</v>
      </c>
      <c r="F581" s="29" t="n">
        <f aca="false">IF(D581=0,"",E581/D581)</f>
        <v>-0.188353591160221</v>
      </c>
      <c r="G581" s="26" t="n">
        <v>346</v>
      </c>
      <c r="H581" s="39" t="n">
        <v>-25.011</v>
      </c>
      <c r="I581" s="29" t="n">
        <f aca="false">IF(G581=0,"",H581/G581)</f>
        <v>-0.0722861271676301</v>
      </c>
      <c r="J581" s="26" t="n">
        <v>2</v>
      </c>
      <c r="K581" s="43" t="n">
        <v>0.2966</v>
      </c>
      <c r="L581" s="43" t="n">
        <v>0.572</v>
      </c>
      <c r="M581" s="43" t="n">
        <v>0.4689</v>
      </c>
      <c r="N581" s="43" t="n">
        <v>0.3531</v>
      </c>
      <c r="O581" s="43" t="n">
        <v>0.2966</v>
      </c>
      <c r="P581" s="26" t="n">
        <v>4</v>
      </c>
      <c r="Q581" s="26" t="n">
        <v>21</v>
      </c>
    </row>
    <row r="582" customFormat="false" ht="15" hidden="false" customHeight="false" outlineLevel="0" collapsed="false">
      <c r="A582" s="8" t="s">
        <v>109</v>
      </c>
      <c r="B582" s="8" t="s">
        <v>275</v>
      </c>
      <c r="C582" s="26" t="n">
        <v>700</v>
      </c>
      <c r="D582" s="26" t="n">
        <v>363</v>
      </c>
      <c r="E582" s="39" t="n">
        <v>-68.617</v>
      </c>
      <c r="F582" s="29" t="n">
        <f aca="false">IF(D582=0,"",E582/D582)</f>
        <v>-0.189027548209366</v>
      </c>
      <c r="G582" s="26" t="n">
        <v>337</v>
      </c>
      <c r="H582" s="39" t="n">
        <v>14.194</v>
      </c>
      <c r="I582" s="29" t="n">
        <f aca="false">IF(G582=0,"",H582/G582)</f>
        <v>0.0421186943620178</v>
      </c>
      <c r="J582" s="26" t="n">
        <v>3</v>
      </c>
      <c r="K582" s="43" t="n">
        <v>0.3143</v>
      </c>
      <c r="L582" s="43" t="n">
        <v>0.6014</v>
      </c>
      <c r="M582" s="43" t="n">
        <v>0.4829</v>
      </c>
      <c r="N582" s="43" t="n">
        <v>0.3743</v>
      </c>
      <c r="O582" s="43" t="n">
        <v>0.3143</v>
      </c>
      <c r="P582" s="26" t="n">
        <v>4</v>
      </c>
      <c r="Q582" s="26" t="n">
        <v>18</v>
      </c>
    </row>
    <row r="583" customFormat="false" ht="15" hidden="false" customHeight="false" outlineLevel="0" collapsed="false">
      <c r="A583" s="8" t="s">
        <v>109</v>
      </c>
      <c r="B583" s="8" t="s">
        <v>248</v>
      </c>
      <c r="C583" s="26" t="n">
        <v>627</v>
      </c>
      <c r="D583" s="26" t="n">
        <v>326</v>
      </c>
      <c r="E583" s="39" t="n">
        <v>-63.541</v>
      </c>
      <c r="F583" s="29" t="n">
        <f aca="false">IF(D583=0,"",E583/D583)</f>
        <v>-0.194911042944785</v>
      </c>
      <c r="G583" s="26" t="n">
        <v>301</v>
      </c>
      <c r="H583" s="39" t="n">
        <v>11.599</v>
      </c>
      <c r="I583" s="29" t="n">
        <f aca="false">IF(G583=0,"",H583/G583)</f>
        <v>0.0385348837209302</v>
      </c>
      <c r="J583" s="26" t="n">
        <v>2</v>
      </c>
      <c r="K583" s="43" t="n">
        <v>0.3126</v>
      </c>
      <c r="L583" s="43" t="n">
        <v>0.5837</v>
      </c>
      <c r="M583" s="43" t="n">
        <v>0.4769</v>
      </c>
      <c r="N583" s="43" t="n">
        <v>0.3796</v>
      </c>
      <c r="O583" s="43" t="n">
        <v>0.3126</v>
      </c>
      <c r="P583" s="26" t="n">
        <v>4</v>
      </c>
      <c r="Q583" s="26" t="n">
        <v>20</v>
      </c>
    </row>
    <row r="584" customFormat="false" ht="15" hidden="false" customHeight="false" outlineLevel="0" collapsed="false">
      <c r="A584" s="8" t="s">
        <v>109</v>
      </c>
      <c r="B584" s="8" t="s">
        <v>269</v>
      </c>
      <c r="C584" s="26" t="n">
        <v>86</v>
      </c>
      <c r="D584" s="26" t="n">
        <v>47</v>
      </c>
      <c r="E584" s="39" t="n">
        <v>-9.69</v>
      </c>
      <c r="F584" s="29" t="n">
        <f aca="false">IF(D584=0,"",E584/D584)</f>
        <v>-0.206170212765957</v>
      </c>
      <c r="G584" s="26" t="n">
        <v>39</v>
      </c>
      <c r="H584" s="39" t="n">
        <v>5.666</v>
      </c>
      <c r="I584" s="29" t="n">
        <f aca="false">IF(G584=0,"",H584/G584)</f>
        <v>0.145282051282051</v>
      </c>
      <c r="J584" s="26" t="n">
        <v>2</v>
      </c>
      <c r="K584" s="43" t="n">
        <v>0.3256</v>
      </c>
      <c r="L584" s="43" t="n">
        <v>0.5349</v>
      </c>
      <c r="M584" s="43" t="n">
        <v>0.4767</v>
      </c>
      <c r="N584" s="43" t="n">
        <v>0.3488</v>
      </c>
      <c r="O584" s="43" t="n">
        <v>0.3256</v>
      </c>
      <c r="P584" s="26" t="n">
        <v>6</v>
      </c>
      <c r="Q584" s="26" t="n">
        <v>9</v>
      </c>
    </row>
    <row r="585" customFormat="false" ht="15" hidden="false" customHeight="false" outlineLevel="0" collapsed="false">
      <c r="A585" s="8" t="s">
        <v>109</v>
      </c>
      <c r="B585" s="8" t="s">
        <v>251</v>
      </c>
      <c r="C585" s="26" t="n">
        <v>463</v>
      </c>
      <c r="D585" s="26" t="n">
        <v>258</v>
      </c>
      <c r="E585" s="39" t="n">
        <v>-54.584</v>
      </c>
      <c r="F585" s="29" t="n">
        <f aca="false">IF(D585=0,"",E585/D585)</f>
        <v>-0.211565891472868</v>
      </c>
      <c r="G585" s="26" t="n">
        <v>205</v>
      </c>
      <c r="H585" s="39" t="n">
        <v>17.986</v>
      </c>
      <c r="I585" s="29" t="n">
        <f aca="false">IF(G585=0,"",H585/G585)</f>
        <v>0.0877365853658537</v>
      </c>
      <c r="J585" s="26" t="n">
        <v>3</v>
      </c>
      <c r="K585" s="43" t="n">
        <v>0.3153</v>
      </c>
      <c r="L585" s="43" t="n">
        <v>0.5788</v>
      </c>
      <c r="M585" s="43" t="n">
        <v>0.4903</v>
      </c>
      <c r="N585" s="43" t="n">
        <v>0.3585</v>
      </c>
      <c r="O585" s="43" t="n">
        <v>0.3153</v>
      </c>
      <c r="P585" s="26" t="n">
        <v>9</v>
      </c>
      <c r="Q585" s="26" t="n">
        <v>20</v>
      </c>
    </row>
    <row r="586" customFormat="false" ht="15" hidden="false" customHeight="false" outlineLevel="0" collapsed="false">
      <c r="A586" s="8" t="s">
        <v>109</v>
      </c>
      <c r="B586" s="8" t="s">
        <v>300</v>
      </c>
      <c r="C586" s="26" t="n">
        <v>539</v>
      </c>
      <c r="D586" s="26" t="n">
        <v>282</v>
      </c>
      <c r="E586" s="39" t="n">
        <v>-59.695</v>
      </c>
      <c r="F586" s="29" t="n">
        <f aca="false">IF(D586=0,"",E586/D586)</f>
        <v>-0.211684397163121</v>
      </c>
      <c r="G586" s="26" t="n">
        <v>257</v>
      </c>
      <c r="H586" s="39" t="n">
        <v>28.952</v>
      </c>
      <c r="I586" s="29" t="n">
        <f aca="false">IF(G586=0,"",H586/G586)</f>
        <v>0.112653696498054</v>
      </c>
      <c r="J586" s="26" t="n">
        <v>3</v>
      </c>
      <c r="K586" s="43" t="n">
        <v>0.321</v>
      </c>
      <c r="L586" s="43" t="n">
        <v>0.5881</v>
      </c>
      <c r="M586" s="43" t="n">
        <v>0.4694</v>
      </c>
      <c r="N586" s="43" t="n">
        <v>0.3878</v>
      </c>
      <c r="O586" s="43" t="n">
        <v>0.321</v>
      </c>
      <c r="P586" s="26" t="n">
        <v>7</v>
      </c>
      <c r="Q586" s="26" t="n">
        <v>16</v>
      </c>
    </row>
    <row r="587" customFormat="false" ht="15" hidden="false" customHeight="false" outlineLevel="0" collapsed="false">
      <c r="A587" s="8" t="s">
        <v>109</v>
      </c>
      <c r="B587" s="8" t="s">
        <v>255</v>
      </c>
      <c r="C587" s="26" t="n">
        <v>494</v>
      </c>
      <c r="D587" s="26" t="n">
        <v>271</v>
      </c>
      <c r="E587" s="39" t="n">
        <v>-58.426</v>
      </c>
      <c r="F587" s="29" t="n">
        <f aca="false">IF(D587=0,"",E587/D587)</f>
        <v>-0.215594095940959</v>
      </c>
      <c r="G587" s="26" t="n">
        <v>223</v>
      </c>
      <c r="H587" s="39" t="n">
        <v>8.92</v>
      </c>
      <c r="I587" s="29" t="n">
        <f aca="false">IF(G587=0,"",H587/G587)</f>
        <v>0.04</v>
      </c>
      <c r="J587" s="26" t="n">
        <v>2</v>
      </c>
      <c r="K587" s="43" t="n">
        <v>0.3077</v>
      </c>
      <c r="L587" s="43" t="n">
        <v>0.5607</v>
      </c>
      <c r="M587" s="43" t="n">
        <v>0.4717</v>
      </c>
      <c r="N587" s="43" t="n">
        <v>0.3522</v>
      </c>
      <c r="O587" s="43" t="n">
        <v>0.3077</v>
      </c>
      <c r="P587" s="26" t="n">
        <v>4</v>
      </c>
      <c r="Q587" s="26" t="n">
        <v>13</v>
      </c>
    </row>
    <row r="588" customFormat="false" ht="15" hidden="false" customHeight="false" outlineLevel="0" collapsed="false">
      <c r="A588" s="8" t="s">
        <v>109</v>
      </c>
      <c r="B588" s="8" t="s">
        <v>258</v>
      </c>
      <c r="C588" s="26" t="n">
        <v>554</v>
      </c>
      <c r="D588" s="26" t="n">
        <v>283</v>
      </c>
      <c r="E588" s="39" t="n">
        <v>-61.464</v>
      </c>
      <c r="F588" s="29" t="n">
        <f aca="false">IF(D588=0,"",E588/D588)</f>
        <v>-0.217187279151943</v>
      </c>
      <c r="G588" s="26" t="n">
        <v>271</v>
      </c>
      <c r="H588" s="39" t="n">
        <v>44.485</v>
      </c>
      <c r="I588" s="29" t="n">
        <f aca="false">IF(G588=0,"",H588/G588)</f>
        <v>0.164151291512915</v>
      </c>
      <c r="J588" s="26" t="n">
        <v>4</v>
      </c>
      <c r="K588" s="43" t="n">
        <v>0.3303</v>
      </c>
      <c r="L588" s="43" t="n">
        <v>0.5957</v>
      </c>
      <c r="M588" s="43" t="n">
        <v>0.4783</v>
      </c>
      <c r="N588" s="43" t="n">
        <v>0.3773</v>
      </c>
      <c r="O588" s="43" t="n">
        <v>0.3303</v>
      </c>
      <c r="P588" s="26" t="n">
        <v>6</v>
      </c>
      <c r="Q588" s="26" t="n">
        <v>11</v>
      </c>
    </row>
    <row r="589" customFormat="false" ht="15" hidden="false" customHeight="false" outlineLevel="0" collapsed="false">
      <c r="A589" s="8" t="s">
        <v>109</v>
      </c>
      <c r="B589" s="8" t="s">
        <v>256</v>
      </c>
      <c r="C589" s="26" t="n">
        <v>250</v>
      </c>
      <c r="D589" s="26" t="n">
        <v>135</v>
      </c>
      <c r="E589" s="39" t="n">
        <v>-29.436</v>
      </c>
      <c r="F589" s="29" t="n">
        <f aca="false">IF(D589=0,"",E589/D589)</f>
        <v>-0.218044444444444</v>
      </c>
      <c r="G589" s="26" t="n">
        <v>115</v>
      </c>
      <c r="H589" s="39" t="n">
        <v>-8.314</v>
      </c>
      <c r="I589" s="29" t="n">
        <f aca="false">IF(G589=0,"",H589/G589)</f>
        <v>-0.072295652173913</v>
      </c>
      <c r="J589" s="26" t="n">
        <v>1</v>
      </c>
      <c r="K589" s="43" t="n">
        <v>0.292</v>
      </c>
      <c r="L589" s="43" t="n">
        <v>0.556</v>
      </c>
      <c r="M589" s="43" t="n">
        <v>0.472</v>
      </c>
      <c r="N589" s="43" t="n">
        <v>0.332</v>
      </c>
      <c r="O589" s="43" t="n">
        <v>0.292</v>
      </c>
      <c r="P589" s="26" t="n">
        <v>5</v>
      </c>
      <c r="Q589" s="26" t="n">
        <v>11</v>
      </c>
    </row>
    <row r="590" customFormat="false" ht="15" hidden="false" customHeight="false" outlineLevel="0" collapsed="false">
      <c r="A590" s="8" t="s">
        <v>109</v>
      </c>
      <c r="B590" s="8" t="s">
        <v>385</v>
      </c>
      <c r="C590" s="26" t="n">
        <v>1114</v>
      </c>
      <c r="D590" s="26" t="n">
        <v>575</v>
      </c>
      <c r="E590" s="39" t="n">
        <v>-129.326</v>
      </c>
      <c r="F590" s="29" t="n">
        <f aca="false">IF(D590=0,"",E590/D590)</f>
        <v>-0.224914782608696</v>
      </c>
      <c r="G590" s="26" t="n">
        <v>539</v>
      </c>
      <c r="H590" s="39" t="n">
        <v>6.107</v>
      </c>
      <c r="I590" s="29" t="n">
        <f aca="false">IF(G590=0,"",H590/G590)</f>
        <v>0.011330241187384</v>
      </c>
      <c r="J590" s="26" t="n">
        <v>2</v>
      </c>
      <c r="K590" s="43" t="n">
        <v>0.307</v>
      </c>
      <c r="L590" s="43" t="n">
        <v>0.5646</v>
      </c>
      <c r="M590" s="43" t="n">
        <v>0.474</v>
      </c>
      <c r="N590" s="43" t="n">
        <v>0.3689</v>
      </c>
      <c r="O590" s="43" t="n">
        <v>0.307</v>
      </c>
      <c r="P590" s="26" t="n">
        <v>6</v>
      </c>
      <c r="Q590" s="26" t="n">
        <v>16</v>
      </c>
    </row>
    <row r="591" customFormat="false" ht="15" hidden="false" customHeight="false" outlineLevel="0" collapsed="false">
      <c r="A591" s="8" t="s">
        <v>109</v>
      </c>
      <c r="B591" s="8" t="s">
        <v>245</v>
      </c>
      <c r="C591" s="26" t="n">
        <v>309</v>
      </c>
      <c r="D591" s="26" t="n">
        <v>176</v>
      </c>
      <c r="E591" s="39" t="n">
        <v>-44.1</v>
      </c>
      <c r="F591" s="29" t="n">
        <f aca="false">IF(D591=0,"",E591/D591)</f>
        <v>-0.250568181818182</v>
      </c>
      <c r="G591" s="26" t="n">
        <v>133</v>
      </c>
      <c r="H591" s="39" t="n">
        <v>-8.198</v>
      </c>
      <c r="I591" s="29" t="n">
        <f aca="false">IF(G591=0,"",H591/G591)</f>
        <v>-0.0616390977443609</v>
      </c>
      <c r="J591" s="26" t="n">
        <v>2</v>
      </c>
      <c r="K591" s="43" t="n">
        <v>0.2848</v>
      </c>
      <c r="L591" s="43" t="n">
        <v>0.5761</v>
      </c>
      <c r="M591" s="43" t="n">
        <v>0.4401</v>
      </c>
      <c r="N591" s="43" t="n">
        <v>0.3463</v>
      </c>
      <c r="O591" s="43" t="n">
        <v>0.2848</v>
      </c>
      <c r="P591" s="26" t="n">
        <v>4</v>
      </c>
      <c r="Q591" s="26" t="n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46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4" min="9" style="0" width="8"/>
  </cols>
  <sheetData>
    <row r="1" customFormat="false" ht="15" hidden="false" customHeight="false" outlineLevel="0" collapsed="false">
      <c r="A1" s="3" t="s">
        <v>386</v>
      </c>
    </row>
    <row r="2" customFormat="false" ht="27.75" hidden="false" customHeight="true" outlineLevel="0" collapsed="false">
      <c r="A2" s="38" t="s">
        <v>387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customFormat="false" ht="15" hidden="false" customHeight="false" outlineLevel="0" collapsed="false">
      <c r="A4" s="6" t="s">
        <v>388</v>
      </c>
    </row>
    <row r="5" customFormat="false" ht="54" hidden="false" customHeight="true" outlineLevel="0" collapsed="false">
      <c r="A5" s="7" t="s">
        <v>135</v>
      </c>
      <c r="B5" s="7" t="s">
        <v>389</v>
      </c>
      <c r="C5" s="7" t="s">
        <v>138</v>
      </c>
      <c r="D5" s="7" t="s">
        <v>221</v>
      </c>
      <c r="E5" s="7" t="s">
        <v>222</v>
      </c>
      <c r="F5" s="7" t="s">
        <v>239</v>
      </c>
      <c r="G5" s="7" t="s">
        <v>139</v>
      </c>
      <c r="H5" s="7" t="s">
        <v>146</v>
      </c>
      <c r="I5" s="7" t="s">
        <v>147</v>
      </c>
    </row>
    <row r="6" customFormat="false" ht="22.35" hidden="false" customHeight="false" outlineLevel="0" collapsed="false">
      <c r="A6" s="8" t="s">
        <v>62</v>
      </c>
      <c r="B6" s="9" t="s">
        <v>390</v>
      </c>
      <c r="C6" s="26" t="n">
        <v>1176</v>
      </c>
      <c r="D6" s="44" t="n">
        <v>0.0396</v>
      </c>
      <c r="E6" s="45" t="n">
        <v>-0.0188</v>
      </c>
      <c r="F6" s="26" t="n">
        <v>4</v>
      </c>
      <c r="G6" s="43" t="n">
        <v>0.3512</v>
      </c>
      <c r="H6" s="26" t="n">
        <v>5</v>
      </c>
      <c r="I6" s="26" t="n">
        <v>15</v>
      </c>
    </row>
    <row r="7" customFormat="false" ht="32.8" hidden="false" customHeight="false" outlineLevel="0" collapsed="false">
      <c r="A7" s="8" t="s">
        <v>62</v>
      </c>
      <c r="B7" s="9" t="s">
        <v>391</v>
      </c>
      <c r="C7" s="26" t="n">
        <v>1176</v>
      </c>
      <c r="D7" s="44" t="n">
        <v>0.0396</v>
      </c>
      <c r="E7" s="45" t="n">
        <v>-0.0188</v>
      </c>
      <c r="F7" s="26" t="n">
        <v>4</v>
      </c>
      <c r="G7" s="43" t="n">
        <v>0.3512</v>
      </c>
      <c r="H7" s="26" t="n">
        <v>5</v>
      </c>
      <c r="I7" s="26" t="n">
        <v>15</v>
      </c>
    </row>
    <row r="8" customFormat="false" ht="22.35" hidden="false" customHeight="false" outlineLevel="0" collapsed="false">
      <c r="A8" s="8" t="s">
        <v>62</v>
      </c>
      <c r="B8" s="9" t="s">
        <v>392</v>
      </c>
      <c r="C8" s="26" t="n">
        <v>1194</v>
      </c>
      <c r="D8" s="44" t="n">
        <v>0.038</v>
      </c>
      <c r="E8" s="45" t="n">
        <v>-0.0139</v>
      </c>
      <c r="F8" s="26" t="n">
        <v>4</v>
      </c>
      <c r="G8" s="43" t="n">
        <v>0.3518</v>
      </c>
      <c r="H8" s="26" t="n">
        <v>5</v>
      </c>
      <c r="I8" s="26" t="n">
        <v>16</v>
      </c>
    </row>
    <row r="9" customFormat="false" ht="22.35" hidden="false" customHeight="false" outlineLevel="0" collapsed="false">
      <c r="A9" s="8" t="s">
        <v>62</v>
      </c>
      <c r="B9" s="9" t="s">
        <v>393</v>
      </c>
      <c r="C9" s="26" t="n">
        <v>1180</v>
      </c>
      <c r="D9" s="44" t="n">
        <v>0.0359</v>
      </c>
      <c r="E9" s="45" t="n">
        <v>-0.0123</v>
      </c>
      <c r="F9" s="26" t="n">
        <v>4</v>
      </c>
      <c r="G9" s="43" t="n">
        <v>0.3517</v>
      </c>
      <c r="H9" s="26" t="n">
        <v>5</v>
      </c>
      <c r="I9" s="26" t="n">
        <v>15</v>
      </c>
    </row>
    <row r="10" customFormat="false" ht="32.8" hidden="false" customHeight="false" outlineLevel="0" collapsed="false">
      <c r="A10" s="8" t="s">
        <v>62</v>
      </c>
      <c r="B10" s="9" t="s">
        <v>394</v>
      </c>
      <c r="C10" s="26" t="n">
        <v>1469</v>
      </c>
      <c r="D10" s="44" t="n">
        <v>0.0125</v>
      </c>
      <c r="E10" s="45" t="n">
        <v>-0.0432</v>
      </c>
      <c r="F10" s="26" t="n">
        <v>2</v>
      </c>
      <c r="G10" s="43" t="n">
        <v>0.3431</v>
      </c>
      <c r="H10" s="26" t="n">
        <v>8</v>
      </c>
      <c r="I10" s="26" t="n">
        <v>12</v>
      </c>
    </row>
    <row r="11" customFormat="false" ht="32.8" hidden="false" customHeight="false" outlineLevel="0" collapsed="false">
      <c r="A11" s="8" t="s">
        <v>62</v>
      </c>
      <c r="B11" s="9" t="s">
        <v>395</v>
      </c>
      <c r="C11" s="26" t="n">
        <v>1430</v>
      </c>
      <c r="D11" s="44" t="n">
        <v>0.006</v>
      </c>
      <c r="E11" s="45" t="n">
        <v>-0.0398</v>
      </c>
      <c r="F11" s="26" t="n">
        <v>2</v>
      </c>
      <c r="G11" s="43" t="n">
        <v>0.3427</v>
      </c>
      <c r="H11" s="26" t="n">
        <v>8</v>
      </c>
      <c r="I11" s="26" t="n">
        <v>14</v>
      </c>
    </row>
    <row r="12" customFormat="false" ht="43.25" hidden="false" customHeight="false" outlineLevel="0" collapsed="false">
      <c r="A12" s="8" t="s">
        <v>62</v>
      </c>
      <c r="B12" s="9" t="s">
        <v>396</v>
      </c>
      <c r="C12" s="26" t="n">
        <v>1427</v>
      </c>
      <c r="D12" s="44" t="n">
        <v>0.0059</v>
      </c>
      <c r="E12" s="45" t="n">
        <v>-0.044</v>
      </c>
      <c r="F12" s="26" t="n">
        <v>2</v>
      </c>
      <c r="G12" s="43" t="n">
        <v>0.342</v>
      </c>
      <c r="H12" s="26" t="n">
        <v>8</v>
      </c>
      <c r="I12" s="26" t="n">
        <v>14</v>
      </c>
    </row>
    <row r="13" customFormat="false" ht="22.35" hidden="false" customHeight="false" outlineLevel="0" collapsed="false">
      <c r="A13" s="8" t="s">
        <v>62</v>
      </c>
      <c r="B13" s="9" t="s">
        <v>397</v>
      </c>
      <c r="C13" s="26" t="n">
        <v>1519</v>
      </c>
      <c r="D13" s="44" t="n">
        <v>0.002</v>
      </c>
      <c r="E13" s="45" t="n">
        <v>-0.0425</v>
      </c>
      <c r="F13" s="26" t="n">
        <v>2</v>
      </c>
      <c r="G13" s="43" t="n">
        <v>0.3417</v>
      </c>
      <c r="H13" s="26" t="n">
        <v>6</v>
      </c>
      <c r="I13" s="26" t="n">
        <v>14</v>
      </c>
    </row>
    <row r="14" customFormat="false" ht="22.35" hidden="false" customHeight="false" outlineLevel="0" collapsed="false">
      <c r="A14" s="8" t="s">
        <v>62</v>
      </c>
      <c r="B14" s="9" t="s">
        <v>398</v>
      </c>
      <c r="C14" s="26" t="n">
        <v>1620</v>
      </c>
      <c r="D14" s="44" t="n">
        <v>0.0012</v>
      </c>
      <c r="E14" s="44" t="n">
        <v>0.003</v>
      </c>
      <c r="F14" s="26" t="n">
        <v>2</v>
      </c>
      <c r="G14" s="43" t="n">
        <v>0.3488</v>
      </c>
      <c r="H14" s="26" t="n">
        <v>6</v>
      </c>
      <c r="I14" s="26" t="n">
        <v>16</v>
      </c>
    </row>
    <row r="15" customFormat="false" ht="32.8" hidden="false" customHeight="false" outlineLevel="0" collapsed="false">
      <c r="A15" s="8" t="s">
        <v>62</v>
      </c>
      <c r="B15" s="9" t="s">
        <v>399</v>
      </c>
      <c r="C15" s="26" t="n">
        <v>1620</v>
      </c>
      <c r="D15" s="44" t="n">
        <v>0.0012</v>
      </c>
      <c r="E15" s="44" t="n">
        <v>0.003</v>
      </c>
      <c r="F15" s="26" t="n">
        <v>2</v>
      </c>
      <c r="G15" s="43" t="n">
        <v>0.3488</v>
      </c>
      <c r="H15" s="26" t="n">
        <v>6</v>
      </c>
      <c r="I15" s="26" t="n">
        <v>16</v>
      </c>
    </row>
    <row r="16" customFormat="false" ht="15" hidden="false" customHeight="false" outlineLevel="0" collapsed="false">
      <c r="A16" s="8" t="s">
        <v>62</v>
      </c>
      <c r="B16" s="9" t="s">
        <v>242</v>
      </c>
      <c r="C16" s="26" t="n">
        <v>1679</v>
      </c>
      <c r="D16" s="44" t="n">
        <v>0.0003</v>
      </c>
      <c r="E16" s="44" t="n">
        <v>0.0092</v>
      </c>
      <c r="F16" s="26" t="n">
        <v>3</v>
      </c>
      <c r="G16" s="43" t="n">
        <v>0.3496</v>
      </c>
      <c r="H16" s="26" t="n">
        <v>6</v>
      </c>
      <c r="I16" s="26" t="n">
        <v>17</v>
      </c>
    </row>
    <row r="17" customFormat="false" ht="22.35" hidden="false" customHeight="false" outlineLevel="0" collapsed="false">
      <c r="A17" s="8" t="s">
        <v>62</v>
      </c>
      <c r="B17" s="9" t="s">
        <v>400</v>
      </c>
      <c r="C17" s="26" t="n">
        <v>1626</v>
      </c>
      <c r="D17" s="45" t="n">
        <v>-0.0003</v>
      </c>
      <c r="E17" s="44" t="n">
        <v>0.0041</v>
      </c>
      <c r="F17" s="26" t="n">
        <v>2</v>
      </c>
      <c r="G17" s="43" t="n">
        <v>0.3487</v>
      </c>
      <c r="H17" s="26" t="n">
        <v>6</v>
      </c>
      <c r="I17" s="26" t="n">
        <v>16</v>
      </c>
    </row>
    <row r="18" customFormat="false" ht="22.35" hidden="false" customHeight="false" outlineLevel="0" collapsed="false">
      <c r="A18" s="8" t="s">
        <v>62</v>
      </c>
      <c r="B18" s="9" t="s">
        <v>401</v>
      </c>
      <c r="C18" s="26" t="n">
        <v>1345</v>
      </c>
      <c r="D18" s="45" t="n">
        <v>-0.0025</v>
      </c>
      <c r="E18" s="45" t="n">
        <v>-0.0185</v>
      </c>
      <c r="F18" s="26" t="n">
        <v>3</v>
      </c>
      <c r="G18" s="43" t="n">
        <v>0.3383</v>
      </c>
      <c r="H18" s="26" t="n">
        <v>5</v>
      </c>
      <c r="I18" s="26" t="n">
        <v>18</v>
      </c>
    </row>
    <row r="19" customFormat="false" ht="22.35" hidden="false" customHeight="false" outlineLevel="0" collapsed="false">
      <c r="A19" s="8" t="s">
        <v>62</v>
      </c>
      <c r="B19" s="9" t="s">
        <v>402</v>
      </c>
      <c r="C19" s="26" t="n">
        <v>1477</v>
      </c>
      <c r="D19" s="45" t="n">
        <v>-0.0056</v>
      </c>
      <c r="E19" s="45" t="n">
        <v>-0.038</v>
      </c>
      <c r="F19" s="26" t="n">
        <v>2</v>
      </c>
      <c r="G19" s="43" t="n">
        <v>0.3412</v>
      </c>
      <c r="H19" s="26" t="n">
        <v>6</v>
      </c>
      <c r="I19" s="26" t="n">
        <v>14</v>
      </c>
    </row>
    <row r="20" customFormat="false" ht="22.35" hidden="false" customHeight="false" outlineLevel="0" collapsed="false">
      <c r="A20" s="8" t="s">
        <v>62</v>
      </c>
      <c r="B20" s="9" t="s">
        <v>403</v>
      </c>
      <c r="C20" s="26" t="n">
        <v>1306</v>
      </c>
      <c r="D20" s="45" t="n">
        <v>-0.0082</v>
      </c>
      <c r="E20" s="45" t="n">
        <v>-0.0174</v>
      </c>
      <c r="F20" s="26" t="n">
        <v>3</v>
      </c>
      <c r="G20" s="43" t="n">
        <v>0.3377</v>
      </c>
      <c r="H20" s="26" t="n">
        <v>5</v>
      </c>
      <c r="I20" s="26" t="n">
        <v>17</v>
      </c>
    </row>
    <row r="21" customFormat="false" ht="22.35" hidden="false" customHeight="false" outlineLevel="0" collapsed="false">
      <c r="A21" s="8" t="s">
        <v>62</v>
      </c>
      <c r="B21" s="9" t="s">
        <v>404</v>
      </c>
      <c r="C21" s="26" t="n">
        <v>1305</v>
      </c>
      <c r="D21" s="45" t="n">
        <v>-0.0082</v>
      </c>
      <c r="E21" s="45" t="n">
        <v>-0.0159</v>
      </c>
      <c r="F21" s="26" t="n">
        <v>3</v>
      </c>
      <c r="G21" s="43" t="n">
        <v>0.3379</v>
      </c>
      <c r="H21" s="26" t="n">
        <v>5</v>
      </c>
      <c r="I21" s="26" t="n">
        <v>17</v>
      </c>
    </row>
    <row r="22" customFormat="false" ht="32.8" hidden="false" customHeight="false" outlineLevel="0" collapsed="false">
      <c r="A22" s="8" t="s">
        <v>62</v>
      </c>
      <c r="B22" s="9" t="s">
        <v>405</v>
      </c>
      <c r="C22" s="26" t="n">
        <v>1305</v>
      </c>
      <c r="D22" s="45" t="n">
        <v>-0.0082</v>
      </c>
      <c r="E22" s="45" t="n">
        <v>-0.0159</v>
      </c>
      <c r="F22" s="26" t="n">
        <v>3</v>
      </c>
      <c r="G22" s="43" t="n">
        <v>0.3379</v>
      </c>
      <c r="H22" s="26" t="n">
        <v>5</v>
      </c>
      <c r="I22" s="26" t="n">
        <v>17</v>
      </c>
    </row>
    <row r="23" customFormat="false" ht="32.8" hidden="false" customHeight="false" outlineLevel="0" collapsed="false">
      <c r="A23" s="8" t="s">
        <v>62</v>
      </c>
      <c r="B23" s="9" t="s">
        <v>406</v>
      </c>
      <c r="C23" s="26" t="n">
        <v>1474</v>
      </c>
      <c r="D23" s="45" t="n">
        <v>-0.0084</v>
      </c>
      <c r="E23" s="45" t="n">
        <v>-0.0434</v>
      </c>
      <c r="F23" s="26" t="n">
        <v>2</v>
      </c>
      <c r="G23" s="43" t="n">
        <v>0.3399</v>
      </c>
      <c r="H23" s="26" t="n">
        <v>6</v>
      </c>
      <c r="I23" s="26" t="n">
        <v>15</v>
      </c>
    </row>
    <row r="24" customFormat="false" ht="32.8" hidden="false" customHeight="false" outlineLevel="0" collapsed="false">
      <c r="A24" s="8" t="s">
        <v>62</v>
      </c>
      <c r="B24" s="9" t="s">
        <v>407</v>
      </c>
      <c r="C24" s="26" t="n">
        <v>1474</v>
      </c>
      <c r="D24" s="45" t="n">
        <v>-0.0084</v>
      </c>
      <c r="E24" s="45" t="n">
        <v>-0.0434</v>
      </c>
      <c r="F24" s="26" t="n">
        <v>2</v>
      </c>
      <c r="G24" s="43" t="n">
        <v>0.3399</v>
      </c>
      <c r="H24" s="26" t="n">
        <v>6</v>
      </c>
      <c r="I24" s="26" t="n">
        <v>15</v>
      </c>
    </row>
    <row r="25" customFormat="false" ht="32.8" hidden="false" customHeight="false" outlineLevel="0" collapsed="false">
      <c r="A25" s="8" t="s">
        <v>62</v>
      </c>
      <c r="B25" s="9" t="s">
        <v>408</v>
      </c>
      <c r="C25" s="26" t="n">
        <v>1221</v>
      </c>
      <c r="D25" s="45" t="n">
        <v>-0.021</v>
      </c>
      <c r="E25" s="45" t="n">
        <v>-0.0152</v>
      </c>
      <c r="F25" s="26" t="n">
        <v>2</v>
      </c>
      <c r="G25" s="43" t="n">
        <v>0.3366</v>
      </c>
      <c r="H25" s="26" t="n">
        <v>5</v>
      </c>
      <c r="I25" s="26" t="n">
        <v>18</v>
      </c>
    </row>
    <row r="26" customFormat="false" ht="22.35" hidden="false" customHeight="false" outlineLevel="0" collapsed="false">
      <c r="A26" s="8" t="s">
        <v>62</v>
      </c>
      <c r="B26" s="9" t="s">
        <v>409</v>
      </c>
      <c r="C26" s="26" t="n">
        <v>1260</v>
      </c>
      <c r="D26" s="45" t="n">
        <v>-0.0223</v>
      </c>
      <c r="E26" s="45" t="n">
        <v>-0.0106</v>
      </c>
      <c r="F26" s="26" t="n">
        <v>2</v>
      </c>
      <c r="G26" s="43" t="n">
        <v>0.3373</v>
      </c>
      <c r="H26" s="26" t="n">
        <v>6</v>
      </c>
      <c r="I26" s="26" t="n">
        <v>18</v>
      </c>
    </row>
    <row r="27" customFormat="false" ht="32.8" hidden="false" customHeight="false" outlineLevel="0" collapsed="false">
      <c r="A27" s="8" t="s">
        <v>62</v>
      </c>
      <c r="B27" s="9" t="s">
        <v>410</v>
      </c>
      <c r="C27" s="26" t="n">
        <v>1232</v>
      </c>
      <c r="D27" s="45" t="n">
        <v>-0.034</v>
      </c>
      <c r="E27" s="45" t="n">
        <v>-0.0215</v>
      </c>
      <c r="F27" s="26" t="n">
        <v>2</v>
      </c>
      <c r="G27" s="43" t="n">
        <v>0.3336</v>
      </c>
      <c r="H27" s="26" t="n">
        <v>6</v>
      </c>
      <c r="I27" s="26" t="n">
        <v>22</v>
      </c>
    </row>
    <row r="28" customFormat="false" ht="32.8" hidden="false" customHeight="false" outlineLevel="0" collapsed="false">
      <c r="A28" s="8" t="s">
        <v>62</v>
      </c>
      <c r="B28" s="9" t="s">
        <v>411</v>
      </c>
      <c r="C28" s="26" t="n">
        <v>1232</v>
      </c>
      <c r="D28" s="45" t="n">
        <v>-0.034</v>
      </c>
      <c r="E28" s="45" t="n">
        <v>-0.0215</v>
      </c>
      <c r="F28" s="26" t="n">
        <v>2</v>
      </c>
      <c r="G28" s="43" t="n">
        <v>0.3336</v>
      </c>
      <c r="H28" s="26" t="n">
        <v>6</v>
      </c>
      <c r="I28" s="26" t="n">
        <v>22</v>
      </c>
    </row>
    <row r="29" customFormat="false" ht="32.8" hidden="false" customHeight="false" outlineLevel="0" collapsed="false">
      <c r="A29" s="8" t="s">
        <v>62</v>
      </c>
      <c r="B29" s="9" t="s">
        <v>412</v>
      </c>
      <c r="C29" s="26" t="n">
        <v>1457</v>
      </c>
      <c r="D29" s="45" t="n">
        <v>-0.0401</v>
      </c>
      <c r="E29" s="45" t="n">
        <v>-0.0064</v>
      </c>
      <c r="F29" s="26" t="n">
        <v>1</v>
      </c>
      <c r="G29" s="43" t="n">
        <v>0.3404</v>
      </c>
      <c r="H29" s="26" t="n">
        <v>6</v>
      </c>
      <c r="I29" s="26" t="n">
        <v>15</v>
      </c>
    </row>
    <row r="30" customFormat="false" ht="32.8" hidden="false" customHeight="false" outlineLevel="0" collapsed="false">
      <c r="A30" s="8" t="s">
        <v>62</v>
      </c>
      <c r="B30" s="9" t="s">
        <v>413</v>
      </c>
      <c r="C30" s="26" t="n">
        <v>1457</v>
      </c>
      <c r="D30" s="45" t="n">
        <v>-0.0401</v>
      </c>
      <c r="E30" s="45" t="n">
        <v>-0.0064</v>
      </c>
      <c r="F30" s="26" t="n">
        <v>1</v>
      </c>
      <c r="G30" s="43" t="n">
        <v>0.3404</v>
      </c>
      <c r="H30" s="26" t="n">
        <v>6</v>
      </c>
      <c r="I30" s="26" t="n">
        <v>15</v>
      </c>
    </row>
    <row r="31" customFormat="false" ht="15" hidden="false" customHeight="false" outlineLevel="0" collapsed="false">
      <c r="B31" s="46" t="s">
        <v>414</v>
      </c>
    </row>
    <row r="33" customFormat="false" ht="22.35" hidden="false" customHeight="false" outlineLevel="0" collapsed="false">
      <c r="A33" s="8" t="s">
        <v>87</v>
      </c>
      <c r="B33" s="9" t="s">
        <v>415</v>
      </c>
      <c r="C33" s="26" t="n">
        <v>532</v>
      </c>
      <c r="D33" s="44" t="n">
        <v>0.043</v>
      </c>
      <c r="E33" s="45" t="n">
        <v>-0.0046</v>
      </c>
      <c r="F33" s="26" t="n">
        <v>3</v>
      </c>
      <c r="G33" s="43" t="n">
        <v>0.3534</v>
      </c>
      <c r="H33" s="26" t="n">
        <v>6</v>
      </c>
      <c r="I33" s="26" t="n">
        <v>12</v>
      </c>
    </row>
    <row r="34" customFormat="false" ht="22.35" hidden="false" customHeight="false" outlineLevel="0" collapsed="false">
      <c r="A34" s="8" t="s">
        <v>87</v>
      </c>
      <c r="B34" s="9" t="s">
        <v>416</v>
      </c>
      <c r="C34" s="26" t="n">
        <v>577</v>
      </c>
      <c r="D34" s="44" t="n">
        <v>0.0427</v>
      </c>
      <c r="E34" s="45" t="n">
        <v>-0.0439</v>
      </c>
      <c r="F34" s="26" t="n">
        <v>4</v>
      </c>
      <c r="G34" s="43" t="n">
        <v>0.3466</v>
      </c>
      <c r="H34" s="26" t="n">
        <v>6</v>
      </c>
      <c r="I34" s="26" t="n">
        <v>13</v>
      </c>
    </row>
    <row r="35" customFormat="false" ht="22.35" hidden="false" customHeight="false" outlineLevel="0" collapsed="false">
      <c r="A35" s="8" t="s">
        <v>87</v>
      </c>
      <c r="B35" s="9" t="s">
        <v>417</v>
      </c>
      <c r="C35" s="26" t="n">
        <v>841</v>
      </c>
      <c r="D35" s="44" t="n">
        <v>0.0313</v>
      </c>
      <c r="E35" s="44" t="n">
        <v>0.013</v>
      </c>
      <c r="F35" s="26" t="n">
        <v>3</v>
      </c>
      <c r="G35" s="43" t="n">
        <v>0.352</v>
      </c>
      <c r="H35" s="26" t="n">
        <v>6</v>
      </c>
      <c r="I35" s="26" t="n">
        <v>16</v>
      </c>
    </row>
    <row r="36" customFormat="false" ht="22.35" hidden="false" customHeight="false" outlineLevel="0" collapsed="false">
      <c r="A36" s="8" t="s">
        <v>87</v>
      </c>
      <c r="B36" s="9" t="s">
        <v>418</v>
      </c>
      <c r="C36" s="26" t="n">
        <v>1333</v>
      </c>
      <c r="D36" s="44" t="n">
        <v>0.0305</v>
      </c>
      <c r="E36" s="44" t="n">
        <v>0.0057</v>
      </c>
      <c r="F36" s="26" t="n">
        <v>3</v>
      </c>
      <c r="G36" s="43" t="n">
        <v>0.3496</v>
      </c>
      <c r="H36" s="26" t="n">
        <v>6</v>
      </c>
      <c r="I36" s="26" t="n">
        <v>11</v>
      </c>
    </row>
    <row r="37" customFormat="false" ht="22.35" hidden="false" customHeight="false" outlineLevel="0" collapsed="false">
      <c r="A37" s="8" t="s">
        <v>87</v>
      </c>
      <c r="B37" s="9" t="s">
        <v>419</v>
      </c>
      <c r="C37" s="26" t="n">
        <v>585</v>
      </c>
      <c r="D37" s="44" t="n">
        <v>0.0278</v>
      </c>
      <c r="E37" s="44" t="n">
        <v>0.0436</v>
      </c>
      <c r="F37" s="26" t="n">
        <v>5</v>
      </c>
      <c r="G37" s="43" t="n">
        <v>0.359</v>
      </c>
      <c r="H37" s="26" t="n">
        <v>5</v>
      </c>
      <c r="I37" s="26" t="n">
        <v>12</v>
      </c>
    </row>
    <row r="38" customFormat="false" ht="22.35" hidden="false" customHeight="false" outlineLevel="0" collapsed="false">
      <c r="A38" s="8" t="s">
        <v>87</v>
      </c>
      <c r="B38" s="9" t="s">
        <v>420</v>
      </c>
      <c r="C38" s="26" t="n">
        <v>1463</v>
      </c>
      <c r="D38" s="44" t="n">
        <v>0.0176</v>
      </c>
      <c r="E38" s="44" t="n">
        <v>0.0706</v>
      </c>
      <c r="F38" s="26" t="n">
        <v>5</v>
      </c>
      <c r="G38" s="43" t="n">
        <v>0.3582</v>
      </c>
      <c r="H38" s="26" t="n">
        <v>7</v>
      </c>
      <c r="I38" s="26" t="n">
        <v>13</v>
      </c>
    </row>
    <row r="39" customFormat="false" ht="15" hidden="false" customHeight="false" outlineLevel="0" collapsed="false">
      <c r="A39" s="8" t="s">
        <v>87</v>
      </c>
      <c r="B39" s="9" t="s">
        <v>421</v>
      </c>
      <c r="C39" s="26" t="n">
        <v>1604</v>
      </c>
      <c r="D39" s="44" t="n">
        <v>0.0169</v>
      </c>
      <c r="E39" s="44" t="n">
        <v>0.0959</v>
      </c>
      <c r="F39" s="26" t="n">
        <v>5</v>
      </c>
      <c r="G39" s="43" t="n">
        <v>0.3622</v>
      </c>
      <c r="H39" s="26" t="n">
        <v>7</v>
      </c>
      <c r="I39" s="26" t="n">
        <v>12</v>
      </c>
    </row>
    <row r="40" customFormat="false" ht="22.35" hidden="false" customHeight="false" outlineLevel="0" collapsed="false">
      <c r="A40" s="8" t="s">
        <v>87</v>
      </c>
      <c r="B40" s="9" t="s">
        <v>422</v>
      </c>
      <c r="C40" s="26" t="n">
        <v>1500</v>
      </c>
      <c r="D40" s="44" t="n">
        <v>0.0118</v>
      </c>
      <c r="E40" s="44" t="n">
        <v>0.0489</v>
      </c>
      <c r="F40" s="26" t="n">
        <v>4</v>
      </c>
      <c r="G40" s="43" t="n">
        <v>0.3527</v>
      </c>
      <c r="H40" s="26" t="n">
        <v>8</v>
      </c>
      <c r="I40" s="26" t="n">
        <v>12</v>
      </c>
    </row>
    <row r="41" customFormat="false" ht="15" hidden="false" customHeight="false" outlineLevel="0" collapsed="false">
      <c r="A41" s="8" t="s">
        <v>87</v>
      </c>
      <c r="B41" s="9" t="s">
        <v>423</v>
      </c>
      <c r="C41" s="26" t="n">
        <v>533</v>
      </c>
      <c r="D41" s="44" t="n">
        <v>0.006</v>
      </c>
      <c r="E41" s="44" t="n">
        <v>0.0203</v>
      </c>
      <c r="F41" s="26" t="n">
        <v>4</v>
      </c>
      <c r="G41" s="43" t="n">
        <v>0.3527</v>
      </c>
      <c r="H41" s="26" t="n">
        <v>4</v>
      </c>
      <c r="I41" s="26" t="n">
        <v>8</v>
      </c>
    </row>
    <row r="42" customFormat="false" ht="22.35" hidden="false" customHeight="false" outlineLevel="0" collapsed="false">
      <c r="A42" s="8" t="s">
        <v>87</v>
      </c>
      <c r="B42" s="9" t="s">
        <v>424</v>
      </c>
      <c r="C42" s="26" t="n">
        <v>1626</v>
      </c>
      <c r="D42" s="44" t="n">
        <v>0.0052</v>
      </c>
      <c r="E42" s="44" t="n">
        <v>0.0754</v>
      </c>
      <c r="F42" s="26" t="n">
        <v>4</v>
      </c>
      <c r="G42" s="43" t="n">
        <v>0.3561</v>
      </c>
      <c r="H42" s="26" t="n">
        <v>5</v>
      </c>
      <c r="I42" s="26" t="n">
        <v>13</v>
      </c>
    </row>
    <row r="43" customFormat="false" ht="22.35" hidden="false" customHeight="false" outlineLevel="0" collapsed="false">
      <c r="A43" s="8" t="s">
        <v>87</v>
      </c>
      <c r="B43" s="9" t="s">
        <v>425</v>
      </c>
      <c r="C43" s="26" t="n">
        <v>1551</v>
      </c>
      <c r="D43" s="44" t="n">
        <v>0.0051</v>
      </c>
      <c r="E43" s="44" t="n">
        <v>0.0781</v>
      </c>
      <c r="F43" s="26" t="n">
        <v>4</v>
      </c>
      <c r="G43" s="43" t="n">
        <v>0.3572</v>
      </c>
      <c r="H43" s="26" t="n">
        <v>5</v>
      </c>
      <c r="I43" s="26" t="n">
        <v>12</v>
      </c>
    </row>
    <row r="44" customFormat="false" ht="22.35" hidden="false" customHeight="false" outlineLevel="0" collapsed="false">
      <c r="A44" s="8" t="s">
        <v>87</v>
      </c>
      <c r="B44" s="9" t="s">
        <v>426</v>
      </c>
      <c r="C44" s="26" t="n">
        <v>641</v>
      </c>
      <c r="D44" s="44" t="n">
        <v>0.0024</v>
      </c>
      <c r="E44" s="44" t="n">
        <v>0.013</v>
      </c>
      <c r="F44" s="26" t="n">
        <v>3</v>
      </c>
      <c r="G44" s="43" t="n">
        <v>0.3495</v>
      </c>
      <c r="H44" s="26" t="n">
        <v>6</v>
      </c>
      <c r="I44" s="26" t="n">
        <v>13</v>
      </c>
    </row>
    <row r="45" customFormat="false" ht="22.35" hidden="false" customHeight="false" outlineLevel="0" collapsed="false">
      <c r="A45" s="8" t="s">
        <v>87</v>
      </c>
      <c r="B45" s="9" t="s">
        <v>427</v>
      </c>
      <c r="C45" s="26" t="n">
        <v>1565</v>
      </c>
      <c r="D45" s="45" t="n">
        <v>0</v>
      </c>
      <c r="E45" s="44" t="n">
        <v>0.0536</v>
      </c>
      <c r="F45" s="26" t="n">
        <v>3</v>
      </c>
      <c r="G45" s="43" t="n">
        <v>0.3514</v>
      </c>
      <c r="H45" s="26" t="n">
        <v>5</v>
      </c>
      <c r="I45" s="26" t="n">
        <v>13</v>
      </c>
    </row>
    <row r="46" customFormat="false" ht="22.35" hidden="false" customHeight="false" outlineLevel="0" collapsed="false">
      <c r="A46" s="8" t="s">
        <v>87</v>
      </c>
      <c r="B46" s="9" t="s">
        <v>428</v>
      </c>
      <c r="C46" s="26" t="n">
        <v>1746</v>
      </c>
      <c r="D46" s="45" t="n">
        <v>-0.0045</v>
      </c>
      <c r="E46" s="45" t="n">
        <v>-0.0067</v>
      </c>
      <c r="F46" s="26" t="n">
        <v>3</v>
      </c>
      <c r="G46" s="43" t="n">
        <v>0.3465</v>
      </c>
      <c r="H46" s="26" t="n">
        <v>6</v>
      </c>
      <c r="I46" s="26" t="n">
        <v>15</v>
      </c>
    </row>
    <row r="47" customFormat="false" ht="22.35" hidden="false" customHeight="false" outlineLevel="0" collapsed="false">
      <c r="A47" s="8" t="s">
        <v>87</v>
      </c>
      <c r="B47" s="9" t="s">
        <v>429</v>
      </c>
      <c r="C47" s="26" t="n">
        <v>1458</v>
      </c>
      <c r="D47" s="45" t="n">
        <v>-0.0057</v>
      </c>
      <c r="E47" s="44" t="n">
        <v>0.0501</v>
      </c>
      <c r="F47" s="26" t="n">
        <v>4</v>
      </c>
      <c r="G47" s="43" t="n">
        <v>0.3512</v>
      </c>
      <c r="H47" s="26" t="n">
        <v>5</v>
      </c>
      <c r="I47" s="26" t="n">
        <v>14</v>
      </c>
    </row>
    <row r="48" customFormat="false" ht="22.35" hidden="false" customHeight="false" outlineLevel="0" collapsed="false">
      <c r="A48" s="8" t="s">
        <v>87</v>
      </c>
      <c r="B48" s="9" t="s">
        <v>430</v>
      </c>
      <c r="C48" s="26" t="n">
        <v>1400</v>
      </c>
      <c r="D48" s="45" t="n">
        <v>-0.0083</v>
      </c>
      <c r="E48" s="44" t="n">
        <v>0.0734</v>
      </c>
      <c r="F48" s="26" t="n">
        <v>3</v>
      </c>
      <c r="G48" s="43" t="n">
        <v>0.3543</v>
      </c>
      <c r="H48" s="26" t="n">
        <v>6</v>
      </c>
      <c r="I48" s="26" t="n">
        <v>11</v>
      </c>
    </row>
    <row r="49" customFormat="false" ht="22.35" hidden="false" customHeight="false" outlineLevel="0" collapsed="false">
      <c r="A49" s="8" t="s">
        <v>87</v>
      </c>
      <c r="B49" s="9" t="s">
        <v>431</v>
      </c>
      <c r="C49" s="26" t="n">
        <v>1024</v>
      </c>
      <c r="D49" s="45" t="n">
        <v>-0.0087</v>
      </c>
      <c r="E49" s="45" t="n">
        <v>-0.0582</v>
      </c>
      <c r="F49" s="26" t="n">
        <v>2</v>
      </c>
      <c r="G49" s="43" t="n">
        <v>0.3398</v>
      </c>
      <c r="H49" s="26" t="n">
        <v>5</v>
      </c>
      <c r="I49" s="26" t="n">
        <v>12</v>
      </c>
    </row>
    <row r="50" customFormat="false" ht="22.35" hidden="false" customHeight="false" outlineLevel="0" collapsed="false">
      <c r="A50" s="8" t="s">
        <v>87</v>
      </c>
      <c r="B50" s="9" t="s">
        <v>432</v>
      </c>
      <c r="C50" s="26" t="n">
        <v>1557</v>
      </c>
      <c r="D50" s="45" t="n">
        <v>-0.0096</v>
      </c>
      <c r="E50" s="44" t="n">
        <v>0.001</v>
      </c>
      <c r="F50" s="26" t="n">
        <v>4</v>
      </c>
      <c r="G50" s="43" t="n">
        <v>0.3443</v>
      </c>
      <c r="H50" s="26" t="n">
        <v>6</v>
      </c>
      <c r="I50" s="26" t="n">
        <v>19</v>
      </c>
    </row>
    <row r="51" customFormat="false" ht="22.35" hidden="false" customHeight="false" outlineLevel="0" collapsed="false">
      <c r="A51" s="8" t="s">
        <v>87</v>
      </c>
      <c r="B51" s="9" t="s">
        <v>433</v>
      </c>
      <c r="C51" s="26" t="n">
        <v>1157</v>
      </c>
      <c r="D51" s="45" t="n">
        <v>-0.0103</v>
      </c>
      <c r="E51" s="45" t="n">
        <v>-0.0447</v>
      </c>
      <c r="F51" s="26" t="n">
        <v>3</v>
      </c>
      <c r="G51" s="43" t="n">
        <v>0.3414</v>
      </c>
      <c r="H51" s="26" t="n">
        <v>5</v>
      </c>
      <c r="I51" s="26" t="n">
        <v>12</v>
      </c>
    </row>
    <row r="52" customFormat="false" ht="15" hidden="false" customHeight="false" outlineLevel="0" collapsed="false">
      <c r="A52" s="8" t="s">
        <v>87</v>
      </c>
      <c r="B52" s="9" t="s">
        <v>434</v>
      </c>
      <c r="C52" s="26" t="n">
        <v>1996</v>
      </c>
      <c r="D52" s="45" t="n">
        <v>-0.0147</v>
      </c>
      <c r="E52" s="44" t="n">
        <v>0.0419</v>
      </c>
      <c r="F52" s="26" t="n">
        <v>4</v>
      </c>
      <c r="G52" s="43" t="n">
        <v>0.3482</v>
      </c>
      <c r="H52" s="26" t="n">
        <v>5</v>
      </c>
      <c r="I52" s="26" t="n">
        <v>19</v>
      </c>
    </row>
    <row r="53" customFormat="false" ht="22.35" hidden="false" customHeight="false" outlineLevel="0" collapsed="false">
      <c r="A53" s="8" t="s">
        <v>87</v>
      </c>
      <c r="B53" s="9" t="s">
        <v>435</v>
      </c>
      <c r="C53" s="26" t="n">
        <v>1951</v>
      </c>
      <c r="D53" s="45" t="n">
        <v>-0.0152</v>
      </c>
      <c r="E53" s="45" t="n">
        <v>-0.0127</v>
      </c>
      <c r="F53" s="26" t="n">
        <v>3</v>
      </c>
      <c r="G53" s="43" t="n">
        <v>0.3434</v>
      </c>
      <c r="H53" s="26" t="n">
        <v>6</v>
      </c>
      <c r="I53" s="26" t="n">
        <v>15</v>
      </c>
    </row>
    <row r="54" customFormat="false" ht="22.35" hidden="false" customHeight="false" outlineLevel="0" collapsed="false">
      <c r="A54" s="8" t="s">
        <v>87</v>
      </c>
      <c r="B54" s="9" t="s">
        <v>436</v>
      </c>
      <c r="C54" s="26" t="n">
        <v>1784</v>
      </c>
      <c r="D54" s="45" t="n">
        <v>-0.0168</v>
      </c>
      <c r="E54" s="45" t="n">
        <v>-0.0012</v>
      </c>
      <c r="F54" s="26" t="n">
        <v>2</v>
      </c>
      <c r="G54" s="43" t="n">
        <v>0.3464</v>
      </c>
      <c r="H54" s="26" t="n">
        <v>6</v>
      </c>
      <c r="I54" s="26" t="n">
        <v>16</v>
      </c>
    </row>
    <row r="55" customFormat="false" ht="15" hidden="false" customHeight="false" outlineLevel="0" collapsed="false">
      <c r="A55" s="8" t="s">
        <v>87</v>
      </c>
      <c r="B55" s="9" t="s">
        <v>243</v>
      </c>
      <c r="C55" s="26" t="n">
        <v>797</v>
      </c>
      <c r="D55" s="45" t="n">
        <v>-0.0174</v>
      </c>
      <c r="E55" s="45" t="n">
        <v>-0.0041</v>
      </c>
      <c r="F55" s="26" t="n">
        <v>2</v>
      </c>
      <c r="G55" s="43" t="n">
        <v>0.3438</v>
      </c>
      <c r="H55" s="26" t="n">
        <v>4</v>
      </c>
      <c r="I55" s="26" t="n">
        <v>13</v>
      </c>
    </row>
    <row r="56" customFormat="false" ht="22.35" hidden="false" customHeight="false" outlineLevel="0" collapsed="false">
      <c r="A56" s="8" t="s">
        <v>87</v>
      </c>
      <c r="B56" s="9" t="s">
        <v>437</v>
      </c>
      <c r="C56" s="26" t="n">
        <v>955</v>
      </c>
      <c r="D56" s="45" t="n">
        <v>-0.0175</v>
      </c>
      <c r="E56" s="44" t="n">
        <v>0.0386</v>
      </c>
      <c r="F56" s="26" t="n">
        <v>4</v>
      </c>
      <c r="G56" s="43" t="n">
        <v>0.3466</v>
      </c>
      <c r="H56" s="26" t="n">
        <v>6</v>
      </c>
      <c r="I56" s="26" t="n">
        <v>23</v>
      </c>
    </row>
    <row r="57" customFormat="false" ht="15" hidden="false" customHeight="false" outlineLevel="0" collapsed="false">
      <c r="A57" s="8" t="s">
        <v>87</v>
      </c>
      <c r="B57" s="9" t="s">
        <v>438</v>
      </c>
      <c r="C57" s="26" t="n">
        <v>2094</v>
      </c>
      <c r="D57" s="45" t="n">
        <v>-0.0184</v>
      </c>
      <c r="E57" s="44" t="n">
        <v>0.005</v>
      </c>
      <c r="F57" s="26" t="n">
        <v>3</v>
      </c>
      <c r="G57" s="43" t="n">
        <v>0.3467</v>
      </c>
      <c r="H57" s="26" t="n">
        <v>5</v>
      </c>
      <c r="I57" s="26" t="n">
        <v>17</v>
      </c>
    </row>
    <row r="58" customFormat="false" ht="15" hidden="false" customHeight="false" outlineLevel="0" collapsed="false">
      <c r="B58" s="46" t="s">
        <v>439</v>
      </c>
    </row>
    <row r="60" customFormat="false" ht="22.35" hidden="false" customHeight="false" outlineLevel="0" collapsed="false">
      <c r="A60" s="8" t="s">
        <v>109</v>
      </c>
      <c r="B60" s="9" t="s">
        <v>440</v>
      </c>
      <c r="C60" s="26" t="n">
        <v>209</v>
      </c>
      <c r="D60" s="44" t="n">
        <v>0.2959</v>
      </c>
      <c r="E60" s="44" t="n">
        <v>0.0778</v>
      </c>
      <c r="F60" s="26" t="n">
        <v>4</v>
      </c>
      <c r="G60" s="43" t="n">
        <v>0.4019</v>
      </c>
      <c r="H60" s="26" t="n">
        <v>6</v>
      </c>
      <c r="I60" s="26" t="n">
        <v>12</v>
      </c>
    </row>
    <row r="61" customFormat="false" ht="22.35" hidden="false" customHeight="false" outlineLevel="0" collapsed="false">
      <c r="A61" s="8" t="s">
        <v>109</v>
      </c>
      <c r="B61" s="9" t="s">
        <v>441</v>
      </c>
      <c r="C61" s="26" t="n">
        <v>192</v>
      </c>
      <c r="D61" s="44" t="n">
        <v>0.2883</v>
      </c>
      <c r="E61" s="44" t="n">
        <v>0.0687</v>
      </c>
      <c r="F61" s="26" t="n">
        <v>4</v>
      </c>
      <c r="G61" s="43" t="n">
        <v>0.401</v>
      </c>
      <c r="H61" s="26" t="n">
        <v>5</v>
      </c>
      <c r="I61" s="26" t="n">
        <v>9</v>
      </c>
    </row>
    <row r="62" customFormat="false" ht="22.35" hidden="false" customHeight="false" outlineLevel="0" collapsed="false">
      <c r="A62" s="8" t="s">
        <v>109</v>
      </c>
      <c r="B62" s="9" t="s">
        <v>442</v>
      </c>
      <c r="C62" s="26" t="n">
        <v>180</v>
      </c>
      <c r="D62" s="44" t="n">
        <v>0.2768</v>
      </c>
      <c r="E62" s="45" t="n">
        <v>-0.031</v>
      </c>
      <c r="F62" s="26" t="n">
        <v>3</v>
      </c>
      <c r="G62" s="43" t="n">
        <v>0.3833</v>
      </c>
      <c r="H62" s="26" t="n">
        <v>5</v>
      </c>
      <c r="I62" s="26" t="n">
        <v>8</v>
      </c>
    </row>
    <row r="63" customFormat="false" ht="22.35" hidden="false" customHeight="false" outlineLevel="0" collapsed="false">
      <c r="A63" s="8" t="s">
        <v>109</v>
      </c>
      <c r="B63" s="9" t="s">
        <v>443</v>
      </c>
      <c r="C63" s="26" t="n">
        <v>137</v>
      </c>
      <c r="D63" s="44" t="n">
        <v>0.2517</v>
      </c>
      <c r="E63" s="44" t="n">
        <v>0.1568</v>
      </c>
      <c r="F63" s="26" t="n">
        <v>5</v>
      </c>
      <c r="G63" s="43" t="n">
        <v>0.4088</v>
      </c>
      <c r="H63" s="26" t="n">
        <v>5</v>
      </c>
      <c r="I63" s="26" t="n">
        <v>6</v>
      </c>
    </row>
    <row r="64" customFormat="false" ht="22.35" hidden="false" customHeight="false" outlineLevel="0" collapsed="false">
      <c r="A64" s="8" t="s">
        <v>109</v>
      </c>
      <c r="B64" s="9" t="s">
        <v>444</v>
      </c>
      <c r="C64" s="26" t="n">
        <v>189</v>
      </c>
      <c r="D64" s="44" t="n">
        <v>0.2313</v>
      </c>
      <c r="E64" s="45" t="n">
        <v>-0.0313</v>
      </c>
      <c r="F64" s="26" t="n">
        <v>4</v>
      </c>
      <c r="G64" s="43" t="n">
        <v>0.3757</v>
      </c>
      <c r="H64" s="26" t="n">
        <v>5</v>
      </c>
      <c r="I64" s="26" t="n">
        <v>10</v>
      </c>
    </row>
    <row r="65" customFormat="false" ht="22.35" hidden="false" customHeight="false" outlineLevel="0" collapsed="false">
      <c r="A65" s="8" t="s">
        <v>109</v>
      </c>
      <c r="B65" s="9" t="s">
        <v>445</v>
      </c>
      <c r="C65" s="26" t="n">
        <v>156</v>
      </c>
      <c r="D65" s="44" t="n">
        <v>0.2151</v>
      </c>
      <c r="E65" s="44" t="n">
        <v>0.3497</v>
      </c>
      <c r="F65" s="26" t="n">
        <v>5</v>
      </c>
      <c r="G65" s="43" t="n">
        <v>0.4359</v>
      </c>
      <c r="H65" s="26" t="n">
        <v>4</v>
      </c>
      <c r="I65" s="26" t="n">
        <v>6</v>
      </c>
    </row>
    <row r="66" customFormat="false" ht="22.35" hidden="false" customHeight="false" outlineLevel="0" collapsed="false">
      <c r="A66" s="8" t="s">
        <v>109</v>
      </c>
      <c r="B66" s="9" t="s">
        <v>446</v>
      </c>
      <c r="C66" s="26" t="n">
        <v>418</v>
      </c>
      <c r="D66" s="44" t="n">
        <v>0.1908</v>
      </c>
      <c r="E66" s="44" t="n">
        <v>0.0333</v>
      </c>
      <c r="F66" s="26" t="n">
        <v>5</v>
      </c>
      <c r="G66" s="43" t="n">
        <v>0.378</v>
      </c>
      <c r="H66" s="26" t="n">
        <v>5</v>
      </c>
      <c r="I66" s="26" t="n">
        <v>11</v>
      </c>
    </row>
    <row r="67" customFormat="false" ht="22.35" hidden="false" customHeight="false" outlineLevel="0" collapsed="false">
      <c r="A67" s="8" t="s">
        <v>109</v>
      </c>
      <c r="B67" s="9" t="s">
        <v>447</v>
      </c>
      <c r="C67" s="26" t="n">
        <v>207</v>
      </c>
      <c r="D67" s="44" t="n">
        <v>0.1799</v>
      </c>
      <c r="E67" s="44" t="n">
        <v>0.0601</v>
      </c>
      <c r="F67" s="26" t="n">
        <v>3</v>
      </c>
      <c r="G67" s="43" t="n">
        <v>0.3816</v>
      </c>
      <c r="H67" s="26" t="n">
        <v>5</v>
      </c>
      <c r="I67" s="26" t="n">
        <v>9</v>
      </c>
    </row>
    <row r="68" customFormat="false" ht="22.35" hidden="false" customHeight="false" outlineLevel="0" collapsed="false">
      <c r="A68" s="8" t="s">
        <v>109</v>
      </c>
      <c r="B68" s="9" t="s">
        <v>448</v>
      </c>
      <c r="C68" s="26" t="n">
        <v>388</v>
      </c>
      <c r="D68" s="44" t="n">
        <v>0.1772</v>
      </c>
      <c r="E68" s="44" t="n">
        <v>0.0368</v>
      </c>
      <c r="F68" s="26" t="n">
        <v>5</v>
      </c>
      <c r="G68" s="43" t="n">
        <v>0.3763</v>
      </c>
      <c r="H68" s="26" t="n">
        <v>5</v>
      </c>
      <c r="I68" s="26" t="n">
        <v>12</v>
      </c>
    </row>
    <row r="69" customFormat="false" ht="22.35" hidden="false" customHeight="false" outlineLevel="0" collapsed="false">
      <c r="A69" s="8" t="s">
        <v>109</v>
      </c>
      <c r="B69" s="9" t="s">
        <v>449</v>
      </c>
      <c r="C69" s="26" t="n">
        <v>382</v>
      </c>
      <c r="D69" s="44" t="n">
        <v>0.165</v>
      </c>
      <c r="E69" s="44" t="n">
        <v>0.1215</v>
      </c>
      <c r="F69" s="26" t="n">
        <v>5</v>
      </c>
      <c r="G69" s="43" t="n">
        <v>0.3874</v>
      </c>
      <c r="H69" s="26" t="n">
        <v>5</v>
      </c>
      <c r="I69" s="26" t="n">
        <v>9</v>
      </c>
    </row>
    <row r="70" customFormat="false" ht="22.35" hidden="false" customHeight="false" outlineLevel="0" collapsed="false">
      <c r="A70" s="8" t="s">
        <v>109</v>
      </c>
      <c r="B70" s="9" t="s">
        <v>450</v>
      </c>
      <c r="C70" s="26" t="n">
        <v>414</v>
      </c>
      <c r="D70" s="44" t="n">
        <v>0.1625</v>
      </c>
      <c r="E70" s="44" t="n">
        <v>0.0723</v>
      </c>
      <c r="F70" s="26" t="n">
        <v>6</v>
      </c>
      <c r="G70" s="43" t="n">
        <v>0.3792</v>
      </c>
      <c r="H70" s="26" t="n">
        <v>4</v>
      </c>
      <c r="I70" s="26" t="n">
        <v>9</v>
      </c>
    </row>
    <row r="71" customFormat="false" ht="22.35" hidden="false" customHeight="false" outlineLevel="0" collapsed="false">
      <c r="A71" s="8" t="s">
        <v>109</v>
      </c>
      <c r="B71" s="9" t="s">
        <v>451</v>
      </c>
      <c r="C71" s="26" t="n">
        <v>377</v>
      </c>
      <c r="D71" s="44" t="n">
        <v>0.162</v>
      </c>
      <c r="E71" s="44" t="n">
        <v>0.1237</v>
      </c>
      <c r="F71" s="26" t="n">
        <v>5</v>
      </c>
      <c r="G71" s="43" t="n">
        <v>0.3873</v>
      </c>
      <c r="H71" s="26" t="n">
        <v>5</v>
      </c>
      <c r="I71" s="26" t="n">
        <v>9</v>
      </c>
    </row>
    <row r="72" customFormat="false" ht="22.35" hidden="false" customHeight="false" outlineLevel="0" collapsed="false">
      <c r="A72" s="8" t="s">
        <v>109</v>
      </c>
      <c r="B72" s="9" t="s">
        <v>452</v>
      </c>
      <c r="C72" s="26" t="n">
        <v>345</v>
      </c>
      <c r="D72" s="44" t="n">
        <v>0.1574</v>
      </c>
      <c r="E72" s="44" t="n">
        <v>0.0995</v>
      </c>
      <c r="F72" s="26" t="n">
        <v>5</v>
      </c>
      <c r="G72" s="43" t="n">
        <v>0.3826</v>
      </c>
      <c r="H72" s="26" t="n">
        <v>9</v>
      </c>
      <c r="I72" s="26" t="n">
        <v>10</v>
      </c>
    </row>
    <row r="73" customFormat="false" ht="22.35" hidden="false" customHeight="false" outlineLevel="0" collapsed="false">
      <c r="A73" s="8" t="s">
        <v>109</v>
      </c>
      <c r="B73" s="9" t="s">
        <v>453</v>
      </c>
      <c r="C73" s="26" t="n">
        <v>178</v>
      </c>
      <c r="D73" s="44" t="n">
        <v>0.157</v>
      </c>
      <c r="E73" s="44" t="n">
        <v>0.3545</v>
      </c>
      <c r="F73" s="26" t="n">
        <v>5</v>
      </c>
      <c r="G73" s="43" t="n">
        <v>0.427</v>
      </c>
      <c r="H73" s="26" t="n">
        <v>4</v>
      </c>
      <c r="I73" s="26" t="n">
        <v>10</v>
      </c>
    </row>
    <row r="74" customFormat="false" ht="32.8" hidden="false" customHeight="false" outlineLevel="0" collapsed="false">
      <c r="A74" s="8" t="s">
        <v>109</v>
      </c>
      <c r="B74" s="9" t="s">
        <v>454</v>
      </c>
      <c r="C74" s="26" t="n">
        <v>338</v>
      </c>
      <c r="D74" s="44" t="n">
        <v>0.155</v>
      </c>
      <c r="E74" s="44" t="n">
        <v>0.038</v>
      </c>
      <c r="F74" s="26" t="n">
        <v>4</v>
      </c>
      <c r="G74" s="43" t="n">
        <v>0.3728</v>
      </c>
      <c r="H74" s="26" t="n">
        <v>5</v>
      </c>
      <c r="I74" s="26" t="n">
        <v>9</v>
      </c>
    </row>
    <row r="75" customFormat="false" ht="32.8" hidden="false" customHeight="false" outlineLevel="0" collapsed="false">
      <c r="A75" s="8" t="s">
        <v>109</v>
      </c>
      <c r="B75" s="9" t="s">
        <v>455</v>
      </c>
      <c r="C75" s="26" t="n">
        <v>369</v>
      </c>
      <c r="D75" s="44" t="n">
        <v>0.1518</v>
      </c>
      <c r="E75" s="44" t="n">
        <v>0.0172</v>
      </c>
      <c r="F75" s="26" t="n">
        <v>4</v>
      </c>
      <c r="G75" s="43" t="n">
        <v>0.3686</v>
      </c>
      <c r="H75" s="26" t="n">
        <v>5</v>
      </c>
      <c r="I75" s="26" t="n">
        <v>12</v>
      </c>
    </row>
    <row r="76" customFormat="false" ht="22.35" hidden="false" customHeight="false" outlineLevel="0" collapsed="false">
      <c r="A76" s="8" t="s">
        <v>109</v>
      </c>
      <c r="B76" s="9" t="s">
        <v>456</v>
      </c>
      <c r="C76" s="26" t="n">
        <v>160</v>
      </c>
      <c r="D76" s="44" t="n">
        <v>0.1516</v>
      </c>
      <c r="E76" s="44" t="n">
        <v>0.3496</v>
      </c>
      <c r="F76" s="26" t="n">
        <v>5</v>
      </c>
      <c r="G76" s="43" t="n">
        <v>0.425</v>
      </c>
      <c r="H76" s="26" t="n">
        <v>7</v>
      </c>
      <c r="I76" s="26" t="n">
        <v>6</v>
      </c>
    </row>
    <row r="77" customFormat="false" ht="22.35" hidden="false" customHeight="false" outlineLevel="0" collapsed="false">
      <c r="A77" s="8" t="s">
        <v>109</v>
      </c>
      <c r="B77" s="9" t="s">
        <v>457</v>
      </c>
      <c r="C77" s="26" t="n">
        <v>363</v>
      </c>
      <c r="D77" s="44" t="n">
        <v>0.1515</v>
      </c>
      <c r="E77" s="44" t="n">
        <v>0.1258</v>
      </c>
      <c r="F77" s="26" t="n">
        <v>6</v>
      </c>
      <c r="G77" s="43" t="n">
        <v>0.3857</v>
      </c>
      <c r="H77" s="26" t="n">
        <v>5</v>
      </c>
      <c r="I77" s="26" t="n">
        <v>9</v>
      </c>
    </row>
    <row r="78" customFormat="false" ht="32.8" hidden="false" customHeight="false" outlineLevel="0" collapsed="false">
      <c r="A78" s="8" t="s">
        <v>109</v>
      </c>
      <c r="B78" s="9" t="s">
        <v>458</v>
      </c>
      <c r="C78" s="26" t="n">
        <v>382</v>
      </c>
      <c r="D78" s="44" t="n">
        <v>0.1491</v>
      </c>
      <c r="E78" s="44" t="n">
        <v>0.0376</v>
      </c>
      <c r="F78" s="26" t="n">
        <v>4</v>
      </c>
      <c r="G78" s="43" t="n">
        <v>0.3717</v>
      </c>
      <c r="H78" s="26" t="n">
        <v>5</v>
      </c>
      <c r="I78" s="26" t="n">
        <v>12</v>
      </c>
    </row>
    <row r="79" customFormat="false" ht="22.35" hidden="false" customHeight="false" outlineLevel="0" collapsed="false">
      <c r="A79" s="8" t="s">
        <v>109</v>
      </c>
      <c r="B79" s="9" t="s">
        <v>459</v>
      </c>
      <c r="C79" s="26" t="n">
        <v>248</v>
      </c>
      <c r="D79" s="44" t="n">
        <v>0.1402</v>
      </c>
      <c r="E79" s="44" t="n">
        <v>0.2383</v>
      </c>
      <c r="F79" s="26" t="n">
        <v>4</v>
      </c>
      <c r="G79" s="43" t="n">
        <v>0.4032</v>
      </c>
      <c r="H79" s="26" t="n">
        <v>5</v>
      </c>
      <c r="I79" s="26" t="n">
        <v>7</v>
      </c>
    </row>
    <row r="80" customFormat="false" ht="22.35" hidden="false" customHeight="false" outlineLevel="0" collapsed="false">
      <c r="A80" s="8" t="s">
        <v>109</v>
      </c>
      <c r="B80" s="9" t="s">
        <v>460</v>
      </c>
      <c r="C80" s="26" t="n">
        <v>482</v>
      </c>
      <c r="D80" s="44" t="n">
        <v>0.1398</v>
      </c>
      <c r="E80" s="44" t="n">
        <v>0.0838</v>
      </c>
      <c r="F80" s="26" t="n">
        <v>5</v>
      </c>
      <c r="G80" s="43" t="n">
        <v>0.3776</v>
      </c>
      <c r="H80" s="26" t="n">
        <v>5</v>
      </c>
      <c r="I80" s="26" t="n">
        <v>12</v>
      </c>
    </row>
    <row r="81" customFormat="false" ht="22.35" hidden="false" customHeight="false" outlineLevel="0" collapsed="false">
      <c r="A81" s="8" t="s">
        <v>109</v>
      </c>
      <c r="B81" s="9" t="s">
        <v>461</v>
      </c>
      <c r="C81" s="26" t="n">
        <v>214</v>
      </c>
      <c r="D81" s="44" t="n">
        <v>0.1396</v>
      </c>
      <c r="E81" s="44" t="n">
        <v>0.0621</v>
      </c>
      <c r="F81" s="26" t="n">
        <v>5</v>
      </c>
      <c r="G81" s="43" t="n">
        <v>0.3738</v>
      </c>
      <c r="H81" s="26" t="n">
        <v>5</v>
      </c>
      <c r="I81" s="26" t="n">
        <v>11</v>
      </c>
    </row>
    <row r="82" customFormat="false" ht="22.35" hidden="false" customHeight="false" outlineLevel="0" collapsed="false">
      <c r="A82" s="8" t="s">
        <v>109</v>
      </c>
      <c r="B82" s="9" t="s">
        <v>462</v>
      </c>
      <c r="C82" s="26" t="n">
        <v>233</v>
      </c>
      <c r="D82" s="44" t="n">
        <v>0.1358</v>
      </c>
      <c r="E82" s="44" t="n">
        <v>0.1128</v>
      </c>
      <c r="F82" s="26" t="n">
        <v>4</v>
      </c>
      <c r="G82" s="43" t="n">
        <v>0.382</v>
      </c>
      <c r="H82" s="26" t="n">
        <v>5</v>
      </c>
      <c r="I82" s="26" t="n">
        <v>8</v>
      </c>
    </row>
    <row r="83" customFormat="false" ht="22.35" hidden="false" customHeight="false" outlineLevel="0" collapsed="false">
      <c r="A83" s="8" t="s">
        <v>109</v>
      </c>
      <c r="B83" s="9" t="s">
        <v>463</v>
      </c>
      <c r="C83" s="26" t="n">
        <v>228</v>
      </c>
      <c r="D83" s="44" t="n">
        <v>0.1326</v>
      </c>
      <c r="E83" s="44" t="n">
        <v>0.3257</v>
      </c>
      <c r="F83" s="26" t="n">
        <v>5</v>
      </c>
      <c r="G83" s="43" t="n">
        <v>0.4167</v>
      </c>
      <c r="H83" s="26" t="n">
        <v>7</v>
      </c>
      <c r="I83" s="26" t="n">
        <v>6</v>
      </c>
    </row>
    <row r="84" customFormat="false" ht="32.8" hidden="false" customHeight="false" outlineLevel="0" collapsed="false">
      <c r="A84" s="8" t="s">
        <v>109</v>
      </c>
      <c r="B84" s="9" t="s">
        <v>464</v>
      </c>
      <c r="C84" s="26" t="n">
        <v>419</v>
      </c>
      <c r="D84" s="44" t="n">
        <v>0.1253</v>
      </c>
      <c r="E84" s="44" t="n">
        <v>0.0803</v>
      </c>
      <c r="F84" s="26" t="n">
        <v>5</v>
      </c>
      <c r="G84" s="43" t="n">
        <v>0.3747</v>
      </c>
      <c r="H84" s="26" t="n">
        <v>5</v>
      </c>
      <c r="I84" s="26" t="n">
        <v>10</v>
      </c>
    </row>
    <row r="85" customFormat="false" ht="15" hidden="false" customHeight="false" outlineLevel="0" collapsed="false">
      <c r="B85" s="46" t="s">
        <v>465</v>
      </c>
    </row>
    <row r="88" customFormat="false" ht="15" hidden="false" customHeight="false" outlineLevel="0" collapsed="false">
      <c r="A88" s="6" t="s">
        <v>466</v>
      </c>
    </row>
    <row r="89" customFormat="false" ht="54" hidden="false" customHeight="true" outlineLevel="0" collapsed="false">
      <c r="A89" s="7" t="s">
        <v>135</v>
      </c>
      <c r="B89" s="7" t="s">
        <v>467</v>
      </c>
      <c r="C89" s="7" t="s">
        <v>468</v>
      </c>
      <c r="D89" s="7" t="s">
        <v>469</v>
      </c>
      <c r="E89" s="7" t="s">
        <v>233</v>
      </c>
      <c r="F89" s="7" t="s">
        <v>221</v>
      </c>
      <c r="G89" s="7" t="s">
        <v>236</v>
      </c>
      <c r="H89" s="7" t="s">
        <v>222</v>
      </c>
      <c r="I89" s="7" t="s">
        <v>239</v>
      </c>
      <c r="J89" s="7" t="s">
        <v>470</v>
      </c>
      <c r="K89" s="7" t="s">
        <v>471</v>
      </c>
      <c r="L89" s="7" t="s">
        <v>472</v>
      </c>
      <c r="M89" s="7" t="s">
        <v>473</v>
      </c>
      <c r="N89" s="7" t="s">
        <v>474</v>
      </c>
    </row>
    <row r="90" customFormat="false" ht="15" hidden="false" customHeight="false" outlineLevel="0" collapsed="false">
      <c r="A90" s="8" t="s">
        <v>23</v>
      </c>
      <c r="B90" s="8" t="s">
        <v>475</v>
      </c>
      <c r="C90" s="8" t="n">
        <v>0</v>
      </c>
      <c r="D90" s="9" t="s">
        <v>476</v>
      </c>
      <c r="E90" s="26" t="n">
        <v>3865</v>
      </c>
      <c r="F90" s="45" t="n">
        <v>-0.6839</v>
      </c>
      <c r="G90" s="26" t="n">
        <v>3560</v>
      </c>
      <c r="H90" s="45" t="n">
        <v>-0.2146</v>
      </c>
      <c r="I90" s="26" t="n">
        <v>0</v>
      </c>
      <c r="J90" s="43" t="n">
        <v>0.3063</v>
      </c>
      <c r="K90" s="26" t="n">
        <v>6</v>
      </c>
      <c r="L90" s="26" t="n">
        <v>22</v>
      </c>
      <c r="M90" s="26" t="n">
        <v>7</v>
      </c>
      <c r="N90" s="26" t="n">
        <v>20</v>
      </c>
    </row>
    <row r="91" customFormat="false" ht="15" hidden="false" customHeight="false" outlineLevel="0" collapsed="false">
      <c r="A91" s="8" t="s">
        <v>23</v>
      </c>
      <c r="B91" s="8" t="s">
        <v>475</v>
      </c>
      <c r="C91" s="8" t="n">
        <v>1</v>
      </c>
      <c r="D91" s="9" t="s">
        <v>241</v>
      </c>
      <c r="E91" s="26" t="n">
        <v>1715</v>
      </c>
      <c r="F91" s="45" t="n">
        <v>-0.1633</v>
      </c>
      <c r="G91" s="26" t="n">
        <v>1719</v>
      </c>
      <c r="H91" s="45" t="n">
        <v>-0.0565</v>
      </c>
      <c r="I91" s="26" t="n">
        <v>1</v>
      </c>
      <c r="J91" s="43" t="n">
        <v>0.3312</v>
      </c>
      <c r="K91" s="26" t="n">
        <v>9</v>
      </c>
      <c r="L91" s="26" t="n">
        <v>15</v>
      </c>
      <c r="M91" s="26" t="n">
        <v>8</v>
      </c>
      <c r="N91" s="26" t="n">
        <v>15</v>
      </c>
    </row>
    <row r="92" customFormat="false" ht="15" hidden="false" customHeight="false" outlineLevel="0" collapsed="false">
      <c r="A92" s="8" t="s">
        <v>23</v>
      </c>
      <c r="B92" s="8" t="s">
        <v>475</v>
      </c>
      <c r="C92" s="8" t="n">
        <v>2</v>
      </c>
      <c r="D92" s="9" t="s">
        <v>477</v>
      </c>
      <c r="E92" s="26" t="n">
        <v>1065</v>
      </c>
      <c r="F92" s="45" t="n">
        <v>-0.0523</v>
      </c>
      <c r="G92" s="26" t="n">
        <v>1053</v>
      </c>
      <c r="H92" s="45" t="n">
        <v>-0.0132</v>
      </c>
      <c r="I92" s="26" t="n">
        <v>1</v>
      </c>
      <c r="J92" s="43" t="n">
        <v>0.338</v>
      </c>
      <c r="K92" s="26" t="n">
        <v>8</v>
      </c>
      <c r="L92" s="26" t="n">
        <v>13</v>
      </c>
      <c r="M92" s="26" t="n">
        <v>6</v>
      </c>
      <c r="N92" s="26" t="n">
        <v>13</v>
      </c>
    </row>
    <row r="93" customFormat="false" ht="15" hidden="false" customHeight="false" outlineLevel="0" collapsed="false">
      <c r="A93" s="8" t="s">
        <v>23</v>
      </c>
      <c r="B93" s="8" t="s">
        <v>475</v>
      </c>
      <c r="C93" s="8" t="n">
        <v>3</v>
      </c>
      <c r="D93" s="9" t="s">
        <v>267</v>
      </c>
      <c r="E93" s="26" t="n">
        <v>1001</v>
      </c>
      <c r="F93" s="44" t="n">
        <v>0.0489</v>
      </c>
      <c r="G93" s="26" t="n">
        <v>1005</v>
      </c>
      <c r="H93" s="44" t="n">
        <v>0.0341</v>
      </c>
      <c r="I93" s="26" t="n">
        <v>4</v>
      </c>
      <c r="J93" s="43" t="n">
        <v>0.3716</v>
      </c>
      <c r="K93" s="26" t="n">
        <v>8</v>
      </c>
      <c r="L93" s="26" t="n">
        <v>14</v>
      </c>
      <c r="M93" s="26" t="n">
        <v>4</v>
      </c>
      <c r="N93" s="26" t="n">
        <v>14</v>
      </c>
    </row>
    <row r="94" customFormat="false" ht="15" hidden="false" customHeight="false" outlineLevel="0" collapsed="false">
      <c r="A94" s="8" t="s">
        <v>23</v>
      </c>
      <c r="B94" s="8" t="s">
        <v>475</v>
      </c>
      <c r="C94" s="8" t="n">
        <v>4</v>
      </c>
      <c r="D94" s="9" t="s">
        <v>478</v>
      </c>
      <c r="E94" s="26" t="n">
        <v>1048</v>
      </c>
      <c r="F94" s="44" t="n">
        <v>0.0632</v>
      </c>
      <c r="G94" s="26" t="n">
        <v>1063</v>
      </c>
      <c r="H94" s="44" t="n">
        <v>0.0249</v>
      </c>
      <c r="I94" s="26" t="n">
        <v>4</v>
      </c>
      <c r="J94" s="43" t="n">
        <v>0.376</v>
      </c>
      <c r="K94" s="26" t="n">
        <v>7</v>
      </c>
      <c r="L94" s="26" t="n">
        <v>14</v>
      </c>
      <c r="M94" s="26" t="n">
        <v>4</v>
      </c>
      <c r="N94" s="26" t="n">
        <v>12</v>
      </c>
    </row>
    <row r="96" customFormat="false" ht="22.35" hidden="false" customHeight="false" outlineLevel="0" collapsed="false">
      <c r="A96" s="8" t="s">
        <v>62</v>
      </c>
      <c r="B96" s="8" t="s">
        <v>479</v>
      </c>
      <c r="C96" s="8" t="n">
        <v>0</v>
      </c>
      <c r="D96" s="9" t="s">
        <v>480</v>
      </c>
      <c r="E96" s="26" t="n">
        <v>722</v>
      </c>
      <c r="F96" s="44" t="n">
        <v>0.0125</v>
      </c>
      <c r="G96" s="26" t="n">
        <v>747</v>
      </c>
      <c r="H96" s="45" t="n">
        <v>-0.0432</v>
      </c>
      <c r="I96" s="26" t="n">
        <v>2</v>
      </c>
      <c r="J96" s="43" t="n">
        <v>0.3615</v>
      </c>
      <c r="K96" s="26" t="n">
        <v>8</v>
      </c>
      <c r="L96" s="26" t="n">
        <v>10</v>
      </c>
      <c r="M96" s="26" t="n">
        <v>6</v>
      </c>
      <c r="N96" s="26" t="n">
        <v>12</v>
      </c>
    </row>
    <row r="97" customFormat="false" ht="15" hidden="false" customHeight="false" outlineLevel="0" collapsed="false">
      <c r="A97" s="8" t="s">
        <v>62</v>
      </c>
      <c r="B97" s="8" t="s">
        <v>479</v>
      </c>
      <c r="C97" s="8" t="n">
        <v>1</v>
      </c>
      <c r="D97" s="9" t="s">
        <v>368</v>
      </c>
      <c r="E97" s="26" t="n">
        <v>935</v>
      </c>
      <c r="F97" s="44" t="n">
        <v>0.0136</v>
      </c>
      <c r="G97" s="26" t="n">
        <v>924</v>
      </c>
      <c r="H97" s="45" t="n">
        <v>-0.0483</v>
      </c>
      <c r="I97" s="26" t="n">
        <v>3</v>
      </c>
      <c r="J97" s="43" t="n">
        <v>0.3615</v>
      </c>
      <c r="K97" s="26" t="n">
        <v>6</v>
      </c>
      <c r="L97" s="26" t="n">
        <v>15</v>
      </c>
      <c r="M97" s="26" t="n">
        <v>5</v>
      </c>
      <c r="N97" s="26" t="n">
        <v>16</v>
      </c>
    </row>
    <row r="98" customFormat="false" ht="15" hidden="false" customHeight="false" outlineLevel="0" collapsed="false">
      <c r="A98" s="8" t="s">
        <v>62</v>
      </c>
      <c r="B98" s="8" t="s">
        <v>479</v>
      </c>
      <c r="C98" s="8" t="n">
        <v>2</v>
      </c>
      <c r="D98" s="9" t="s">
        <v>267</v>
      </c>
      <c r="E98" s="26" t="n">
        <v>884</v>
      </c>
      <c r="F98" s="44" t="n">
        <v>0.0441</v>
      </c>
      <c r="G98" s="26" t="n">
        <v>883</v>
      </c>
      <c r="H98" s="45" t="n">
        <v>-0.0173</v>
      </c>
      <c r="I98" s="26" t="n">
        <v>3</v>
      </c>
      <c r="J98" s="43" t="n">
        <v>0.3722</v>
      </c>
      <c r="K98" s="26" t="n">
        <v>8</v>
      </c>
      <c r="L98" s="26" t="n">
        <v>11</v>
      </c>
      <c r="M98" s="26" t="n">
        <v>5</v>
      </c>
      <c r="N98" s="26" t="n">
        <v>16</v>
      </c>
    </row>
    <row r="99" customFormat="false" ht="15" hidden="false" customHeight="false" outlineLevel="0" collapsed="false">
      <c r="A99" s="8" t="s">
        <v>62</v>
      </c>
      <c r="B99" s="8" t="s">
        <v>479</v>
      </c>
      <c r="C99" s="8" t="n">
        <v>3</v>
      </c>
      <c r="D99" s="9" t="s">
        <v>481</v>
      </c>
      <c r="E99" s="26" t="n">
        <v>780</v>
      </c>
      <c r="F99" s="44" t="n">
        <v>0.0908</v>
      </c>
      <c r="G99" s="26" t="n">
        <v>779</v>
      </c>
      <c r="H99" s="44" t="n">
        <v>0.0403</v>
      </c>
      <c r="I99" s="26" t="n">
        <v>3</v>
      </c>
      <c r="J99" s="43" t="n">
        <v>0.3821</v>
      </c>
      <c r="K99" s="26" t="n">
        <v>7</v>
      </c>
      <c r="L99" s="26" t="n">
        <v>13</v>
      </c>
      <c r="M99" s="26" t="n">
        <v>8</v>
      </c>
      <c r="N99" s="26" t="n">
        <v>16</v>
      </c>
    </row>
    <row r="100" customFormat="false" ht="15" hidden="false" customHeight="false" outlineLevel="0" collapsed="false">
      <c r="A100" s="8" t="s">
        <v>62</v>
      </c>
      <c r="B100" s="8" t="s">
        <v>479</v>
      </c>
      <c r="C100" s="8" t="n">
        <v>4</v>
      </c>
      <c r="D100" s="9" t="s">
        <v>482</v>
      </c>
      <c r="E100" s="26" t="n">
        <v>764</v>
      </c>
      <c r="F100" s="44" t="n">
        <v>0.0989</v>
      </c>
      <c r="G100" s="26" t="n">
        <v>770</v>
      </c>
      <c r="H100" s="44" t="n">
        <v>0.0409</v>
      </c>
      <c r="I100" s="26" t="n">
        <v>3</v>
      </c>
      <c r="J100" s="43" t="n">
        <v>0.3848</v>
      </c>
      <c r="K100" s="26" t="n">
        <v>7</v>
      </c>
      <c r="L100" s="26" t="n">
        <v>12</v>
      </c>
      <c r="M100" s="26" t="n">
        <v>8</v>
      </c>
      <c r="N100" s="26" t="n">
        <v>16</v>
      </c>
    </row>
    <row r="102" customFormat="false" ht="15" hidden="false" customHeight="false" outlineLevel="0" collapsed="false">
      <c r="A102" s="8" t="s">
        <v>87</v>
      </c>
      <c r="B102" s="8" t="s">
        <v>475</v>
      </c>
      <c r="C102" s="8" t="n">
        <v>0</v>
      </c>
      <c r="D102" s="9" t="s">
        <v>476</v>
      </c>
      <c r="E102" s="26" t="n">
        <v>1610</v>
      </c>
      <c r="F102" s="45" t="n">
        <v>-0.1018</v>
      </c>
      <c r="G102" s="26" t="n">
        <v>1559</v>
      </c>
      <c r="H102" s="45" t="n">
        <v>-0.0065</v>
      </c>
      <c r="I102" s="26" t="n">
        <v>1</v>
      </c>
      <c r="J102" s="43" t="n">
        <v>0.3261</v>
      </c>
      <c r="K102" s="26" t="n">
        <v>6</v>
      </c>
      <c r="L102" s="26" t="n">
        <v>16</v>
      </c>
      <c r="M102" s="26" t="n">
        <v>4</v>
      </c>
      <c r="N102" s="26" t="n">
        <v>18</v>
      </c>
    </row>
    <row r="103" customFormat="false" ht="15" hidden="false" customHeight="false" outlineLevel="0" collapsed="false">
      <c r="A103" s="8" t="s">
        <v>87</v>
      </c>
      <c r="B103" s="8" t="s">
        <v>475</v>
      </c>
      <c r="C103" s="8" t="n">
        <v>1</v>
      </c>
      <c r="D103" s="9" t="s">
        <v>477</v>
      </c>
      <c r="E103" s="26" t="n">
        <v>609</v>
      </c>
      <c r="F103" s="44" t="n">
        <v>0.0834</v>
      </c>
      <c r="G103" s="26" t="n">
        <v>570</v>
      </c>
      <c r="H103" s="44" t="n">
        <v>0.084</v>
      </c>
      <c r="I103" s="26" t="n">
        <v>6</v>
      </c>
      <c r="J103" s="43" t="n">
        <v>0.376</v>
      </c>
      <c r="K103" s="26" t="n">
        <v>6</v>
      </c>
      <c r="L103" s="26" t="n">
        <v>18</v>
      </c>
      <c r="M103" s="26" t="n">
        <v>5</v>
      </c>
      <c r="N103" s="26" t="n">
        <v>11</v>
      </c>
    </row>
    <row r="104" customFormat="false" ht="15" hidden="false" customHeight="false" outlineLevel="0" collapsed="false">
      <c r="A104" s="8" t="s">
        <v>87</v>
      </c>
      <c r="B104" s="8" t="s">
        <v>475</v>
      </c>
      <c r="C104" s="8" t="n">
        <v>2</v>
      </c>
      <c r="D104" s="9" t="s">
        <v>308</v>
      </c>
      <c r="E104" s="26" t="n">
        <v>692</v>
      </c>
      <c r="F104" s="44" t="n">
        <v>0.1056</v>
      </c>
      <c r="G104" s="26" t="n">
        <v>703</v>
      </c>
      <c r="H104" s="44" t="n">
        <v>0.134</v>
      </c>
      <c r="I104" s="26" t="n">
        <v>6</v>
      </c>
      <c r="J104" s="43" t="n">
        <v>0.4494</v>
      </c>
      <c r="K104" s="26" t="n">
        <v>8</v>
      </c>
      <c r="L104" s="26" t="n">
        <v>17</v>
      </c>
      <c r="M104" s="26" t="n">
        <v>5</v>
      </c>
      <c r="N104" s="26" t="n">
        <v>11</v>
      </c>
    </row>
    <row r="105" customFormat="false" ht="15" hidden="false" customHeight="false" outlineLevel="0" collapsed="false">
      <c r="A105" s="8" t="s">
        <v>87</v>
      </c>
      <c r="B105" s="8" t="s">
        <v>475</v>
      </c>
      <c r="C105" s="8" t="n">
        <v>3</v>
      </c>
      <c r="D105" s="9" t="s">
        <v>302</v>
      </c>
      <c r="E105" s="26" t="n">
        <v>687</v>
      </c>
      <c r="F105" s="44" t="n">
        <v>0.1353</v>
      </c>
      <c r="G105" s="26" t="n">
        <v>701</v>
      </c>
      <c r="H105" s="44" t="n">
        <v>0.1324</v>
      </c>
      <c r="I105" s="26" t="n">
        <v>6</v>
      </c>
      <c r="J105" s="43" t="n">
        <v>0.46</v>
      </c>
      <c r="K105" s="26" t="n">
        <v>8</v>
      </c>
      <c r="L105" s="26" t="n">
        <v>17</v>
      </c>
      <c r="M105" s="26" t="n">
        <v>5</v>
      </c>
      <c r="N105" s="26" t="n">
        <v>11</v>
      </c>
    </row>
    <row r="106" customFormat="false" ht="15" hidden="false" customHeight="false" outlineLevel="0" collapsed="false">
      <c r="A106" s="8" t="s">
        <v>87</v>
      </c>
      <c r="B106" s="8" t="s">
        <v>475</v>
      </c>
      <c r="C106" s="8" t="n">
        <v>4</v>
      </c>
      <c r="D106" s="9" t="s">
        <v>266</v>
      </c>
      <c r="E106" s="26" t="n">
        <v>575</v>
      </c>
      <c r="F106" s="44" t="n">
        <v>0.1691</v>
      </c>
      <c r="G106" s="26" t="n">
        <v>572</v>
      </c>
      <c r="H106" s="44" t="n">
        <v>0.1156</v>
      </c>
      <c r="I106" s="26" t="n">
        <v>6</v>
      </c>
      <c r="J106" s="43" t="n">
        <v>0.4696</v>
      </c>
      <c r="K106" s="26" t="n">
        <v>8</v>
      </c>
      <c r="L106" s="26" t="n">
        <v>18</v>
      </c>
      <c r="M106" s="26" t="n">
        <v>6</v>
      </c>
      <c r="N106" s="26" t="n">
        <v>12</v>
      </c>
    </row>
    <row r="107" customFormat="false" ht="15" hidden="false" customHeight="false" outlineLevel="0" collapsed="false">
      <c r="A107" s="8" t="s">
        <v>87</v>
      </c>
      <c r="B107" s="8" t="s">
        <v>475</v>
      </c>
      <c r="C107" s="8" t="n">
        <v>5</v>
      </c>
      <c r="D107" s="9" t="s">
        <v>347</v>
      </c>
      <c r="E107" s="26" t="n">
        <v>574</v>
      </c>
      <c r="F107" s="44" t="n">
        <v>0.1862</v>
      </c>
      <c r="G107" s="26" t="n">
        <v>581</v>
      </c>
      <c r="H107" s="44" t="n">
        <v>0.105</v>
      </c>
      <c r="I107" s="26" t="n">
        <v>6</v>
      </c>
      <c r="J107" s="43" t="n">
        <v>0.4721</v>
      </c>
      <c r="K107" s="26" t="n">
        <v>8</v>
      </c>
      <c r="L107" s="26" t="n">
        <v>18</v>
      </c>
      <c r="M107" s="26" t="n">
        <v>6</v>
      </c>
      <c r="N107" s="26" t="n">
        <v>14</v>
      </c>
    </row>
    <row r="108" customFormat="false" ht="15" hidden="false" customHeight="false" outlineLevel="0" collapsed="false">
      <c r="A108" s="8" t="s">
        <v>87</v>
      </c>
      <c r="B108" s="8" t="s">
        <v>475</v>
      </c>
      <c r="C108" s="8" t="n">
        <v>6</v>
      </c>
      <c r="D108" s="9" t="s">
        <v>343</v>
      </c>
      <c r="E108" s="26" t="n">
        <v>568</v>
      </c>
      <c r="F108" s="44" t="n">
        <v>0.198</v>
      </c>
      <c r="G108" s="26" t="n">
        <v>580</v>
      </c>
      <c r="H108" s="44" t="n">
        <v>0.081</v>
      </c>
      <c r="I108" s="26" t="n">
        <v>6</v>
      </c>
      <c r="J108" s="43" t="n">
        <v>0.4771</v>
      </c>
      <c r="K108" s="26" t="n">
        <v>8</v>
      </c>
      <c r="L108" s="26" t="n">
        <v>12</v>
      </c>
      <c r="M108" s="26" t="n">
        <v>6</v>
      </c>
      <c r="N108" s="26" t="n">
        <v>14</v>
      </c>
    </row>
    <row r="110" customFormat="false" ht="22.35" hidden="false" customHeight="false" outlineLevel="0" collapsed="false">
      <c r="A110" s="8" t="s">
        <v>87</v>
      </c>
      <c r="B110" s="8" t="s">
        <v>479</v>
      </c>
      <c r="C110" s="8" t="n">
        <v>0</v>
      </c>
      <c r="D110" s="9" t="s">
        <v>483</v>
      </c>
      <c r="E110" s="26" t="n">
        <v>650</v>
      </c>
      <c r="F110" s="44" t="n">
        <v>0.0305</v>
      </c>
      <c r="G110" s="26" t="n">
        <v>683</v>
      </c>
      <c r="H110" s="44" t="n">
        <v>0.0057</v>
      </c>
      <c r="I110" s="26" t="n">
        <v>3</v>
      </c>
      <c r="J110" s="43" t="n">
        <v>0.36</v>
      </c>
      <c r="K110" s="26" t="n">
        <v>6</v>
      </c>
      <c r="L110" s="26" t="n">
        <v>11</v>
      </c>
      <c r="M110" s="26" t="n">
        <v>5</v>
      </c>
      <c r="N110" s="26" t="n">
        <v>11</v>
      </c>
    </row>
    <row r="111" customFormat="false" ht="15" hidden="false" customHeight="false" outlineLevel="0" collapsed="false">
      <c r="A111" s="8" t="s">
        <v>87</v>
      </c>
      <c r="B111" s="8" t="s">
        <v>479</v>
      </c>
      <c r="C111" s="8" t="n">
        <v>1</v>
      </c>
      <c r="D111" s="9" t="s">
        <v>330</v>
      </c>
      <c r="E111" s="26" t="n">
        <v>663</v>
      </c>
      <c r="F111" s="44" t="n">
        <v>0.0666</v>
      </c>
      <c r="G111" s="26" t="n">
        <v>675</v>
      </c>
      <c r="H111" s="44" t="n">
        <v>0.0051</v>
      </c>
      <c r="I111" s="26" t="n">
        <v>5</v>
      </c>
      <c r="J111" s="43" t="n">
        <v>0.371</v>
      </c>
      <c r="K111" s="26" t="n">
        <v>8</v>
      </c>
      <c r="L111" s="26" t="n">
        <v>14</v>
      </c>
      <c r="M111" s="26" t="n">
        <v>5</v>
      </c>
      <c r="N111" s="26" t="n">
        <v>11</v>
      </c>
    </row>
    <row r="113" customFormat="false" ht="15" hidden="false" customHeight="false" outlineLevel="0" collapsed="false">
      <c r="A113" s="8" t="s">
        <v>109</v>
      </c>
      <c r="B113" s="8" t="s">
        <v>475</v>
      </c>
      <c r="C113" s="8" t="n">
        <v>0</v>
      </c>
      <c r="D113" s="9" t="s">
        <v>476</v>
      </c>
      <c r="E113" s="26" t="n">
        <v>461</v>
      </c>
      <c r="F113" s="45" t="n">
        <v>-0.1033</v>
      </c>
      <c r="G113" s="26" t="n">
        <v>423</v>
      </c>
      <c r="H113" s="44" t="n">
        <v>0.0194</v>
      </c>
      <c r="I113" s="26" t="n">
        <v>2</v>
      </c>
      <c r="J113" s="43" t="n">
        <v>0.3102</v>
      </c>
      <c r="K113" s="26" t="n">
        <v>5</v>
      </c>
      <c r="L113" s="26" t="n">
        <v>15</v>
      </c>
      <c r="M113" s="26" t="n">
        <v>9</v>
      </c>
      <c r="N113" s="26" t="n">
        <v>11</v>
      </c>
    </row>
    <row r="114" customFormat="false" ht="15" hidden="false" customHeight="false" outlineLevel="0" collapsed="false">
      <c r="A114" s="8" t="s">
        <v>109</v>
      </c>
      <c r="B114" s="8" t="s">
        <v>475</v>
      </c>
      <c r="C114" s="8" t="n">
        <v>1</v>
      </c>
      <c r="D114" s="9" t="s">
        <v>267</v>
      </c>
      <c r="E114" s="26" t="n">
        <v>322</v>
      </c>
      <c r="F114" s="45" t="n">
        <v>-0.0175</v>
      </c>
      <c r="G114" s="26" t="n">
        <v>341</v>
      </c>
      <c r="H114" s="44" t="n">
        <v>0.0819</v>
      </c>
      <c r="I114" s="26" t="n">
        <v>4</v>
      </c>
      <c r="J114" s="43" t="n">
        <v>0.3385</v>
      </c>
      <c r="K114" s="26" t="n">
        <v>5</v>
      </c>
      <c r="L114" s="26" t="n">
        <v>12</v>
      </c>
      <c r="M114" s="26" t="n">
        <v>4</v>
      </c>
      <c r="N114" s="26" t="n">
        <v>13</v>
      </c>
    </row>
    <row r="115" customFormat="false" ht="15" hidden="false" customHeight="false" outlineLevel="0" collapsed="false">
      <c r="A115" s="8" t="s">
        <v>109</v>
      </c>
      <c r="B115" s="8" t="s">
        <v>475</v>
      </c>
      <c r="C115" s="8" t="n">
        <v>2</v>
      </c>
      <c r="D115" s="9" t="s">
        <v>484</v>
      </c>
      <c r="E115" s="26" t="n">
        <v>116</v>
      </c>
      <c r="F115" s="44" t="n">
        <v>0.2572</v>
      </c>
      <c r="G115" s="26" t="n">
        <v>126</v>
      </c>
      <c r="H115" s="44" t="n">
        <v>0.0382</v>
      </c>
      <c r="I115" s="26" t="n">
        <v>5</v>
      </c>
      <c r="J115" s="43" t="n">
        <v>0.431</v>
      </c>
      <c r="K115" s="26" t="n">
        <v>5</v>
      </c>
      <c r="L115" s="26" t="n">
        <v>7</v>
      </c>
      <c r="M115" s="26" t="n">
        <v>3</v>
      </c>
      <c r="N115" s="26" t="n">
        <v>12</v>
      </c>
    </row>
    <row r="116" customFormat="false" ht="15" hidden="false" customHeight="false" outlineLevel="0" collapsed="false">
      <c r="A116" s="8" t="s">
        <v>109</v>
      </c>
      <c r="B116" s="8" t="s">
        <v>475</v>
      </c>
      <c r="C116" s="8" t="n">
        <v>3</v>
      </c>
      <c r="D116" s="9" t="s">
        <v>259</v>
      </c>
      <c r="E116" s="26" t="n">
        <v>104</v>
      </c>
      <c r="F116" s="44" t="n">
        <v>0.3545</v>
      </c>
      <c r="G116" s="26" t="n">
        <v>103</v>
      </c>
      <c r="H116" s="44" t="n">
        <v>0.1574</v>
      </c>
      <c r="I116" s="26" t="n">
        <v>6</v>
      </c>
      <c r="J116" s="43" t="n">
        <v>0.4615</v>
      </c>
      <c r="K116" s="26" t="n">
        <v>3</v>
      </c>
      <c r="L116" s="26" t="n">
        <v>8</v>
      </c>
      <c r="M116" s="26" t="n">
        <v>10</v>
      </c>
      <c r="N116" s="26" t="n">
        <v>7</v>
      </c>
    </row>
    <row r="117" customFormat="false" ht="15" hidden="false" customHeight="false" outlineLevel="0" collapsed="false">
      <c r="A117" s="8" t="s">
        <v>109</v>
      </c>
      <c r="B117" s="8" t="s">
        <v>475</v>
      </c>
      <c r="C117" s="8" t="n">
        <v>4</v>
      </c>
      <c r="D117" s="9" t="s">
        <v>371</v>
      </c>
      <c r="E117" s="26" t="n">
        <v>102</v>
      </c>
      <c r="F117" s="44" t="n">
        <v>0.4119</v>
      </c>
      <c r="G117" s="26" t="n">
        <v>103</v>
      </c>
      <c r="H117" s="44" t="n">
        <v>0.1574</v>
      </c>
      <c r="I117" s="26" t="n">
        <v>6</v>
      </c>
      <c r="J117" s="43" t="n">
        <v>0.4804</v>
      </c>
      <c r="K117" s="26" t="n">
        <v>4</v>
      </c>
      <c r="L117" s="26" t="n">
        <v>7</v>
      </c>
      <c r="M117" s="26" t="n">
        <v>10</v>
      </c>
      <c r="N117" s="26" t="n">
        <v>8</v>
      </c>
    </row>
    <row r="118" customFormat="false" ht="15" hidden="false" customHeight="false" outlineLevel="0" collapsed="false">
      <c r="A118" s="8" t="s">
        <v>109</v>
      </c>
      <c r="B118" s="8" t="s">
        <v>475</v>
      </c>
      <c r="C118" s="8" t="n">
        <v>5</v>
      </c>
      <c r="D118" s="9" t="s">
        <v>363</v>
      </c>
      <c r="E118" s="26" t="n">
        <v>110</v>
      </c>
      <c r="F118" s="44" t="n">
        <v>0.4433</v>
      </c>
      <c r="G118" s="26" t="n">
        <v>117</v>
      </c>
      <c r="H118" s="44" t="n">
        <v>0.1203</v>
      </c>
      <c r="I118" s="26" t="n">
        <v>6</v>
      </c>
      <c r="J118" s="43" t="n">
        <v>0.4909</v>
      </c>
      <c r="K118" s="26" t="n">
        <v>5</v>
      </c>
      <c r="L118" s="26" t="n">
        <v>9</v>
      </c>
      <c r="M118" s="26" t="n">
        <v>5</v>
      </c>
      <c r="N118" s="26" t="n">
        <v>9</v>
      </c>
    </row>
    <row r="119" customFormat="false" ht="15" hidden="false" customHeight="false" outlineLevel="0" collapsed="false">
      <c r="A119" s="8" t="s">
        <v>109</v>
      </c>
      <c r="B119" s="8" t="s">
        <v>475</v>
      </c>
      <c r="C119" s="8" t="n">
        <v>6</v>
      </c>
      <c r="D119" s="9" t="s">
        <v>298</v>
      </c>
      <c r="E119" s="26" t="n">
        <v>95</v>
      </c>
      <c r="F119" s="44" t="n">
        <v>0.57</v>
      </c>
      <c r="G119" s="26" t="n">
        <v>107</v>
      </c>
      <c r="H119" s="44" t="n">
        <v>0.0014</v>
      </c>
      <c r="I119" s="26" t="n">
        <v>4</v>
      </c>
      <c r="J119" s="43" t="n">
        <v>0.4</v>
      </c>
      <c r="K119" s="26" t="n">
        <v>3</v>
      </c>
      <c r="L119" s="26" t="n">
        <v>10</v>
      </c>
      <c r="M119" s="26" t="n">
        <v>3</v>
      </c>
      <c r="N119" s="26" t="n">
        <v>9</v>
      </c>
    </row>
    <row r="120" customFormat="false" ht="15" hidden="false" customHeight="false" outlineLevel="0" collapsed="false">
      <c r="A120" s="8" t="s">
        <v>109</v>
      </c>
      <c r="B120" s="8" t="s">
        <v>475</v>
      </c>
      <c r="C120" s="8" t="n">
        <v>7</v>
      </c>
      <c r="D120" s="9" t="s">
        <v>324</v>
      </c>
      <c r="E120" s="26" t="n">
        <v>103</v>
      </c>
      <c r="F120" s="44" t="n">
        <v>0.6012</v>
      </c>
      <c r="G120" s="26" t="n">
        <v>111</v>
      </c>
      <c r="H120" s="45" t="n">
        <v>-0.0348</v>
      </c>
      <c r="I120" s="26" t="n">
        <v>4</v>
      </c>
      <c r="J120" s="43" t="n">
        <v>0.4078</v>
      </c>
      <c r="K120" s="26" t="n">
        <v>3</v>
      </c>
      <c r="L120" s="26" t="n">
        <v>9</v>
      </c>
      <c r="M120" s="26" t="n">
        <v>4</v>
      </c>
      <c r="N120" s="26" t="n">
        <v>14</v>
      </c>
    </row>
    <row r="121" customFormat="false" ht="15" hidden="false" customHeight="false" outlineLevel="0" collapsed="false">
      <c r="A121" s="8" t="s">
        <v>109</v>
      </c>
      <c r="B121" s="8" t="s">
        <v>475</v>
      </c>
      <c r="C121" s="8" t="n">
        <v>8</v>
      </c>
      <c r="D121" s="9" t="s">
        <v>288</v>
      </c>
      <c r="E121" s="26" t="n">
        <v>111</v>
      </c>
      <c r="F121" s="44" t="n">
        <v>0.6103</v>
      </c>
      <c r="G121" s="26" t="n">
        <v>120</v>
      </c>
      <c r="H121" s="44" t="n">
        <v>0.0421</v>
      </c>
      <c r="I121" s="26" t="n">
        <v>5</v>
      </c>
      <c r="J121" s="43" t="n">
        <v>0.4685</v>
      </c>
      <c r="K121" s="26" t="n">
        <v>7</v>
      </c>
      <c r="L121" s="26" t="n">
        <v>7</v>
      </c>
      <c r="M121" s="26" t="n">
        <v>4</v>
      </c>
      <c r="N121" s="26" t="n">
        <v>14</v>
      </c>
    </row>
    <row r="123" customFormat="false" ht="22.35" hidden="false" customHeight="false" outlineLevel="0" collapsed="false">
      <c r="A123" s="8" t="s">
        <v>109</v>
      </c>
      <c r="B123" s="8" t="s">
        <v>479</v>
      </c>
      <c r="C123" s="8" t="n">
        <v>0</v>
      </c>
      <c r="D123" s="9" t="s">
        <v>485</v>
      </c>
      <c r="E123" s="26" t="n">
        <v>104</v>
      </c>
      <c r="F123" s="44" t="n">
        <v>0.2959</v>
      </c>
      <c r="G123" s="26" t="n">
        <v>105</v>
      </c>
      <c r="H123" s="44" t="n">
        <v>0.0778</v>
      </c>
      <c r="I123" s="26" t="n">
        <v>4</v>
      </c>
      <c r="J123" s="43" t="n">
        <v>0.4423</v>
      </c>
      <c r="K123" s="26" t="n">
        <v>4</v>
      </c>
      <c r="L123" s="26" t="n">
        <v>7</v>
      </c>
      <c r="M123" s="26" t="n">
        <v>6</v>
      </c>
      <c r="N123" s="26" t="n">
        <v>12</v>
      </c>
    </row>
    <row r="124" customFormat="false" ht="15" hidden="false" customHeight="false" outlineLevel="0" collapsed="false">
      <c r="A124" s="8" t="s">
        <v>109</v>
      </c>
      <c r="B124" s="8" t="s">
        <v>479</v>
      </c>
      <c r="C124" s="8" t="n">
        <v>1</v>
      </c>
      <c r="D124" s="9" t="s">
        <v>372</v>
      </c>
      <c r="E124" s="26" t="n">
        <v>108</v>
      </c>
      <c r="F124" s="44" t="n">
        <v>0.3577</v>
      </c>
      <c r="G124" s="26" t="n">
        <v>100</v>
      </c>
      <c r="H124" s="44" t="n">
        <v>0.1325</v>
      </c>
      <c r="I124" s="26" t="n">
        <v>5</v>
      </c>
      <c r="J124" s="43" t="n">
        <v>0.463</v>
      </c>
      <c r="K124" s="26" t="n">
        <v>7</v>
      </c>
      <c r="L124" s="26" t="n">
        <v>9</v>
      </c>
      <c r="M124" s="26" t="n">
        <v>5</v>
      </c>
      <c r="N124" s="26" t="n">
        <v>8</v>
      </c>
    </row>
    <row r="125" customFormat="false" ht="15" hidden="false" customHeight="false" outlineLevel="0" collapsed="false">
      <c r="A125" s="8" t="s">
        <v>109</v>
      </c>
      <c r="B125" s="8" t="s">
        <v>479</v>
      </c>
      <c r="C125" s="8" t="n">
        <v>2</v>
      </c>
      <c r="D125" s="9" t="s">
        <v>307</v>
      </c>
      <c r="E125" s="26" t="n">
        <v>100</v>
      </c>
      <c r="F125" s="44" t="n">
        <v>0.4388</v>
      </c>
      <c r="G125" s="26" t="n">
        <v>96</v>
      </c>
      <c r="H125" s="44" t="n">
        <v>0.1171</v>
      </c>
      <c r="I125" s="26" t="n">
        <v>5</v>
      </c>
      <c r="J125" s="43" t="n">
        <v>0.49</v>
      </c>
      <c r="K125" s="26" t="n">
        <v>11</v>
      </c>
      <c r="L125" s="26" t="n">
        <v>8</v>
      </c>
      <c r="M125" s="26" t="n">
        <v>5</v>
      </c>
      <c r="N125" s="26" t="n">
        <v>8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2" min="8" style="0" width="8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486</v>
      </c>
    </row>
    <row r="2" customFormat="false" ht="15" hidden="false" customHeight="false" outlineLevel="0" collapsed="false">
      <c r="A2" s="17" t="s">
        <v>487</v>
      </c>
    </row>
    <row r="4" customFormat="false" ht="42" hidden="false" customHeight="true" outlineLevel="0" collapsed="false">
      <c r="A4" s="7" t="s">
        <v>135</v>
      </c>
      <c r="B4" s="7" t="s">
        <v>488</v>
      </c>
      <c r="C4" s="7" t="s">
        <v>489</v>
      </c>
      <c r="D4" s="7" t="s">
        <v>138</v>
      </c>
      <c r="E4" s="7" t="s">
        <v>50</v>
      </c>
      <c r="F4" s="7" t="s">
        <v>139</v>
      </c>
      <c r="G4" s="7" t="s">
        <v>54</v>
      </c>
      <c r="H4" s="7" t="s">
        <v>490</v>
      </c>
      <c r="I4" s="7" t="s">
        <v>491</v>
      </c>
      <c r="J4" s="7" t="s">
        <v>239</v>
      </c>
      <c r="K4" s="7" t="s">
        <v>146</v>
      </c>
      <c r="L4" s="7" t="s">
        <v>147</v>
      </c>
      <c r="M4" s="7" t="s">
        <v>55</v>
      </c>
    </row>
    <row r="5" customFormat="false" ht="15" hidden="false" customHeight="false" outlineLevel="0" collapsed="false">
      <c r="A5" s="8" t="s">
        <v>87</v>
      </c>
      <c r="B5" s="9" t="s">
        <v>240</v>
      </c>
      <c r="C5" s="8" t="s">
        <v>492</v>
      </c>
      <c r="D5" s="26" t="n">
        <v>4265</v>
      </c>
      <c r="E5" s="19" t="n">
        <f aca="false">D5/1485</f>
        <v>2.87205387205387</v>
      </c>
      <c r="F5" s="43" t="n">
        <v>0.6016</v>
      </c>
      <c r="G5" s="45" t="n">
        <v>-0.0901</v>
      </c>
      <c r="H5" s="45" t="n">
        <v>-0.1164</v>
      </c>
      <c r="I5" s="45" t="n">
        <v>-0.0621</v>
      </c>
      <c r="J5" s="26" t="n">
        <v>0</v>
      </c>
      <c r="K5" s="26" t="n">
        <v>16</v>
      </c>
      <c r="L5" s="26" t="n">
        <v>7</v>
      </c>
      <c r="M5" s="39" t="n">
        <v>-384.49</v>
      </c>
    </row>
    <row r="6" customFormat="false" ht="15" hidden="false" customHeight="false" outlineLevel="0" collapsed="false">
      <c r="A6" s="8" t="s">
        <v>87</v>
      </c>
      <c r="B6" s="9" t="s">
        <v>240</v>
      </c>
      <c r="C6" s="8" t="s">
        <v>493</v>
      </c>
      <c r="D6" s="26" t="n">
        <v>3892</v>
      </c>
      <c r="E6" s="19" t="n">
        <f aca="false">D6/1485</f>
        <v>2.62087542087542</v>
      </c>
      <c r="F6" s="43" t="n">
        <v>0.4851</v>
      </c>
      <c r="G6" s="45" t="n">
        <v>-0.0815</v>
      </c>
      <c r="H6" s="45" t="n">
        <v>-0.1083</v>
      </c>
      <c r="I6" s="45" t="n">
        <v>-0.0533</v>
      </c>
      <c r="J6" s="26" t="n">
        <v>0</v>
      </c>
      <c r="K6" s="26" t="n">
        <v>14</v>
      </c>
      <c r="L6" s="26" t="n">
        <v>9</v>
      </c>
      <c r="M6" s="39" t="n">
        <v>-317.08</v>
      </c>
    </row>
    <row r="7" customFormat="false" ht="15" hidden="false" customHeight="false" outlineLevel="0" collapsed="false">
      <c r="A7" s="8" t="s">
        <v>87</v>
      </c>
      <c r="B7" s="9" t="s">
        <v>240</v>
      </c>
      <c r="C7" s="8" t="s">
        <v>494</v>
      </c>
      <c r="D7" s="26" t="n">
        <v>3477</v>
      </c>
      <c r="E7" s="19" t="n">
        <f aca="false">D7/1485</f>
        <v>2.34141414141414</v>
      </c>
      <c r="F7" s="43" t="n">
        <v>0.3857</v>
      </c>
      <c r="G7" s="45" t="n">
        <v>-0.0868</v>
      </c>
      <c r="H7" s="45" t="n">
        <v>-0.1213</v>
      </c>
      <c r="I7" s="45" t="n">
        <v>-0.051</v>
      </c>
      <c r="J7" s="26" t="n">
        <v>1</v>
      </c>
      <c r="K7" s="26" t="n">
        <v>7</v>
      </c>
      <c r="L7" s="26" t="n">
        <v>15</v>
      </c>
      <c r="M7" s="39" t="n">
        <v>-301.84</v>
      </c>
    </row>
    <row r="8" customFormat="false" ht="15" hidden="false" customHeight="false" outlineLevel="0" collapsed="false">
      <c r="A8" s="8" t="s">
        <v>87</v>
      </c>
      <c r="B8" s="9" t="s">
        <v>240</v>
      </c>
      <c r="C8" s="8" t="s">
        <v>495</v>
      </c>
      <c r="D8" s="26" t="n">
        <v>3169</v>
      </c>
      <c r="E8" s="19" t="n">
        <f aca="false">D8/1485</f>
        <v>2.13400673400673</v>
      </c>
      <c r="F8" s="43" t="n">
        <v>0.332</v>
      </c>
      <c r="G8" s="45" t="n">
        <v>-0.0549</v>
      </c>
      <c r="H8" s="45" t="n">
        <v>-0.1018</v>
      </c>
      <c r="I8" s="45" t="n">
        <v>-0.0065</v>
      </c>
      <c r="J8" s="26" t="n">
        <v>1</v>
      </c>
      <c r="K8" s="26" t="n">
        <v>6</v>
      </c>
      <c r="L8" s="26" t="n">
        <v>18</v>
      </c>
      <c r="M8" s="39" t="n">
        <v>-174.08</v>
      </c>
    </row>
    <row r="9" customFormat="false" ht="15" hidden="false" customHeight="false" outlineLevel="0" collapsed="false">
      <c r="A9" s="8" t="s">
        <v>87</v>
      </c>
      <c r="B9" s="9" t="s">
        <v>240</v>
      </c>
      <c r="C9" s="8" t="s">
        <v>496</v>
      </c>
      <c r="D9" s="26" t="n">
        <v>3779</v>
      </c>
      <c r="E9" s="19" t="n">
        <f aca="false">D9/1485</f>
        <v>2.54478114478115</v>
      </c>
      <c r="F9" s="43" t="n">
        <v>0.1979</v>
      </c>
      <c r="G9" s="45" t="n">
        <v>-0.0528</v>
      </c>
      <c r="H9" s="45" t="n">
        <v>-0.1031</v>
      </c>
      <c r="I9" s="44" t="n">
        <v>0.0017</v>
      </c>
      <c r="J9" s="26" t="n">
        <v>2</v>
      </c>
      <c r="K9" s="26" t="n">
        <v>4</v>
      </c>
      <c r="L9" s="26" t="n">
        <v>7</v>
      </c>
      <c r="M9" s="39" t="n">
        <v>-199.4</v>
      </c>
    </row>
    <row r="10" customFormat="false" ht="15" hidden="false" customHeight="false" outlineLevel="0" collapsed="false">
      <c r="A10" s="8" t="s">
        <v>87</v>
      </c>
      <c r="B10" s="9" t="s">
        <v>240</v>
      </c>
      <c r="C10" s="8" t="s">
        <v>497</v>
      </c>
      <c r="D10" s="26" t="n">
        <v>4101</v>
      </c>
      <c r="E10" s="19" t="n">
        <f aca="false">D10/1485</f>
        <v>2.76161616161616</v>
      </c>
      <c r="F10" s="43" t="n">
        <v>0.3767</v>
      </c>
      <c r="G10" s="45" t="n">
        <v>-0.0729</v>
      </c>
      <c r="H10" s="45" t="n">
        <v>-0.1106</v>
      </c>
      <c r="I10" s="45" t="n">
        <v>-0.0322</v>
      </c>
      <c r="J10" s="26" t="n">
        <v>1</v>
      </c>
      <c r="K10" s="26" t="n">
        <v>9</v>
      </c>
      <c r="L10" s="26" t="n">
        <v>7</v>
      </c>
      <c r="M10" s="39" t="n">
        <v>-299.09</v>
      </c>
    </row>
    <row r="11" customFormat="false" ht="15" hidden="false" customHeight="false" outlineLevel="0" collapsed="false">
      <c r="A11" s="8" t="s">
        <v>87</v>
      </c>
      <c r="B11" s="9" t="s">
        <v>240</v>
      </c>
      <c r="C11" s="8" t="s">
        <v>498</v>
      </c>
      <c r="D11" s="26" t="n">
        <v>3498</v>
      </c>
      <c r="E11" s="19" t="n">
        <f aca="false">D11/1485</f>
        <v>2.35555555555556</v>
      </c>
      <c r="F11" s="43" t="n">
        <v>0.2536</v>
      </c>
      <c r="G11" s="45" t="n">
        <v>-0.0604</v>
      </c>
      <c r="H11" s="45" t="n">
        <v>-0.096</v>
      </c>
      <c r="I11" s="45" t="n">
        <v>-0.0228</v>
      </c>
      <c r="J11" s="26" t="n">
        <v>1</v>
      </c>
      <c r="K11" s="26" t="n">
        <v>5</v>
      </c>
      <c r="L11" s="26" t="n">
        <v>8</v>
      </c>
      <c r="M11" s="39" t="n">
        <v>-211.14</v>
      </c>
    </row>
    <row r="12" customFormat="false" ht="15" hidden="false" customHeight="false" outlineLevel="0" collapsed="false">
      <c r="A12" s="8" t="s">
        <v>87</v>
      </c>
      <c r="B12" s="9" t="s">
        <v>240</v>
      </c>
      <c r="C12" s="8" t="s">
        <v>499</v>
      </c>
      <c r="D12" s="26" t="n">
        <v>3779</v>
      </c>
      <c r="E12" s="19" t="n">
        <f aca="false">D12/1485</f>
        <v>2.54478114478115</v>
      </c>
      <c r="F12" s="43" t="n">
        <v>0.6041</v>
      </c>
      <c r="G12" s="45" t="n">
        <v>-0.0695</v>
      </c>
      <c r="H12" s="45" t="n">
        <v>-0.1111</v>
      </c>
      <c r="I12" s="45" t="n">
        <v>-0.0244</v>
      </c>
      <c r="J12" s="26" t="n">
        <v>2</v>
      </c>
      <c r="K12" s="26" t="n">
        <v>13</v>
      </c>
      <c r="L12" s="26" t="n">
        <v>7</v>
      </c>
      <c r="M12" s="39" t="n">
        <v>-262.5</v>
      </c>
    </row>
    <row r="14" customFormat="false" ht="22.35" hidden="false" customHeight="false" outlineLevel="0" collapsed="false">
      <c r="A14" s="8" t="s">
        <v>87</v>
      </c>
      <c r="B14" s="9" t="s">
        <v>417</v>
      </c>
      <c r="C14" s="8" t="s">
        <v>492</v>
      </c>
      <c r="D14" s="26" t="n">
        <v>1216</v>
      </c>
      <c r="E14" s="19" t="n">
        <f aca="false">D14/1485</f>
        <v>0.818855218855219</v>
      </c>
      <c r="F14" s="43" t="n">
        <v>0.6184</v>
      </c>
      <c r="G14" s="45" t="n">
        <v>-0.0436</v>
      </c>
      <c r="H14" s="45" t="n">
        <v>-0.021</v>
      </c>
      <c r="I14" s="45" t="n">
        <v>-0.066</v>
      </c>
      <c r="J14" s="26" t="n">
        <v>1</v>
      </c>
      <c r="K14" s="26" t="n">
        <v>14</v>
      </c>
      <c r="L14" s="26" t="n">
        <v>6</v>
      </c>
      <c r="M14" s="39" t="n">
        <v>-53.02</v>
      </c>
    </row>
    <row r="15" customFormat="false" ht="22.35" hidden="false" customHeight="false" outlineLevel="0" collapsed="false">
      <c r="A15" s="8" t="s">
        <v>87</v>
      </c>
      <c r="B15" s="9" t="s">
        <v>417</v>
      </c>
      <c r="C15" s="8" t="s">
        <v>493</v>
      </c>
      <c r="D15" s="26" t="n">
        <v>1061</v>
      </c>
      <c r="E15" s="19" t="n">
        <f aca="false">D15/1485</f>
        <v>0.714478114478115</v>
      </c>
      <c r="F15" s="43" t="n">
        <v>0.4976</v>
      </c>
      <c r="G15" s="45" t="n">
        <v>-0.038</v>
      </c>
      <c r="H15" s="45" t="n">
        <v>-0.0222</v>
      </c>
      <c r="I15" s="45" t="n">
        <v>-0.0536</v>
      </c>
      <c r="J15" s="26" t="n">
        <v>1</v>
      </c>
      <c r="K15" s="26" t="n">
        <v>7</v>
      </c>
      <c r="L15" s="26" t="n">
        <v>8</v>
      </c>
      <c r="M15" s="39" t="n">
        <v>-40.31</v>
      </c>
    </row>
    <row r="16" customFormat="false" ht="22.35" hidden="false" customHeight="false" outlineLevel="0" collapsed="false">
      <c r="A16" s="8" t="s">
        <v>87</v>
      </c>
      <c r="B16" s="9" t="s">
        <v>417</v>
      </c>
      <c r="C16" s="8" t="s">
        <v>494</v>
      </c>
      <c r="D16" s="26" t="n">
        <v>933</v>
      </c>
      <c r="E16" s="19" t="n">
        <f aca="false">D16/1485</f>
        <v>0.628282828282828</v>
      </c>
      <c r="F16" s="43" t="n">
        <v>0.4105</v>
      </c>
      <c r="G16" s="45" t="n">
        <v>-0.0073</v>
      </c>
      <c r="H16" s="45" t="n">
        <v>-0.0098</v>
      </c>
      <c r="I16" s="45" t="n">
        <v>-0.005</v>
      </c>
      <c r="J16" s="26" t="n">
        <v>3</v>
      </c>
      <c r="K16" s="26" t="n">
        <v>6</v>
      </c>
      <c r="L16" s="26" t="n">
        <v>13</v>
      </c>
      <c r="M16" s="39" t="n">
        <v>-6.85</v>
      </c>
    </row>
    <row r="17" customFormat="false" ht="22.35" hidden="false" customHeight="false" outlineLevel="0" collapsed="false">
      <c r="A17" s="8" t="s">
        <v>87</v>
      </c>
      <c r="B17" s="9" t="s">
        <v>417</v>
      </c>
      <c r="C17" s="8" t="s">
        <v>495</v>
      </c>
      <c r="D17" s="26" t="n">
        <v>841</v>
      </c>
      <c r="E17" s="19" t="n">
        <f aca="false">D17/1485</f>
        <v>0.566329966329966</v>
      </c>
      <c r="F17" s="43" t="n">
        <v>0.352</v>
      </c>
      <c r="G17" s="44" t="n">
        <v>0.0221</v>
      </c>
      <c r="H17" s="44" t="n">
        <v>0.0313</v>
      </c>
      <c r="I17" s="44" t="n">
        <v>0.013</v>
      </c>
      <c r="J17" s="26" t="n">
        <v>3</v>
      </c>
      <c r="K17" s="26" t="n">
        <v>6</v>
      </c>
      <c r="L17" s="26" t="n">
        <v>16</v>
      </c>
      <c r="M17" s="39" t="n">
        <v>18.56</v>
      </c>
    </row>
    <row r="18" customFormat="false" ht="22.35" hidden="false" customHeight="false" outlineLevel="0" collapsed="false">
      <c r="A18" s="8" t="s">
        <v>87</v>
      </c>
      <c r="B18" s="9" t="s">
        <v>417</v>
      </c>
      <c r="C18" s="8" t="s">
        <v>496</v>
      </c>
      <c r="D18" s="26" t="n">
        <v>1049</v>
      </c>
      <c r="E18" s="19" t="n">
        <f aca="false">D18/1485</f>
        <v>0.706397306397306</v>
      </c>
      <c r="F18" s="43" t="n">
        <v>0.1926</v>
      </c>
      <c r="G18" s="45" t="n">
        <v>-0.02</v>
      </c>
      <c r="H18" s="45" t="n">
        <v>-0.0182</v>
      </c>
      <c r="I18" s="45" t="n">
        <v>-0.0219</v>
      </c>
      <c r="J18" s="26" t="n">
        <v>3</v>
      </c>
      <c r="K18" s="26" t="n">
        <v>5</v>
      </c>
      <c r="L18" s="26" t="n">
        <v>6</v>
      </c>
      <c r="M18" s="39" t="n">
        <v>-21.03</v>
      </c>
    </row>
    <row r="19" customFormat="false" ht="22.35" hidden="false" customHeight="false" outlineLevel="0" collapsed="false">
      <c r="A19" s="8" t="s">
        <v>87</v>
      </c>
      <c r="B19" s="9" t="s">
        <v>417</v>
      </c>
      <c r="C19" s="8" t="s">
        <v>497</v>
      </c>
      <c r="D19" s="26" t="n">
        <v>1133</v>
      </c>
      <c r="E19" s="19" t="n">
        <f aca="false">D19/1485</f>
        <v>0.762962962962963</v>
      </c>
      <c r="F19" s="43" t="n">
        <v>0.376</v>
      </c>
      <c r="G19" s="45" t="n">
        <v>-0.0289</v>
      </c>
      <c r="H19" s="44" t="n">
        <v>0.0007</v>
      </c>
      <c r="I19" s="45" t="n">
        <v>-0.0579</v>
      </c>
      <c r="J19" s="26" t="n">
        <v>2</v>
      </c>
      <c r="K19" s="26" t="n">
        <v>7</v>
      </c>
      <c r="L19" s="26" t="n">
        <v>6</v>
      </c>
      <c r="M19" s="39" t="n">
        <v>-32.7</v>
      </c>
    </row>
    <row r="20" customFormat="false" ht="22.35" hidden="false" customHeight="false" outlineLevel="0" collapsed="false">
      <c r="A20" s="8" t="s">
        <v>87</v>
      </c>
      <c r="B20" s="9" t="s">
        <v>417</v>
      </c>
      <c r="C20" s="8" t="s">
        <v>498</v>
      </c>
      <c r="D20" s="26" t="n">
        <v>954</v>
      </c>
      <c r="E20" s="19" t="n">
        <f aca="false">D20/1485</f>
        <v>0.642424242424243</v>
      </c>
      <c r="F20" s="43" t="n">
        <v>0.2537</v>
      </c>
      <c r="G20" s="45" t="n">
        <v>-0.0252</v>
      </c>
      <c r="H20" s="45" t="n">
        <v>-0.0275</v>
      </c>
      <c r="I20" s="45" t="n">
        <v>-0.023</v>
      </c>
      <c r="J20" s="26" t="n">
        <v>1</v>
      </c>
      <c r="K20" s="26" t="n">
        <v>6</v>
      </c>
      <c r="L20" s="26" t="n">
        <v>8</v>
      </c>
      <c r="M20" s="39" t="n">
        <v>-24.07</v>
      </c>
    </row>
    <row r="21" customFormat="false" ht="22.35" hidden="false" customHeight="false" outlineLevel="0" collapsed="false">
      <c r="A21" s="8" t="s">
        <v>87</v>
      </c>
      <c r="B21" s="9" t="s">
        <v>417</v>
      </c>
      <c r="C21" s="8" t="s">
        <v>499</v>
      </c>
      <c r="D21" s="26" t="n">
        <v>1049</v>
      </c>
      <c r="E21" s="19" t="n">
        <f aca="false">D21/1485</f>
        <v>0.706397306397306</v>
      </c>
      <c r="F21" s="43" t="n">
        <v>0.6282</v>
      </c>
      <c r="G21" s="45" t="n">
        <v>-0.0241</v>
      </c>
      <c r="H21" s="45" t="n">
        <v>-0.0205</v>
      </c>
      <c r="I21" s="45" t="n">
        <v>-0.0277</v>
      </c>
      <c r="J21" s="26" t="n">
        <v>2</v>
      </c>
      <c r="K21" s="26" t="n">
        <v>14</v>
      </c>
      <c r="L21" s="26" t="n">
        <v>6</v>
      </c>
      <c r="M21" s="39" t="n">
        <v>-25.33</v>
      </c>
    </row>
    <row r="23" customFormat="false" ht="22.35" hidden="false" customHeight="false" outlineLevel="0" collapsed="false">
      <c r="A23" s="8" t="s">
        <v>87</v>
      </c>
      <c r="B23" s="9" t="s">
        <v>418</v>
      </c>
      <c r="C23" s="8" t="s">
        <v>492</v>
      </c>
      <c r="D23" s="26" t="n">
        <v>1846</v>
      </c>
      <c r="E23" s="19" t="n">
        <f aca="false">D23/1485</f>
        <v>1.24309764309764</v>
      </c>
      <c r="F23" s="43" t="n">
        <v>0.6224</v>
      </c>
      <c r="G23" s="45" t="n">
        <v>-0.0345</v>
      </c>
      <c r="H23" s="45" t="n">
        <v>-0.0228</v>
      </c>
      <c r="I23" s="45" t="n">
        <v>-0.0459</v>
      </c>
      <c r="J23" s="26" t="n">
        <v>1</v>
      </c>
      <c r="K23" s="26" t="n">
        <v>17</v>
      </c>
      <c r="L23" s="26" t="n">
        <v>7</v>
      </c>
      <c r="M23" s="39" t="n">
        <v>-63.65</v>
      </c>
    </row>
    <row r="24" customFormat="false" ht="22.35" hidden="false" customHeight="false" outlineLevel="0" collapsed="false">
      <c r="A24" s="8" t="s">
        <v>87</v>
      </c>
      <c r="B24" s="9" t="s">
        <v>418</v>
      </c>
      <c r="C24" s="8" t="s">
        <v>493</v>
      </c>
      <c r="D24" s="26" t="n">
        <v>1650</v>
      </c>
      <c r="E24" s="19" t="n">
        <f aca="false">D24/1485</f>
        <v>1.11111111111111</v>
      </c>
      <c r="F24" s="43" t="n">
        <v>0.503</v>
      </c>
      <c r="G24" s="45" t="n">
        <v>-0.0244</v>
      </c>
      <c r="H24" s="45" t="n">
        <v>-0.0304</v>
      </c>
      <c r="I24" s="45" t="n">
        <v>-0.0186</v>
      </c>
      <c r="J24" s="26" t="n">
        <v>3</v>
      </c>
      <c r="K24" s="26" t="n">
        <v>7</v>
      </c>
      <c r="L24" s="26" t="n">
        <v>7</v>
      </c>
      <c r="M24" s="39" t="n">
        <v>-40.27</v>
      </c>
    </row>
    <row r="25" customFormat="false" ht="22.35" hidden="false" customHeight="false" outlineLevel="0" collapsed="false">
      <c r="A25" s="8" t="s">
        <v>87</v>
      </c>
      <c r="B25" s="9" t="s">
        <v>418</v>
      </c>
      <c r="C25" s="8" t="s">
        <v>494</v>
      </c>
      <c r="D25" s="26" t="n">
        <v>1466</v>
      </c>
      <c r="E25" s="19" t="n">
        <f aca="false">D25/1485</f>
        <v>0.987205387205387</v>
      </c>
      <c r="F25" s="43" t="n">
        <v>0.4181</v>
      </c>
      <c r="G25" s="44" t="n">
        <v>0.0146</v>
      </c>
      <c r="H25" s="44" t="n">
        <v>0.0191</v>
      </c>
      <c r="I25" s="44" t="n">
        <v>0.0103</v>
      </c>
      <c r="J25" s="26" t="n">
        <v>5</v>
      </c>
      <c r="K25" s="26" t="n">
        <v>8</v>
      </c>
      <c r="L25" s="26" t="n">
        <v>11</v>
      </c>
      <c r="M25" s="39" t="n">
        <v>21.42</v>
      </c>
    </row>
    <row r="26" customFormat="false" ht="22.35" hidden="false" customHeight="false" outlineLevel="0" collapsed="false">
      <c r="A26" s="8" t="s">
        <v>87</v>
      </c>
      <c r="B26" s="9" t="s">
        <v>418</v>
      </c>
      <c r="C26" s="8" t="s">
        <v>495</v>
      </c>
      <c r="D26" s="26" t="n">
        <v>1333</v>
      </c>
      <c r="E26" s="19" t="n">
        <f aca="false">D26/1485</f>
        <v>0.897643097643098</v>
      </c>
      <c r="F26" s="43" t="n">
        <v>0.3496</v>
      </c>
      <c r="G26" s="44" t="n">
        <v>0.0178</v>
      </c>
      <c r="H26" s="44" t="n">
        <v>0.0305</v>
      </c>
      <c r="I26" s="44" t="n">
        <v>0.0057</v>
      </c>
      <c r="J26" s="26" t="n">
        <v>3</v>
      </c>
      <c r="K26" s="26" t="n">
        <v>6</v>
      </c>
      <c r="L26" s="26" t="n">
        <v>11</v>
      </c>
      <c r="M26" s="39" t="n">
        <v>23.71</v>
      </c>
    </row>
    <row r="27" customFormat="false" ht="22.35" hidden="false" customHeight="false" outlineLevel="0" collapsed="false">
      <c r="A27" s="8" t="s">
        <v>87</v>
      </c>
      <c r="B27" s="9" t="s">
        <v>418</v>
      </c>
      <c r="C27" s="8" t="s">
        <v>496</v>
      </c>
      <c r="D27" s="26" t="n">
        <v>1619</v>
      </c>
      <c r="E27" s="19" t="n">
        <f aca="false">D27/1485</f>
        <v>1.09023569023569</v>
      </c>
      <c r="F27" s="43" t="n">
        <v>0.189</v>
      </c>
      <c r="G27" s="45" t="n">
        <v>-0.0313</v>
      </c>
      <c r="H27" s="45" t="n">
        <v>-0.0439</v>
      </c>
      <c r="I27" s="45" t="n">
        <v>-0.019</v>
      </c>
      <c r="J27" s="26" t="n">
        <v>2</v>
      </c>
      <c r="K27" s="26" t="n">
        <v>3</v>
      </c>
      <c r="L27" s="26" t="n">
        <v>6</v>
      </c>
      <c r="M27" s="39" t="n">
        <v>-50.69</v>
      </c>
    </row>
    <row r="28" customFormat="false" ht="22.35" hidden="false" customHeight="false" outlineLevel="0" collapsed="false">
      <c r="A28" s="8" t="s">
        <v>87</v>
      </c>
      <c r="B28" s="9" t="s">
        <v>418</v>
      </c>
      <c r="C28" s="8" t="s">
        <v>497</v>
      </c>
      <c r="D28" s="26" t="n">
        <v>1767</v>
      </c>
      <c r="E28" s="19" t="n">
        <f aca="false">D28/1485</f>
        <v>1.18989898989899</v>
      </c>
      <c r="F28" s="43" t="n">
        <v>0.382</v>
      </c>
      <c r="G28" s="45" t="n">
        <v>-0.0237</v>
      </c>
      <c r="H28" s="45" t="n">
        <v>-0.0223</v>
      </c>
      <c r="I28" s="45" t="n">
        <v>-0.025</v>
      </c>
      <c r="J28" s="26" t="n">
        <v>3</v>
      </c>
      <c r="K28" s="26" t="n">
        <v>6</v>
      </c>
      <c r="L28" s="26" t="n">
        <v>7</v>
      </c>
      <c r="M28" s="39" t="n">
        <v>-41.85</v>
      </c>
    </row>
    <row r="29" customFormat="false" ht="22.35" hidden="false" customHeight="false" outlineLevel="0" collapsed="false">
      <c r="A29" s="8" t="s">
        <v>87</v>
      </c>
      <c r="B29" s="9" t="s">
        <v>418</v>
      </c>
      <c r="C29" s="8" t="s">
        <v>498</v>
      </c>
      <c r="D29" s="26" t="n">
        <v>1477</v>
      </c>
      <c r="E29" s="19" t="n">
        <f aca="false">D29/1485</f>
        <v>0.994612794612795</v>
      </c>
      <c r="F29" s="43" t="n">
        <v>0.2546</v>
      </c>
      <c r="G29" s="45" t="n">
        <v>-0.0188</v>
      </c>
      <c r="H29" s="45" t="n">
        <v>-0.0383</v>
      </c>
      <c r="I29" s="44" t="n">
        <v>0.0005</v>
      </c>
      <c r="J29" s="26" t="n">
        <v>3</v>
      </c>
      <c r="K29" s="26" t="n">
        <v>4</v>
      </c>
      <c r="L29" s="26" t="n">
        <v>7</v>
      </c>
      <c r="M29" s="39" t="n">
        <v>-27.7</v>
      </c>
    </row>
    <row r="30" customFormat="false" ht="22.35" hidden="false" customHeight="false" outlineLevel="0" collapsed="false">
      <c r="A30" s="8" t="s">
        <v>87</v>
      </c>
      <c r="B30" s="9" t="s">
        <v>418</v>
      </c>
      <c r="C30" s="8" t="s">
        <v>499</v>
      </c>
      <c r="D30" s="26" t="n">
        <v>1619</v>
      </c>
      <c r="E30" s="19" t="n">
        <f aca="false">D30/1485</f>
        <v>1.09023569023569</v>
      </c>
      <c r="F30" s="43" t="n">
        <v>0.6214</v>
      </c>
      <c r="G30" s="45" t="n">
        <v>-0.0339</v>
      </c>
      <c r="H30" s="45" t="n">
        <v>-0.032</v>
      </c>
      <c r="I30" s="45" t="n">
        <v>-0.0358</v>
      </c>
      <c r="J30" s="26" t="n">
        <v>1</v>
      </c>
      <c r="K30" s="26" t="n">
        <v>12</v>
      </c>
      <c r="L30" s="26" t="n">
        <v>6</v>
      </c>
      <c r="M30" s="39" t="n">
        <v>-54.89</v>
      </c>
    </row>
    <row r="32" customFormat="false" ht="15" hidden="false" customHeight="false" outlineLevel="0" collapsed="false">
      <c r="A32" s="8" t="s">
        <v>87</v>
      </c>
      <c r="B32" s="9" t="s">
        <v>420</v>
      </c>
      <c r="C32" s="8" t="s">
        <v>492</v>
      </c>
      <c r="D32" s="26" t="n">
        <v>2277</v>
      </c>
      <c r="E32" s="19" t="n">
        <f aca="false">D32/1485</f>
        <v>1.53333333333333</v>
      </c>
      <c r="F32" s="43" t="n">
        <v>0.6249</v>
      </c>
      <c r="G32" s="45" t="n">
        <v>-0.0296</v>
      </c>
      <c r="H32" s="45" t="n">
        <v>-0.02</v>
      </c>
      <c r="I32" s="45" t="n">
        <v>-0.0386</v>
      </c>
      <c r="J32" s="26" t="n">
        <v>1</v>
      </c>
      <c r="K32" s="26" t="n">
        <v>19</v>
      </c>
      <c r="L32" s="26" t="n">
        <v>5</v>
      </c>
      <c r="M32" s="39" t="n">
        <v>-67.3</v>
      </c>
    </row>
    <row r="33" customFormat="false" ht="15" hidden="false" customHeight="false" outlineLevel="0" collapsed="false">
      <c r="A33" s="8" t="s">
        <v>87</v>
      </c>
      <c r="B33" s="9" t="s">
        <v>420</v>
      </c>
      <c r="C33" s="8" t="s">
        <v>493</v>
      </c>
      <c r="D33" s="26" t="n">
        <v>1950</v>
      </c>
      <c r="E33" s="19" t="n">
        <f aca="false">D33/1485</f>
        <v>1.31313131313131</v>
      </c>
      <c r="F33" s="43" t="n">
        <v>0.5031</v>
      </c>
      <c r="G33" s="45" t="n">
        <v>-0.0232</v>
      </c>
      <c r="H33" s="45" t="n">
        <v>-0.0356</v>
      </c>
      <c r="I33" s="45" t="n">
        <v>-0.0114</v>
      </c>
      <c r="J33" s="26" t="n">
        <v>2</v>
      </c>
      <c r="K33" s="26" t="n">
        <v>9</v>
      </c>
      <c r="L33" s="26" t="n">
        <v>7</v>
      </c>
      <c r="M33" s="39" t="n">
        <v>-45.33</v>
      </c>
    </row>
    <row r="34" customFormat="false" ht="15" hidden="false" customHeight="false" outlineLevel="0" collapsed="false">
      <c r="A34" s="8" t="s">
        <v>87</v>
      </c>
      <c r="B34" s="9" t="s">
        <v>420</v>
      </c>
      <c r="C34" s="8" t="s">
        <v>494</v>
      </c>
      <c r="D34" s="26" t="n">
        <v>1681</v>
      </c>
      <c r="E34" s="19" t="n">
        <f aca="false">D34/1485</f>
        <v>1.13198653198653</v>
      </c>
      <c r="F34" s="43" t="n">
        <v>0.4224</v>
      </c>
      <c r="G34" s="44" t="n">
        <v>0.0264</v>
      </c>
      <c r="H34" s="44" t="n">
        <v>0.0116</v>
      </c>
      <c r="I34" s="44" t="n">
        <v>0.0406</v>
      </c>
      <c r="J34" s="26" t="n">
        <v>4</v>
      </c>
      <c r="K34" s="26" t="n">
        <v>8</v>
      </c>
      <c r="L34" s="26" t="n">
        <v>11</v>
      </c>
      <c r="M34" s="39" t="n">
        <v>44.4</v>
      </c>
    </row>
    <row r="35" customFormat="false" ht="15" hidden="false" customHeight="false" outlineLevel="0" collapsed="false">
      <c r="A35" s="8" t="s">
        <v>87</v>
      </c>
      <c r="B35" s="9" t="s">
        <v>420</v>
      </c>
      <c r="C35" s="8" t="s">
        <v>495</v>
      </c>
      <c r="D35" s="26" t="n">
        <v>1463</v>
      </c>
      <c r="E35" s="19" t="n">
        <f aca="false">D35/1485</f>
        <v>0.985185185185185</v>
      </c>
      <c r="F35" s="43" t="n">
        <v>0.3582</v>
      </c>
      <c r="G35" s="44" t="n">
        <v>0.0445</v>
      </c>
      <c r="H35" s="44" t="n">
        <v>0.0176</v>
      </c>
      <c r="I35" s="44" t="n">
        <v>0.0706</v>
      </c>
      <c r="J35" s="26" t="n">
        <v>5</v>
      </c>
      <c r="K35" s="26" t="n">
        <v>7</v>
      </c>
      <c r="L35" s="26" t="n">
        <v>13</v>
      </c>
      <c r="M35" s="39" t="n">
        <v>65.08</v>
      </c>
    </row>
    <row r="36" customFormat="false" ht="15" hidden="false" customHeight="false" outlineLevel="0" collapsed="false">
      <c r="A36" s="8" t="s">
        <v>87</v>
      </c>
      <c r="B36" s="9" t="s">
        <v>420</v>
      </c>
      <c r="C36" s="8" t="s">
        <v>496</v>
      </c>
      <c r="D36" s="26" t="n">
        <v>1812</v>
      </c>
      <c r="E36" s="19" t="n">
        <f aca="false">D36/1485</f>
        <v>1.22020202020202</v>
      </c>
      <c r="F36" s="43" t="n">
        <v>0.2003</v>
      </c>
      <c r="G36" s="44" t="n">
        <v>0.0022</v>
      </c>
      <c r="H36" s="45" t="n">
        <v>-0.0229</v>
      </c>
      <c r="I36" s="44" t="n">
        <v>0.0263</v>
      </c>
      <c r="J36" s="26" t="n">
        <v>3</v>
      </c>
      <c r="K36" s="26" t="n">
        <v>4</v>
      </c>
      <c r="L36" s="26" t="n">
        <v>5</v>
      </c>
      <c r="M36" s="39" t="n">
        <v>3.9</v>
      </c>
    </row>
    <row r="37" customFormat="false" ht="15" hidden="false" customHeight="false" outlineLevel="0" collapsed="false">
      <c r="A37" s="8" t="s">
        <v>87</v>
      </c>
      <c r="B37" s="9" t="s">
        <v>420</v>
      </c>
      <c r="C37" s="8" t="s">
        <v>497</v>
      </c>
      <c r="D37" s="26" t="n">
        <v>2079</v>
      </c>
      <c r="E37" s="19" t="n">
        <f aca="false">D37/1485</f>
        <v>1.4</v>
      </c>
      <c r="F37" s="43" t="n">
        <v>0.3891</v>
      </c>
      <c r="G37" s="45" t="n">
        <v>-0.0104</v>
      </c>
      <c r="H37" s="45" t="n">
        <v>-0.0004</v>
      </c>
      <c r="I37" s="45" t="n">
        <v>-0.0201</v>
      </c>
      <c r="J37" s="26" t="n">
        <v>3</v>
      </c>
      <c r="K37" s="26" t="n">
        <v>6</v>
      </c>
      <c r="L37" s="26" t="n">
        <v>5</v>
      </c>
      <c r="M37" s="39" t="n">
        <v>-21.72</v>
      </c>
    </row>
    <row r="38" customFormat="false" ht="15" hidden="false" customHeight="false" outlineLevel="0" collapsed="false">
      <c r="A38" s="8" t="s">
        <v>87</v>
      </c>
      <c r="B38" s="9" t="s">
        <v>420</v>
      </c>
      <c r="C38" s="8" t="s">
        <v>498</v>
      </c>
      <c r="D38" s="26" t="n">
        <v>1649</v>
      </c>
      <c r="E38" s="19" t="n">
        <f aca="false">D38/1485</f>
        <v>1.11043771043771</v>
      </c>
      <c r="F38" s="43" t="n">
        <v>0.2589</v>
      </c>
      <c r="G38" s="45" t="n">
        <v>-0.0032</v>
      </c>
      <c r="H38" s="45" t="n">
        <v>-0.0423</v>
      </c>
      <c r="I38" s="44" t="n">
        <v>0.0353</v>
      </c>
      <c r="J38" s="26" t="n">
        <v>2</v>
      </c>
      <c r="K38" s="26" t="n">
        <v>4</v>
      </c>
      <c r="L38" s="26" t="n">
        <v>7</v>
      </c>
      <c r="M38" s="39" t="n">
        <v>-5.25</v>
      </c>
    </row>
    <row r="39" customFormat="false" ht="15" hidden="false" customHeight="false" outlineLevel="0" collapsed="false">
      <c r="A39" s="8" t="s">
        <v>87</v>
      </c>
      <c r="B39" s="9" t="s">
        <v>420</v>
      </c>
      <c r="C39" s="8" t="s">
        <v>499</v>
      </c>
      <c r="D39" s="26" t="n">
        <v>1812</v>
      </c>
      <c r="E39" s="19" t="n">
        <f aca="false">D39/1485</f>
        <v>1.22020202020202</v>
      </c>
      <c r="F39" s="43" t="n">
        <v>0.6313</v>
      </c>
      <c r="G39" s="45" t="n">
        <v>-0.0088</v>
      </c>
      <c r="H39" s="45" t="n">
        <v>-0.0178</v>
      </c>
      <c r="I39" s="45" t="n">
        <v>0</v>
      </c>
      <c r="J39" s="26" t="n">
        <v>3</v>
      </c>
      <c r="K39" s="26" t="n">
        <v>15</v>
      </c>
      <c r="L39" s="26" t="n">
        <v>5</v>
      </c>
      <c r="M39" s="39" t="n">
        <v>-15.9</v>
      </c>
    </row>
    <row r="41" customFormat="false" ht="15" hidden="false" customHeight="false" outlineLevel="0" collapsed="false">
      <c r="A41" s="8" t="s">
        <v>87</v>
      </c>
      <c r="B41" s="9" t="s">
        <v>421</v>
      </c>
      <c r="C41" s="8" t="s">
        <v>492</v>
      </c>
      <c r="D41" s="26" t="n">
        <v>2609</v>
      </c>
      <c r="E41" s="19" t="n">
        <f aca="false">D41/1485</f>
        <v>1.75690235690236</v>
      </c>
      <c r="F41" s="43" t="n">
        <v>0.6152</v>
      </c>
      <c r="G41" s="45" t="n">
        <v>-0.045</v>
      </c>
      <c r="H41" s="45" t="n">
        <v>-0.0488</v>
      </c>
      <c r="I41" s="45" t="n">
        <v>-0.0412</v>
      </c>
      <c r="J41" s="26" t="n">
        <v>0</v>
      </c>
      <c r="K41" s="26" t="n">
        <v>19</v>
      </c>
      <c r="L41" s="26" t="n">
        <v>6</v>
      </c>
      <c r="M41" s="39" t="n">
        <v>-117.28</v>
      </c>
    </row>
    <row r="42" customFormat="false" ht="15" hidden="false" customHeight="false" outlineLevel="0" collapsed="false">
      <c r="A42" s="8" t="s">
        <v>87</v>
      </c>
      <c r="B42" s="9" t="s">
        <v>421</v>
      </c>
      <c r="C42" s="8" t="s">
        <v>493</v>
      </c>
      <c r="D42" s="26" t="n">
        <v>2202</v>
      </c>
      <c r="E42" s="19" t="n">
        <f aca="false">D42/1485</f>
        <v>1.48282828282828</v>
      </c>
      <c r="F42" s="43" t="n">
        <v>0.5082</v>
      </c>
      <c r="G42" s="45" t="n">
        <v>-0.0126</v>
      </c>
      <c r="H42" s="45" t="n">
        <v>-0.0237</v>
      </c>
      <c r="I42" s="45" t="n">
        <v>-0.002</v>
      </c>
      <c r="J42" s="26" t="n">
        <v>2</v>
      </c>
      <c r="K42" s="26" t="n">
        <v>10</v>
      </c>
      <c r="L42" s="26" t="n">
        <v>11</v>
      </c>
      <c r="M42" s="39" t="n">
        <v>-27.78</v>
      </c>
    </row>
    <row r="43" customFormat="false" ht="15" hidden="false" customHeight="false" outlineLevel="0" collapsed="false">
      <c r="A43" s="8" t="s">
        <v>87</v>
      </c>
      <c r="B43" s="9" t="s">
        <v>421</v>
      </c>
      <c r="C43" s="8" t="s">
        <v>494</v>
      </c>
      <c r="D43" s="26" t="n">
        <v>1846</v>
      </c>
      <c r="E43" s="19" t="n">
        <f aca="false">D43/1485</f>
        <v>1.24309764309764</v>
      </c>
      <c r="F43" s="43" t="n">
        <v>0.4177</v>
      </c>
      <c r="G43" s="44" t="n">
        <v>0.0149</v>
      </c>
      <c r="H43" s="45" t="n">
        <v>-0.022</v>
      </c>
      <c r="I43" s="44" t="n">
        <v>0.0503</v>
      </c>
      <c r="J43" s="26" t="n">
        <v>3</v>
      </c>
      <c r="K43" s="26" t="n">
        <v>8</v>
      </c>
      <c r="L43" s="26" t="n">
        <v>12</v>
      </c>
      <c r="M43" s="39" t="n">
        <v>27.57</v>
      </c>
    </row>
    <row r="44" customFormat="false" ht="15" hidden="false" customHeight="false" outlineLevel="0" collapsed="false">
      <c r="A44" s="8" t="s">
        <v>87</v>
      </c>
      <c r="B44" s="9" t="s">
        <v>421</v>
      </c>
      <c r="C44" s="8" t="s">
        <v>495</v>
      </c>
      <c r="D44" s="26" t="n">
        <v>1604</v>
      </c>
      <c r="E44" s="19" t="n">
        <f aca="false">D44/1485</f>
        <v>1.08013468013468</v>
      </c>
      <c r="F44" s="43" t="n">
        <v>0.3622</v>
      </c>
      <c r="G44" s="44" t="n">
        <v>0.0571</v>
      </c>
      <c r="H44" s="44" t="n">
        <v>0.0169</v>
      </c>
      <c r="I44" s="44" t="n">
        <v>0.0959</v>
      </c>
      <c r="J44" s="26" t="n">
        <v>5</v>
      </c>
      <c r="K44" s="26" t="n">
        <v>7</v>
      </c>
      <c r="L44" s="26" t="n">
        <v>12</v>
      </c>
      <c r="M44" s="39" t="n">
        <v>91.66</v>
      </c>
    </row>
    <row r="45" customFormat="false" ht="15" hidden="false" customHeight="false" outlineLevel="0" collapsed="false">
      <c r="A45" s="8" t="s">
        <v>87</v>
      </c>
      <c r="B45" s="9" t="s">
        <v>421</v>
      </c>
      <c r="C45" s="8" t="s">
        <v>496</v>
      </c>
      <c r="D45" s="26" t="n">
        <v>2059</v>
      </c>
      <c r="E45" s="19" t="n">
        <f aca="false">D45/1485</f>
        <v>1.38653198653199</v>
      </c>
      <c r="F45" s="43" t="n">
        <v>0.2074</v>
      </c>
      <c r="G45" s="44" t="n">
        <v>0.0097</v>
      </c>
      <c r="H45" s="45" t="n">
        <v>-0.0204</v>
      </c>
      <c r="I45" s="44" t="n">
        <v>0.0392</v>
      </c>
      <c r="J45" s="26" t="n">
        <v>2</v>
      </c>
      <c r="K45" s="26" t="n">
        <v>4</v>
      </c>
      <c r="L45" s="26" t="n">
        <v>6</v>
      </c>
      <c r="M45" s="39" t="n">
        <v>20.04</v>
      </c>
    </row>
    <row r="46" customFormat="false" ht="15" hidden="false" customHeight="false" outlineLevel="0" collapsed="false">
      <c r="A46" s="8" t="s">
        <v>87</v>
      </c>
      <c r="B46" s="9" t="s">
        <v>421</v>
      </c>
      <c r="C46" s="8" t="s">
        <v>497</v>
      </c>
      <c r="D46" s="26" t="n">
        <v>2366</v>
      </c>
      <c r="E46" s="19" t="n">
        <f aca="false">D46/1485</f>
        <v>1.59326599326599</v>
      </c>
      <c r="F46" s="43" t="n">
        <v>0.3922</v>
      </c>
      <c r="G46" s="45" t="n">
        <v>-0.0123</v>
      </c>
      <c r="H46" s="45" t="n">
        <v>-0.0093</v>
      </c>
      <c r="I46" s="45" t="n">
        <v>-0.0152</v>
      </c>
      <c r="J46" s="26" t="n">
        <v>3</v>
      </c>
      <c r="K46" s="26" t="n">
        <v>8</v>
      </c>
      <c r="L46" s="26" t="n">
        <v>6</v>
      </c>
      <c r="M46" s="39" t="n">
        <v>-29.06</v>
      </c>
    </row>
    <row r="47" customFormat="false" ht="15" hidden="false" customHeight="false" outlineLevel="0" collapsed="false">
      <c r="A47" s="8" t="s">
        <v>87</v>
      </c>
      <c r="B47" s="9" t="s">
        <v>421</v>
      </c>
      <c r="C47" s="8" t="s">
        <v>498</v>
      </c>
      <c r="D47" s="26" t="n">
        <v>1855</v>
      </c>
      <c r="E47" s="19" t="n">
        <f aca="false">D47/1485</f>
        <v>1.24915824915825</v>
      </c>
      <c r="F47" s="43" t="n">
        <v>0.2733</v>
      </c>
      <c r="G47" s="44" t="n">
        <v>0.031</v>
      </c>
      <c r="H47" s="45" t="n">
        <v>-0.018</v>
      </c>
      <c r="I47" s="44" t="n">
        <v>0.0793</v>
      </c>
      <c r="J47" s="26" t="n">
        <v>4</v>
      </c>
      <c r="K47" s="26" t="n">
        <v>7</v>
      </c>
      <c r="L47" s="26" t="n">
        <v>10</v>
      </c>
      <c r="M47" s="39" t="n">
        <v>57.42</v>
      </c>
    </row>
    <row r="48" customFormat="false" ht="15" hidden="false" customHeight="false" outlineLevel="0" collapsed="false">
      <c r="A48" s="8" t="s">
        <v>87</v>
      </c>
      <c r="B48" s="9" t="s">
        <v>421</v>
      </c>
      <c r="C48" s="8" t="s">
        <v>499</v>
      </c>
      <c r="D48" s="26" t="n">
        <v>2059</v>
      </c>
      <c r="E48" s="19" t="n">
        <f aca="false">D48/1485</f>
        <v>1.38653198653199</v>
      </c>
      <c r="F48" s="43" t="n">
        <v>0.6246</v>
      </c>
      <c r="G48" s="45" t="n">
        <v>-0.0103</v>
      </c>
      <c r="H48" s="45" t="n">
        <v>-0.0267</v>
      </c>
      <c r="I48" s="44" t="n">
        <v>0.0058</v>
      </c>
      <c r="J48" s="26" t="n">
        <v>2</v>
      </c>
      <c r="K48" s="26" t="n">
        <v>13</v>
      </c>
      <c r="L48" s="26" t="n">
        <v>6</v>
      </c>
      <c r="M48" s="39" t="n">
        <v>-21.16</v>
      </c>
    </row>
    <row r="50" customFormat="false" ht="15" hidden="false" customHeight="false" outlineLevel="0" collapsed="false">
      <c r="A50" s="8" t="s">
        <v>87</v>
      </c>
      <c r="B50" s="9" t="s">
        <v>500</v>
      </c>
      <c r="C50" s="8" t="s">
        <v>492</v>
      </c>
      <c r="D50" s="26" t="n">
        <v>688</v>
      </c>
      <c r="E50" s="19" t="n">
        <f aca="false">D50/1485</f>
        <v>0.463299663299663</v>
      </c>
      <c r="F50" s="43" t="n">
        <v>0.6119</v>
      </c>
      <c r="G50" s="45" t="n">
        <v>-0.0606</v>
      </c>
      <c r="H50" s="45" t="n">
        <v>-0.0701</v>
      </c>
      <c r="I50" s="45" t="n">
        <v>-0.0522</v>
      </c>
      <c r="J50" s="26" t="n">
        <v>0</v>
      </c>
      <c r="K50" s="26" t="n">
        <v>13</v>
      </c>
      <c r="L50" s="26" t="n">
        <v>7</v>
      </c>
      <c r="M50" s="39" t="n">
        <v>-41.68</v>
      </c>
    </row>
    <row r="51" customFormat="false" ht="15" hidden="false" customHeight="false" outlineLevel="0" collapsed="false">
      <c r="A51" s="8" t="s">
        <v>87</v>
      </c>
      <c r="B51" s="9" t="s">
        <v>500</v>
      </c>
      <c r="C51" s="8" t="s">
        <v>493</v>
      </c>
      <c r="D51" s="26" t="n">
        <v>618</v>
      </c>
      <c r="E51" s="19" t="n">
        <f aca="false">D51/1485</f>
        <v>0.416161616161616</v>
      </c>
      <c r="F51" s="43" t="n">
        <v>0.5016</v>
      </c>
      <c r="G51" s="45" t="n">
        <v>-0.0362</v>
      </c>
      <c r="H51" s="44" t="n">
        <v>0.0012</v>
      </c>
      <c r="I51" s="45" t="n">
        <v>-0.0685</v>
      </c>
      <c r="J51" s="26" t="n">
        <v>2</v>
      </c>
      <c r="K51" s="26" t="n">
        <v>6</v>
      </c>
      <c r="L51" s="26" t="n">
        <v>7</v>
      </c>
      <c r="M51" s="39" t="n">
        <v>-22.35</v>
      </c>
    </row>
    <row r="52" customFormat="false" ht="15" hidden="false" customHeight="false" outlineLevel="0" collapsed="false">
      <c r="A52" s="8" t="s">
        <v>87</v>
      </c>
      <c r="B52" s="9" t="s">
        <v>500</v>
      </c>
      <c r="C52" s="8" t="s">
        <v>494</v>
      </c>
      <c r="D52" s="26" t="n">
        <v>545</v>
      </c>
      <c r="E52" s="19" t="n">
        <f aca="false">D52/1485</f>
        <v>0.367003367003367</v>
      </c>
      <c r="F52" s="43" t="n">
        <v>0.4239</v>
      </c>
      <c r="G52" s="44" t="n">
        <v>0.0208</v>
      </c>
      <c r="H52" s="44" t="n">
        <v>0.0668</v>
      </c>
      <c r="I52" s="45" t="n">
        <v>-0.0188</v>
      </c>
      <c r="J52" s="26" t="n">
        <v>4</v>
      </c>
      <c r="K52" s="26" t="n">
        <v>5</v>
      </c>
      <c r="L52" s="26" t="n">
        <v>8</v>
      </c>
      <c r="M52" s="39" t="n">
        <v>11.33</v>
      </c>
    </row>
    <row r="53" customFormat="false" ht="15" hidden="false" customHeight="false" outlineLevel="0" collapsed="false">
      <c r="A53" s="8" t="s">
        <v>87</v>
      </c>
      <c r="B53" s="9" t="s">
        <v>500</v>
      </c>
      <c r="C53" s="8" t="s">
        <v>495</v>
      </c>
      <c r="D53" s="26" t="n">
        <v>485</v>
      </c>
      <c r="E53" s="19" t="n">
        <f aca="false">D53/1485</f>
        <v>0.326599326599327</v>
      </c>
      <c r="F53" s="43" t="n">
        <v>0.3567</v>
      </c>
      <c r="G53" s="44" t="n">
        <v>0.033</v>
      </c>
      <c r="H53" s="44" t="n">
        <v>0.0387</v>
      </c>
      <c r="I53" s="44" t="n">
        <v>0.0283</v>
      </c>
      <c r="J53" s="26" t="n">
        <v>3</v>
      </c>
      <c r="K53" s="26" t="n">
        <v>5</v>
      </c>
      <c r="L53" s="26" t="n">
        <v>11</v>
      </c>
      <c r="M53" s="39" t="n">
        <v>16.02</v>
      </c>
    </row>
    <row r="54" customFormat="false" ht="15" hidden="false" customHeight="false" outlineLevel="0" collapsed="false">
      <c r="A54" s="8" t="s">
        <v>87</v>
      </c>
      <c r="B54" s="9" t="s">
        <v>500</v>
      </c>
      <c r="C54" s="8" t="s">
        <v>496</v>
      </c>
      <c r="D54" s="26" t="n">
        <v>649</v>
      </c>
      <c r="E54" s="19" t="n">
        <f aca="false">D54/1485</f>
        <v>0.437037037037037</v>
      </c>
      <c r="F54" s="43" t="n">
        <v>0.225</v>
      </c>
      <c r="G54" s="44" t="n">
        <v>0.0212</v>
      </c>
      <c r="H54" s="44" t="n">
        <v>0.0351</v>
      </c>
      <c r="I54" s="44" t="n">
        <v>0.0091</v>
      </c>
      <c r="J54" s="26" t="n">
        <v>3</v>
      </c>
      <c r="K54" s="26" t="n">
        <v>4</v>
      </c>
      <c r="L54" s="26" t="n">
        <v>7</v>
      </c>
      <c r="M54" s="39" t="n">
        <v>13.74</v>
      </c>
    </row>
    <row r="55" customFormat="false" ht="15" hidden="false" customHeight="false" outlineLevel="0" collapsed="false">
      <c r="A55" s="8" t="s">
        <v>87</v>
      </c>
      <c r="B55" s="9" t="s">
        <v>500</v>
      </c>
      <c r="C55" s="8" t="s">
        <v>497</v>
      </c>
      <c r="D55" s="26" t="n">
        <v>680</v>
      </c>
      <c r="E55" s="19" t="n">
        <f aca="false">D55/1485</f>
        <v>0.457912457912458</v>
      </c>
      <c r="F55" s="43" t="n">
        <v>0.4029</v>
      </c>
      <c r="G55" s="45" t="n">
        <v>-0.0223</v>
      </c>
      <c r="H55" s="45" t="n">
        <v>-0.0347</v>
      </c>
      <c r="I55" s="45" t="n">
        <v>-0.0113</v>
      </c>
      <c r="J55" s="26" t="n">
        <v>2</v>
      </c>
      <c r="K55" s="26" t="n">
        <v>5</v>
      </c>
      <c r="L55" s="26" t="n">
        <v>7</v>
      </c>
      <c r="M55" s="39" t="n">
        <v>-15.16</v>
      </c>
    </row>
    <row r="56" customFormat="false" ht="15" hidden="false" customHeight="false" outlineLevel="0" collapsed="false">
      <c r="A56" s="8" t="s">
        <v>87</v>
      </c>
      <c r="B56" s="9" t="s">
        <v>500</v>
      </c>
      <c r="C56" s="8" t="s">
        <v>498</v>
      </c>
      <c r="D56" s="26" t="n">
        <v>586</v>
      </c>
      <c r="E56" s="19" t="n">
        <f aca="false">D56/1485</f>
        <v>0.394612794612795</v>
      </c>
      <c r="F56" s="43" t="n">
        <v>0.2645</v>
      </c>
      <c r="G56" s="45" t="n">
        <v>-0.0129</v>
      </c>
      <c r="H56" s="44" t="n">
        <v>0.0253</v>
      </c>
      <c r="I56" s="45" t="n">
        <v>-0.0458</v>
      </c>
      <c r="J56" s="26" t="n">
        <v>4</v>
      </c>
      <c r="K56" s="26" t="n">
        <v>4</v>
      </c>
      <c r="L56" s="26" t="n">
        <v>7</v>
      </c>
      <c r="M56" s="39" t="n">
        <v>-7.57</v>
      </c>
    </row>
    <row r="57" customFormat="false" ht="15" hidden="false" customHeight="false" outlineLevel="0" collapsed="false">
      <c r="A57" s="8" t="s">
        <v>87</v>
      </c>
      <c r="B57" s="9" t="s">
        <v>500</v>
      </c>
      <c r="C57" s="8" t="s">
        <v>499</v>
      </c>
      <c r="D57" s="26" t="n">
        <v>649</v>
      </c>
      <c r="E57" s="19" t="n">
        <f aca="false">D57/1485</f>
        <v>0.437037037037037</v>
      </c>
      <c r="F57" s="43" t="n">
        <v>0.6102</v>
      </c>
      <c r="G57" s="45" t="n">
        <v>-0.0207</v>
      </c>
      <c r="H57" s="45" t="n">
        <v>-0.0017</v>
      </c>
      <c r="I57" s="45" t="n">
        <v>-0.0372</v>
      </c>
      <c r="J57" s="26" t="n">
        <v>3</v>
      </c>
      <c r="K57" s="26" t="n">
        <v>11</v>
      </c>
      <c r="L57" s="26" t="n">
        <v>7</v>
      </c>
      <c r="M57" s="39" t="n">
        <v>-13.46</v>
      </c>
    </row>
    <row r="59" customFormat="false" ht="15" hidden="false" customHeight="false" outlineLevel="0" collapsed="false">
      <c r="A59" s="8" t="s">
        <v>109</v>
      </c>
      <c r="B59" s="9" t="s">
        <v>240</v>
      </c>
      <c r="C59" s="8" t="s">
        <v>492</v>
      </c>
      <c r="D59" s="26" t="n">
        <v>1203</v>
      </c>
      <c r="E59" s="19" t="n">
        <f aca="false">D59/1485</f>
        <v>0.81010101010101</v>
      </c>
      <c r="F59" s="43" t="n">
        <v>0.5852</v>
      </c>
      <c r="G59" s="45" t="n">
        <v>-0.0851</v>
      </c>
      <c r="H59" s="45" t="n">
        <v>-0.1081</v>
      </c>
      <c r="I59" s="45" t="n">
        <v>-0.0612</v>
      </c>
      <c r="J59" s="26" t="n">
        <v>0</v>
      </c>
      <c r="K59" s="26" t="n">
        <v>10</v>
      </c>
      <c r="L59" s="26" t="n">
        <v>6</v>
      </c>
      <c r="M59" s="39" t="n">
        <v>-102.32</v>
      </c>
    </row>
    <row r="60" customFormat="false" ht="15" hidden="false" customHeight="false" outlineLevel="0" collapsed="false">
      <c r="A60" s="8" t="s">
        <v>109</v>
      </c>
      <c r="B60" s="9" t="s">
        <v>240</v>
      </c>
      <c r="C60" s="8" t="s">
        <v>493</v>
      </c>
      <c r="D60" s="26" t="n">
        <v>1098</v>
      </c>
      <c r="E60" s="19" t="n">
        <f aca="false">D60/1485</f>
        <v>0.739393939393939</v>
      </c>
      <c r="F60" s="43" t="n">
        <v>0.4681</v>
      </c>
      <c r="G60" s="45" t="n">
        <v>-0.0852</v>
      </c>
      <c r="H60" s="45" t="n">
        <v>-0.1525</v>
      </c>
      <c r="I60" s="45" t="n">
        <v>-0.0161</v>
      </c>
      <c r="J60" s="26" t="n">
        <v>1</v>
      </c>
      <c r="K60" s="26" t="n">
        <v>10</v>
      </c>
      <c r="L60" s="26" t="n">
        <v>10</v>
      </c>
      <c r="M60" s="39" t="n">
        <v>-93.54</v>
      </c>
    </row>
    <row r="61" customFormat="false" ht="15" hidden="false" customHeight="false" outlineLevel="0" collapsed="false">
      <c r="A61" s="8" t="s">
        <v>109</v>
      </c>
      <c r="B61" s="9" t="s">
        <v>240</v>
      </c>
      <c r="C61" s="8" t="s">
        <v>494</v>
      </c>
      <c r="D61" s="26" t="n">
        <v>979</v>
      </c>
      <c r="E61" s="19" t="n">
        <f aca="false">D61/1485</f>
        <v>0.659259259259259</v>
      </c>
      <c r="F61" s="43" t="n">
        <v>0.379</v>
      </c>
      <c r="G61" s="45" t="n">
        <v>-0.0744</v>
      </c>
      <c r="H61" s="45" t="n">
        <v>-0.1562</v>
      </c>
      <c r="I61" s="44" t="n">
        <v>0.0146</v>
      </c>
      <c r="J61" s="26" t="n">
        <v>2</v>
      </c>
      <c r="K61" s="26" t="n">
        <v>9</v>
      </c>
      <c r="L61" s="26" t="n">
        <v>14</v>
      </c>
      <c r="M61" s="39" t="n">
        <v>-72.82</v>
      </c>
    </row>
    <row r="62" customFormat="false" ht="15" hidden="false" customHeight="false" outlineLevel="0" collapsed="false">
      <c r="A62" s="8" t="s">
        <v>109</v>
      </c>
      <c r="B62" s="9" t="s">
        <v>240</v>
      </c>
      <c r="C62" s="8" t="s">
        <v>495</v>
      </c>
      <c r="D62" s="26" t="n">
        <v>884</v>
      </c>
      <c r="E62" s="19" t="n">
        <f aca="false">D62/1485</f>
        <v>0.595286195286195</v>
      </c>
      <c r="F62" s="43" t="n">
        <v>0.3258</v>
      </c>
      <c r="G62" s="45" t="n">
        <v>-0.0446</v>
      </c>
      <c r="H62" s="45" t="n">
        <v>-0.1033</v>
      </c>
      <c r="I62" s="44" t="n">
        <v>0.0194</v>
      </c>
      <c r="J62" s="26" t="n">
        <v>2</v>
      </c>
      <c r="K62" s="26" t="n">
        <v>9</v>
      </c>
      <c r="L62" s="26" t="n">
        <v>15</v>
      </c>
      <c r="M62" s="39" t="n">
        <v>-39.42</v>
      </c>
    </row>
    <row r="63" customFormat="false" ht="15" hidden="false" customHeight="false" outlineLevel="0" collapsed="false">
      <c r="A63" s="8" t="s">
        <v>109</v>
      </c>
      <c r="B63" s="9" t="s">
        <v>240</v>
      </c>
      <c r="C63" s="8" t="s">
        <v>496</v>
      </c>
      <c r="D63" s="26" t="n">
        <v>1060</v>
      </c>
      <c r="E63" s="19" t="n">
        <f aca="false">D63/1485</f>
        <v>0.713804713804714</v>
      </c>
      <c r="F63" s="43" t="n">
        <v>0.1887</v>
      </c>
      <c r="G63" s="45" t="n">
        <v>-0.0624</v>
      </c>
      <c r="H63" s="45" t="n">
        <v>-0.1397</v>
      </c>
      <c r="I63" s="44" t="n">
        <v>0.0204</v>
      </c>
      <c r="J63" s="26" t="n">
        <v>3</v>
      </c>
      <c r="K63" s="26" t="n">
        <v>4</v>
      </c>
      <c r="L63" s="26" t="n">
        <v>6</v>
      </c>
      <c r="M63" s="39" t="n">
        <v>-66.09</v>
      </c>
    </row>
    <row r="64" customFormat="false" ht="15" hidden="false" customHeight="false" outlineLevel="0" collapsed="false">
      <c r="A64" s="8" t="s">
        <v>109</v>
      </c>
      <c r="B64" s="9" t="s">
        <v>240</v>
      </c>
      <c r="C64" s="8" t="s">
        <v>497</v>
      </c>
      <c r="D64" s="26" t="n">
        <v>1157</v>
      </c>
      <c r="E64" s="19" t="n">
        <f aca="false">D64/1485</f>
        <v>0.779124579124579</v>
      </c>
      <c r="F64" s="43" t="n">
        <v>0.363</v>
      </c>
      <c r="G64" s="45" t="n">
        <v>-0.0819</v>
      </c>
      <c r="H64" s="45" t="n">
        <v>-0.1186</v>
      </c>
      <c r="I64" s="45" t="n">
        <v>-0.0439</v>
      </c>
      <c r="J64" s="26" t="n">
        <v>1</v>
      </c>
      <c r="K64" s="26" t="n">
        <v>7</v>
      </c>
      <c r="L64" s="26" t="n">
        <v>6</v>
      </c>
      <c r="M64" s="39" t="n">
        <v>-94.79</v>
      </c>
    </row>
    <row r="65" customFormat="false" ht="15" hidden="false" customHeight="false" outlineLevel="0" collapsed="false">
      <c r="A65" s="8" t="s">
        <v>109</v>
      </c>
      <c r="B65" s="9" t="s">
        <v>240</v>
      </c>
      <c r="C65" s="8" t="s">
        <v>498</v>
      </c>
      <c r="D65" s="26" t="n">
        <v>979</v>
      </c>
      <c r="E65" s="19" t="n">
        <f aca="false">D65/1485</f>
        <v>0.659259259259259</v>
      </c>
      <c r="F65" s="43" t="n">
        <v>0.2492</v>
      </c>
      <c r="G65" s="45" t="n">
        <v>-0.0484</v>
      </c>
      <c r="H65" s="45" t="n">
        <v>-0.1213</v>
      </c>
      <c r="I65" s="44" t="n">
        <v>0.0291</v>
      </c>
      <c r="J65" s="26" t="n">
        <v>3</v>
      </c>
      <c r="K65" s="26" t="n">
        <v>4</v>
      </c>
      <c r="L65" s="26" t="n">
        <v>10</v>
      </c>
      <c r="M65" s="39" t="n">
        <v>-47.34</v>
      </c>
    </row>
    <row r="66" customFormat="false" ht="15" hidden="false" customHeight="false" outlineLevel="0" collapsed="false">
      <c r="A66" s="8" t="s">
        <v>109</v>
      </c>
      <c r="B66" s="9" t="s">
        <v>240</v>
      </c>
      <c r="C66" s="8" t="s">
        <v>499</v>
      </c>
      <c r="D66" s="26" t="n">
        <v>1060</v>
      </c>
      <c r="E66" s="19" t="n">
        <f aca="false">D66/1485</f>
        <v>0.713804713804714</v>
      </c>
      <c r="F66" s="43" t="n">
        <v>0.5821</v>
      </c>
      <c r="G66" s="45" t="n">
        <v>-0.0764</v>
      </c>
      <c r="H66" s="45" t="n">
        <v>-0.1284</v>
      </c>
      <c r="I66" s="45" t="n">
        <v>-0.0208</v>
      </c>
      <c r="J66" s="26" t="n">
        <v>2</v>
      </c>
      <c r="K66" s="26" t="n">
        <v>11</v>
      </c>
      <c r="L66" s="26" t="n">
        <v>6</v>
      </c>
      <c r="M66" s="39" t="n">
        <v>-80.99</v>
      </c>
    </row>
    <row r="68" customFormat="false" ht="22.35" hidden="false" customHeight="false" outlineLevel="0" collapsed="false">
      <c r="A68" s="8" t="s">
        <v>109</v>
      </c>
      <c r="B68" s="9" t="s">
        <v>446</v>
      </c>
      <c r="C68" s="8" t="s">
        <v>492</v>
      </c>
      <c r="D68" s="26" t="n">
        <v>488</v>
      </c>
      <c r="E68" s="19" t="n">
        <f aca="false">D68/1485</f>
        <v>0.328619528619529</v>
      </c>
      <c r="F68" s="43" t="n">
        <v>0.6086</v>
      </c>
      <c r="G68" s="45" t="n">
        <v>-0.0482</v>
      </c>
      <c r="H68" s="45" t="n">
        <v>-0.0033</v>
      </c>
      <c r="I68" s="45" t="n">
        <v>-0.0924</v>
      </c>
      <c r="J68" s="26" t="n">
        <v>1</v>
      </c>
      <c r="K68" s="26" t="n">
        <v>17</v>
      </c>
      <c r="L68" s="26" t="n">
        <v>6</v>
      </c>
      <c r="M68" s="39" t="n">
        <v>-23.53</v>
      </c>
    </row>
    <row r="69" customFormat="false" ht="22.35" hidden="false" customHeight="false" outlineLevel="0" collapsed="false">
      <c r="A69" s="8" t="s">
        <v>109</v>
      </c>
      <c r="B69" s="9" t="s">
        <v>446</v>
      </c>
      <c r="C69" s="8" t="s">
        <v>493</v>
      </c>
      <c r="D69" s="26" t="n">
        <v>467</v>
      </c>
      <c r="E69" s="19" t="n">
        <f aca="false">D69/1485</f>
        <v>0.314478114478114</v>
      </c>
      <c r="F69" s="43" t="n">
        <v>0.4925</v>
      </c>
      <c r="G69" s="45" t="n">
        <v>-0.037</v>
      </c>
      <c r="H69" s="44" t="n">
        <v>0.0041</v>
      </c>
      <c r="I69" s="45" t="n">
        <v>-0.0773</v>
      </c>
      <c r="J69" s="26" t="n">
        <v>1</v>
      </c>
      <c r="K69" s="26" t="n">
        <v>6</v>
      </c>
      <c r="L69" s="26" t="n">
        <v>6</v>
      </c>
      <c r="M69" s="39" t="n">
        <v>-17.3</v>
      </c>
    </row>
    <row r="70" customFormat="false" ht="22.35" hidden="false" customHeight="false" outlineLevel="0" collapsed="false">
      <c r="A70" s="8" t="s">
        <v>109</v>
      </c>
      <c r="B70" s="9" t="s">
        <v>446</v>
      </c>
      <c r="C70" s="8" t="s">
        <v>494</v>
      </c>
      <c r="D70" s="26" t="n">
        <v>443</v>
      </c>
      <c r="E70" s="19" t="n">
        <f aca="false">D70/1485</f>
        <v>0.298316498316498</v>
      </c>
      <c r="F70" s="43" t="n">
        <v>0.4041</v>
      </c>
      <c r="G70" s="45" t="n">
        <v>-0.0121</v>
      </c>
      <c r="H70" s="44" t="n">
        <v>0.0169</v>
      </c>
      <c r="I70" s="45" t="n">
        <v>-0.041</v>
      </c>
      <c r="J70" s="26" t="n">
        <v>1</v>
      </c>
      <c r="K70" s="26" t="n">
        <v>5</v>
      </c>
      <c r="L70" s="26" t="n">
        <v>11</v>
      </c>
      <c r="M70" s="39" t="n">
        <v>-5.36</v>
      </c>
    </row>
    <row r="71" customFormat="false" ht="22.35" hidden="false" customHeight="false" outlineLevel="0" collapsed="false">
      <c r="A71" s="8" t="s">
        <v>109</v>
      </c>
      <c r="B71" s="9" t="s">
        <v>446</v>
      </c>
      <c r="C71" s="8" t="s">
        <v>495</v>
      </c>
      <c r="D71" s="26" t="n">
        <v>418</v>
      </c>
      <c r="E71" s="19" t="n">
        <f aca="false">D71/1485</f>
        <v>0.281481481481482</v>
      </c>
      <c r="F71" s="43" t="n">
        <v>0.378</v>
      </c>
      <c r="G71" s="44" t="n">
        <v>0.1117</v>
      </c>
      <c r="H71" s="44" t="n">
        <v>0.1908</v>
      </c>
      <c r="I71" s="44" t="n">
        <v>0.0333</v>
      </c>
      <c r="J71" s="26" t="n">
        <v>5</v>
      </c>
      <c r="K71" s="26" t="n">
        <v>5</v>
      </c>
      <c r="L71" s="26" t="n">
        <v>11</v>
      </c>
      <c r="M71" s="39" t="n">
        <v>46.68</v>
      </c>
    </row>
    <row r="72" customFormat="false" ht="22.35" hidden="false" customHeight="false" outlineLevel="0" collapsed="false">
      <c r="A72" s="8" t="s">
        <v>109</v>
      </c>
      <c r="B72" s="9" t="s">
        <v>446</v>
      </c>
      <c r="C72" s="8" t="s">
        <v>496</v>
      </c>
      <c r="D72" s="26" t="n">
        <v>475</v>
      </c>
      <c r="E72" s="19" t="n">
        <f aca="false">D72/1485</f>
        <v>0.31986531986532</v>
      </c>
      <c r="F72" s="43" t="n">
        <v>0.2189</v>
      </c>
      <c r="G72" s="44" t="n">
        <v>0.0307</v>
      </c>
      <c r="H72" s="44" t="n">
        <v>0.0589</v>
      </c>
      <c r="I72" s="44" t="n">
        <v>0.0031</v>
      </c>
      <c r="J72" s="26" t="n">
        <v>2</v>
      </c>
      <c r="K72" s="26" t="n">
        <v>4</v>
      </c>
      <c r="L72" s="26" t="n">
        <v>6</v>
      </c>
      <c r="M72" s="39" t="n">
        <v>14.58</v>
      </c>
    </row>
    <row r="73" customFormat="false" ht="22.35" hidden="false" customHeight="false" outlineLevel="0" collapsed="false">
      <c r="A73" s="8" t="s">
        <v>109</v>
      </c>
      <c r="B73" s="9" t="s">
        <v>446</v>
      </c>
      <c r="C73" s="8" t="s">
        <v>497</v>
      </c>
      <c r="D73" s="26" t="n">
        <v>482</v>
      </c>
      <c r="E73" s="19" t="n">
        <f aca="false">D73/1485</f>
        <v>0.324579124579125</v>
      </c>
      <c r="F73" s="43" t="n">
        <v>0.388</v>
      </c>
      <c r="G73" s="45" t="n">
        <v>-0.0219</v>
      </c>
      <c r="H73" s="44" t="n">
        <v>0.0239</v>
      </c>
      <c r="I73" s="45" t="n">
        <v>-0.067</v>
      </c>
      <c r="J73" s="26" t="n">
        <v>1</v>
      </c>
      <c r="K73" s="26" t="n">
        <v>6</v>
      </c>
      <c r="L73" s="26" t="n">
        <v>6</v>
      </c>
      <c r="M73" s="39" t="n">
        <v>-10.57</v>
      </c>
    </row>
    <row r="74" customFormat="false" ht="22.35" hidden="false" customHeight="false" outlineLevel="0" collapsed="false">
      <c r="A74" s="8" t="s">
        <v>109</v>
      </c>
      <c r="B74" s="9" t="s">
        <v>446</v>
      </c>
      <c r="C74" s="8" t="s">
        <v>498</v>
      </c>
      <c r="D74" s="26" t="n">
        <v>453</v>
      </c>
      <c r="E74" s="19" t="n">
        <f aca="false">D74/1485</f>
        <v>0.305050505050505</v>
      </c>
      <c r="F74" s="43" t="n">
        <v>0.2781</v>
      </c>
      <c r="G74" s="44" t="n">
        <v>0.0397</v>
      </c>
      <c r="H74" s="44" t="n">
        <v>0.0815</v>
      </c>
      <c r="I74" s="45" t="n">
        <v>-0.0008</v>
      </c>
      <c r="J74" s="26" t="n">
        <v>2</v>
      </c>
      <c r="K74" s="26" t="n">
        <v>4</v>
      </c>
      <c r="L74" s="26" t="n">
        <v>6</v>
      </c>
      <c r="M74" s="39" t="n">
        <v>18.01</v>
      </c>
    </row>
    <row r="75" customFormat="false" ht="22.35" hidden="false" customHeight="false" outlineLevel="0" collapsed="false">
      <c r="A75" s="8" t="s">
        <v>109</v>
      </c>
      <c r="B75" s="9" t="s">
        <v>446</v>
      </c>
      <c r="C75" s="8" t="s">
        <v>499</v>
      </c>
      <c r="D75" s="26" t="n">
        <v>475</v>
      </c>
      <c r="E75" s="19" t="n">
        <f aca="false">D75/1485</f>
        <v>0.31986531986532</v>
      </c>
      <c r="F75" s="43" t="n">
        <v>0.6147</v>
      </c>
      <c r="G75" s="45" t="n">
        <v>-0.0038</v>
      </c>
      <c r="H75" s="44" t="n">
        <v>0.0398</v>
      </c>
      <c r="I75" s="45" t="n">
        <v>-0.0465</v>
      </c>
      <c r="J75" s="26" t="n">
        <v>2</v>
      </c>
      <c r="K75" s="26" t="n">
        <v>18</v>
      </c>
      <c r="L75" s="26" t="n">
        <v>6</v>
      </c>
      <c r="M75" s="39" t="n">
        <v>-1.82</v>
      </c>
    </row>
    <row r="77" customFormat="false" ht="22.35" hidden="false" customHeight="false" outlineLevel="0" collapsed="false">
      <c r="A77" s="8" t="s">
        <v>109</v>
      </c>
      <c r="B77" s="9" t="s">
        <v>448</v>
      </c>
      <c r="C77" s="8" t="s">
        <v>492</v>
      </c>
      <c r="D77" s="26" t="n">
        <v>450</v>
      </c>
      <c r="E77" s="19" t="n">
        <f aca="false">D77/1485</f>
        <v>0.303030303030303</v>
      </c>
      <c r="F77" s="43" t="n">
        <v>0.6089</v>
      </c>
      <c r="G77" s="45" t="n">
        <v>-0.0478</v>
      </c>
      <c r="H77" s="45" t="n">
        <v>-0.0018</v>
      </c>
      <c r="I77" s="45" t="n">
        <v>-0.093</v>
      </c>
      <c r="J77" s="26" t="n">
        <v>1</v>
      </c>
      <c r="K77" s="26" t="n">
        <v>19</v>
      </c>
      <c r="L77" s="26" t="n">
        <v>5</v>
      </c>
      <c r="M77" s="39" t="n">
        <v>-21.49</v>
      </c>
    </row>
    <row r="78" customFormat="false" ht="22.35" hidden="false" customHeight="false" outlineLevel="0" collapsed="false">
      <c r="A78" s="8" t="s">
        <v>109</v>
      </c>
      <c r="B78" s="9" t="s">
        <v>448</v>
      </c>
      <c r="C78" s="8" t="s">
        <v>493</v>
      </c>
      <c r="D78" s="26" t="n">
        <v>434</v>
      </c>
      <c r="E78" s="19" t="n">
        <f aca="false">D78/1485</f>
        <v>0.292255892255892</v>
      </c>
      <c r="F78" s="43" t="n">
        <v>0.4977</v>
      </c>
      <c r="G78" s="45" t="n">
        <v>-0.0265</v>
      </c>
      <c r="H78" s="44" t="n">
        <v>0.0024</v>
      </c>
      <c r="I78" s="45" t="n">
        <v>-0.0547</v>
      </c>
      <c r="J78" s="26" t="n">
        <v>1</v>
      </c>
      <c r="K78" s="26" t="n">
        <v>6</v>
      </c>
      <c r="L78" s="26" t="n">
        <v>6</v>
      </c>
      <c r="M78" s="39" t="n">
        <v>-11.52</v>
      </c>
    </row>
    <row r="79" customFormat="false" ht="22.35" hidden="false" customHeight="false" outlineLevel="0" collapsed="false">
      <c r="A79" s="8" t="s">
        <v>109</v>
      </c>
      <c r="B79" s="9" t="s">
        <v>448</v>
      </c>
      <c r="C79" s="8" t="s">
        <v>494</v>
      </c>
      <c r="D79" s="26" t="n">
        <v>408</v>
      </c>
      <c r="E79" s="19" t="n">
        <f aca="false">D79/1485</f>
        <v>0.274747474747475</v>
      </c>
      <c r="F79" s="43" t="n">
        <v>0.4093</v>
      </c>
      <c r="G79" s="44" t="n">
        <v>0.0012</v>
      </c>
      <c r="H79" s="44" t="n">
        <v>0.0117</v>
      </c>
      <c r="I79" s="45" t="n">
        <v>-0.0092</v>
      </c>
      <c r="J79" s="26" t="n">
        <v>3</v>
      </c>
      <c r="K79" s="26" t="n">
        <v>5</v>
      </c>
      <c r="L79" s="26" t="n">
        <v>12</v>
      </c>
      <c r="M79" s="39" t="n">
        <v>0.48</v>
      </c>
    </row>
    <row r="80" customFormat="false" ht="22.35" hidden="false" customHeight="false" outlineLevel="0" collapsed="false">
      <c r="A80" s="8" t="s">
        <v>109</v>
      </c>
      <c r="B80" s="9" t="s">
        <v>448</v>
      </c>
      <c r="C80" s="8" t="s">
        <v>495</v>
      </c>
      <c r="D80" s="26" t="n">
        <v>388</v>
      </c>
      <c r="E80" s="19" t="n">
        <f aca="false">D80/1485</f>
        <v>0.261279461279461</v>
      </c>
      <c r="F80" s="43" t="n">
        <v>0.3763</v>
      </c>
      <c r="G80" s="44" t="n">
        <v>0.1067</v>
      </c>
      <c r="H80" s="44" t="n">
        <v>0.1772</v>
      </c>
      <c r="I80" s="44" t="n">
        <v>0.0368</v>
      </c>
      <c r="J80" s="26" t="n">
        <v>5</v>
      </c>
      <c r="K80" s="26" t="n">
        <v>5</v>
      </c>
      <c r="L80" s="26" t="n">
        <v>12</v>
      </c>
      <c r="M80" s="39" t="n">
        <v>41.38</v>
      </c>
    </row>
    <row r="81" customFormat="false" ht="22.35" hidden="false" customHeight="false" outlineLevel="0" collapsed="false">
      <c r="A81" s="8" t="s">
        <v>109</v>
      </c>
      <c r="B81" s="9" t="s">
        <v>448</v>
      </c>
      <c r="C81" s="8" t="s">
        <v>496</v>
      </c>
      <c r="D81" s="26" t="n">
        <v>438</v>
      </c>
      <c r="E81" s="19" t="n">
        <f aca="false">D81/1485</f>
        <v>0.294949494949495</v>
      </c>
      <c r="F81" s="43" t="n">
        <v>0.2146</v>
      </c>
      <c r="G81" s="44" t="n">
        <v>0.0215</v>
      </c>
      <c r="H81" s="44" t="n">
        <v>0.0577</v>
      </c>
      <c r="I81" s="45" t="n">
        <v>-0.0137</v>
      </c>
      <c r="J81" s="26" t="n">
        <v>3</v>
      </c>
      <c r="K81" s="26" t="n">
        <v>4</v>
      </c>
      <c r="L81" s="26" t="n">
        <v>5</v>
      </c>
      <c r="M81" s="39" t="n">
        <v>9.43</v>
      </c>
    </row>
    <row r="82" customFormat="false" ht="22.35" hidden="false" customHeight="false" outlineLevel="0" collapsed="false">
      <c r="A82" s="8" t="s">
        <v>109</v>
      </c>
      <c r="B82" s="9" t="s">
        <v>448</v>
      </c>
      <c r="C82" s="8" t="s">
        <v>497</v>
      </c>
      <c r="D82" s="26" t="n">
        <v>446</v>
      </c>
      <c r="E82" s="19" t="n">
        <f aca="false">D82/1485</f>
        <v>0.3003367003367</v>
      </c>
      <c r="F82" s="43" t="n">
        <v>0.3946</v>
      </c>
      <c r="G82" s="45" t="n">
        <v>-0.0151</v>
      </c>
      <c r="H82" s="44" t="n">
        <v>0.0288</v>
      </c>
      <c r="I82" s="45" t="n">
        <v>-0.0579</v>
      </c>
      <c r="J82" s="26" t="n">
        <v>2</v>
      </c>
      <c r="K82" s="26" t="n">
        <v>6</v>
      </c>
      <c r="L82" s="26" t="n">
        <v>5</v>
      </c>
      <c r="M82" s="39" t="n">
        <v>-6.74</v>
      </c>
    </row>
    <row r="83" customFormat="false" ht="22.35" hidden="false" customHeight="false" outlineLevel="0" collapsed="false">
      <c r="A83" s="8" t="s">
        <v>109</v>
      </c>
      <c r="B83" s="9" t="s">
        <v>448</v>
      </c>
      <c r="C83" s="8" t="s">
        <v>498</v>
      </c>
      <c r="D83" s="26" t="n">
        <v>421</v>
      </c>
      <c r="E83" s="19" t="n">
        <f aca="false">D83/1485</f>
        <v>0.283501683501684</v>
      </c>
      <c r="F83" s="43" t="n">
        <v>0.2755</v>
      </c>
      <c r="G83" s="44" t="n">
        <v>0.0375</v>
      </c>
      <c r="H83" s="44" t="n">
        <v>0.0814</v>
      </c>
      <c r="I83" s="45" t="n">
        <v>-0.0046</v>
      </c>
      <c r="J83" s="26" t="n">
        <v>2</v>
      </c>
      <c r="K83" s="26" t="n">
        <v>4</v>
      </c>
      <c r="L83" s="26" t="n">
        <v>6</v>
      </c>
      <c r="M83" s="39" t="n">
        <v>15.78</v>
      </c>
    </row>
    <row r="84" customFormat="false" ht="22.35" hidden="false" customHeight="false" outlineLevel="0" collapsed="false">
      <c r="A84" s="8" t="s">
        <v>109</v>
      </c>
      <c r="B84" s="9" t="s">
        <v>448</v>
      </c>
      <c r="C84" s="8" t="s">
        <v>499</v>
      </c>
      <c r="D84" s="26" t="n">
        <v>438</v>
      </c>
      <c r="E84" s="19" t="n">
        <f aca="false">D84/1485</f>
        <v>0.294949494949495</v>
      </c>
      <c r="F84" s="43" t="n">
        <v>0.6142</v>
      </c>
      <c r="G84" s="45" t="n">
        <v>-0.0088</v>
      </c>
      <c r="H84" s="44" t="n">
        <v>0.0374</v>
      </c>
      <c r="I84" s="45" t="n">
        <v>-0.0538</v>
      </c>
      <c r="J84" s="26" t="n">
        <v>3</v>
      </c>
      <c r="K84" s="26" t="n">
        <v>20</v>
      </c>
      <c r="L84" s="26" t="n">
        <v>5</v>
      </c>
      <c r="M84" s="39" t="n">
        <v>-3.87</v>
      </c>
    </row>
    <row r="86" customFormat="false" ht="22.35" hidden="false" customHeight="false" outlineLevel="0" collapsed="false">
      <c r="A86" s="8" t="s">
        <v>109</v>
      </c>
      <c r="B86" s="9" t="s">
        <v>449</v>
      </c>
      <c r="C86" s="8" t="s">
        <v>492</v>
      </c>
      <c r="D86" s="26" t="n">
        <v>512</v>
      </c>
      <c r="E86" s="19" t="n">
        <f aca="false">D86/1485</f>
        <v>0.344781144781145</v>
      </c>
      <c r="F86" s="43" t="n">
        <v>0.6406</v>
      </c>
      <c r="G86" s="44" t="n">
        <v>0.0072</v>
      </c>
      <c r="H86" s="44" t="n">
        <v>0.0088</v>
      </c>
      <c r="I86" s="44" t="n">
        <v>0.0056</v>
      </c>
      <c r="J86" s="26" t="n">
        <v>4</v>
      </c>
      <c r="K86" s="26" t="n">
        <v>13</v>
      </c>
      <c r="L86" s="26" t="n">
        <v>8</v>
      </c>
      <c r="M86" s="39" t="n">
        <v>3.67</v>
      </c>
    </row>
    <row r="87" customFormat="false" ht="22.35" hidden="false" customHeight="false" outlineLevel="0" collapsed="false">
      <c r="A87" s="8" t="s">
        <v>109</v>
      </c>
      <c r="B87" s="9" t="s">
        <v>449</v>
      </c>
      <c r="C87" s="8" t="s">
        <v>493</v>
      </c>
      <c r="D87" s="26" t="n">
        <v>468</v>
      </c>
      <c r="E87" s="19" t="n">
        <f aca="false">D87/1485</f>
        <v>0.315151515151515</v>
      </c>
      <c r="F87" s="43" t="n">
        <v>0.5107</v>
      </c>
      <c r="G87" s="44" t="n">
        <v>0.0034</v>
      </c>
      <c r="H87" s="44" t="n">
        <v>0.0144</v>
      </c>
      <c r="I87" s="45" t="n">
        <v>-0.0076</v>
      </c>
      <c r="J87" s="26" t="n">
        <v>3</v>
      </c>
      <c r="K87" s="26" t="n">
        <v>7</v>
      </c>
      <c r="L87" s="26" t="n">
        <v>8</v>
      </c>
      <c r="M87" s="39" t="n">
        <v>1.57</v>
      </c>
    </row>
    <row r="88" customFormat="false" ht="22.35" hidden="false" customHeight="false" outlineLevel="0" collapsed="false">
      <c r="A88" s="8" t="s">
        <v>109</v>
      </c>
      <c r="B88" s="9" t="s">
        <v>449</v>
      </c>
      <c r="C88" s="8" t="s">
        <v>494</v>
      </c>
      <c r="D88" s="26" t="n">
        <v>429</v>
      </c>
      <c r="E88" s="19" t="n">
        <f aca="false">D88/1485</f>
        <v>0.288888888888889</v>
      </c>
      <c r="F88" s="43" t="n">
        <v>0.4219</v>
      </c>
      <c r="G88" s="44" t="n">
        <v>0.0365</v>
      </c>
      <c r="H88" s="44" t="n">
        <v>0.0364</v>
      </c>
      <c r="I88" s="44" t="n">
        <v>0.0367</v>
      </c>
      <c r="J88" s="26" t="n">
        <v>4</v>
      </c>
      <c r="K88" s="26" t="n">
        <v>5</v>
      </c>
      <c r="L88" s="26" t="n">
        <v>9</v>
      </c>
      <c r="M88" s="39" t="n">
        <v>15.67</v>
      </c>
    </row>
    <row r="89" customFormat="false" ht="22.35" hidden="false" customHeight="false" outlineLevel="0" collapsed="false">
      <c r="A89" s="8" t="s">
        <v>109</v>
      </c>
      <c r="B89" s="9" t="s">
        <v>449</v>
      </c>
      <c r="C89" s="8" t="s">
        <v>495</v>
      </c>
      <c r="D89" s="26" t="n">
        <v>382</v>
      </c>
      <c r="E89" s="19" t="n">
        <f aca="false">D89/1485</f>
        <v>0.257239057239057</v>
      </c>
      <c r="F89" s="43" t="n">
        <v>0.3874</v>
      </c>
      <c r="G89" s="44" t="n">
        <v>0.1438</v>
      </c>
      <c r="H89" s="44" t="n">
        <v>0.165</v>
      </c>
      <c r="I89" s="44" t="n">
        <v>0.1215</v>
      </c>
      <c r="J89" s="26" t="n">
        <v>5</v>
      </c>
      <c r="K89" s="26" t="n">
        <v>5</v>
      </c>
      <c r="L89" s="26" t="n">
        <v>9</v>
      </c>
      <c r="M89" s="39" t="n">
        <v>54.94</v>
      </c>
    </row>
    <row r="90" customFormat="false" ht="22.35" hidden="false" customHeight="false" outlineLevel="0" collapsed="false">
      <c r="A90" s="8" t="s">
        <v>109</v>
      </c>
      <c r="B90" s="9" t="s">
        <v>449</v>
      </c>
      <c r="C90" s="8" t="s">
        <v>496</v>
      </c>
      <c r="D90" s="26" t="n">
        <v>474</v>
      </c>
      <c r="E90" s="19" t="n">
        <f aca="false">D90/1485</f>
        <v>0.319191919191919</v>
      </c>
      <c r="F90" s="43" t="n">
        <v>0.2194</v>
      </c>
      <c r="G90" s="44" t="n">
        <v>0.0643</v>
      </c>
      <c r="H90" s="44" t="n">
        <v>0.0433</v>
      </c>
      <c r="I90" s="44" t="n">
        <v>0.0852</v>
      </c>
      <c r="J90" s="26" t="n">
        <v>3</v>
      </c>
      <c r="K90" s="26" t="n">
        <v>4</v>
      </c>
      <c r="L90" s="26" t="n">
        <v>8</v>
      </c>
      <c r="M90" s="39" t="n">
        <v>30.46</v>
      </c>
    </row>
    <row r="91" customFormat="false" ht="22.35" hidden="false" customHeight="false" outlineLevel="0" collapsed="false">
      <c r="A91" s="8" t="s">
        <v>109</v>
      </c>
      <c r="B91" s="9" t="s">
        <v>449</v>
      </c>
      <c r="C91" s="8" t="s">
        <v>497</v>
      </c>
      <c r="D91" s="26" t="n">
        <v>493</v>
      </c>
      <c r="E91" s="19" t="n">
        <f aca="false">D91/1485</f>
        <v>0.331986531986532</v>
      </c>
      <c r="F91" s="43" t="n">
        <v>0.3692</v>
      </c>
      <c r="G91" s="45" t="n">
        <v>-0.0078</v>
      </c>
      <c r="H91" s="45" t="n">
        <v>-0.0161</v>
      </c>
      <c r="I91" s="44" t="n">
        <v>0.0005</v>
      </c>
      <c r="J91" s="26" t="n">
        <v>3</v>
      </c>
      <c r="K91" s="26" t="n">
        <v>6</v>
      </c>
      <c r="L91" s="26" t="n">
        <v>8</v>
      </c>
      <c r="M91" s="39" t="n">
        <v>-3.83</v>
      </c>
    </row>
    <row r="92" customFormat="false" ht="22.35" hidden="false" customHeight="false" outlineLevel="0" collapsed="false">
      <c r="A92" s="8" t="s">
        <v>109</v>
      </c>
      <c r="B92" s="9" t="s">
        <v>449</v>
      </c>
      <c r="C92" s="8" t="s">
        <v>498</v>
      </c>
      <c r="D92" s="26" t="n">
        <v>434</v>
      </c>
      <c r="E92" s="19" t="n">
        <f aca="false">D92/1485</f>
        <v>0.292255892255892</v>
      </c>
      <c r="F92" s="43" t="n">
        <v>0.2926</v>
      </c>
      <c r="G92" s="44" t="n">
        <v>0.0878</v>
      </c>
      <c r="H92" s="44" t="n">
        <v>0.0994</v>
      </c>
      <c r="I92" s="44" t="n">
        <v>0.076</v>
      </c>
      <c r="J92" s="26" t="n">
        <v>5</v>
      </c>
      <c r="K92" s="26" t="n">
        <v>4</v>
      </c>
      <c r="L92" s="26" t="n">
        <v>8</v>
      </c>
      <c r="M92" s="39" t="n">
        <v>38.1</v>
      </c>
    </row>
    <row r="93" customFormat="false" ht="22.35" hidden="false" customHeight="false" outlineLevel="0" collapsed="false">
      <c r="A93" s="8" t="s">
        <v>109</v>
      </c>
      <c r="B93" s="9" t="s">
        <v>449</v>
      </c>
      <c r="C93" s="8" t="s">
        <v>499</v>
      </c>
      <c r="D93" s="26" t="n">
        <v>474</v>
      </c>
      <c r="E93" s="19" t="n">
        <f aca="false">D93/1485</f>
        <v>0.319191919191919</v>
      </c>
      <c r="F93" s="43" t="n">
        <v>0.6435</v>
      </c>
      <c r="G93" s="44" t="n">
        <v>0.0379</v>
      </c>
      <c r="H93" s="44" t="n">
        <v>0.0273</v>
      </c>
      <c r="I93" s="44" t="n">
        <v>0.0485</v>
      </c>
      <c r="J93" s="26" t="n">
        <v>3</v>
      </c>
      <c r="K93" s="26" t="n">
        <v>12</v>
      </c>
      <c r="L93" s="26" t="n">
        <v>8</v>
      </c>
      <c r="M93" s="39" t="n">
        <v>17.96</v>
      </c>
    </row>
    <row r="95" customFormat="false" ht="22.35" hidden="false" customHeight="false" outlineLevel="0" collapsed="false">
      <c r="A95" s="8" t="s">
        <v>109</v>
      </c>
      <c r="B95" s="9" t="s">
        <v>450</v>
      </c>
      <c r="C95" s="8" t="s">
        <v>492</v>
      </c>
      <c r="D95" s="26" t="n">
        <v>563</v>
      </c>
      <c r="E95" s="19" t="n">
        <f aca="false">D95/1485</f>
        <v>0.379124579124579</v>
      </c>
      <c r="F95" s="43" t="n">
        <v>0.6306</v>
      </c>
      <c r="G95" s="45" t="n">
        <v>-0.009</v>
      </c>
      <c r="H95" s="44" t="n">
        <v>0.0018</v>
      </c>
      <c r="I95" s="45" t="n">
        <v>-0.0195</v>
      </c>
      <c r="J95" s="26" t="n">
        <v>1</v>
      </c>
      <c r="K95" s="26" t="n">
        <v>9</v>
      </c>
      <c r="L95" s="26" t="n">
        <v>8</v>
      </c>
      <c r="M95" s="39" t="n">
        <v>-5.05</v>
      </c>
    </row>
    <row r="96" customFormat="false" ht="22.35" hidden="false" customHeight="false" outlineLevel="0" collapsed="false">
      <c r="A96" s="8" t="s">
        <v>109</v>
      </c>
      <c r="B96" s="9" t="s">
        <v>450</v>
      </c>
      <c r="C96" s="8" t="s">
        <v>493</v>
      </c>
      <c r="D96" s="26" t="n">
        <v>510</v>
      </c>
      <c r="E96" s="19" t="n">
        <f aca="false">D96/1485</f>
        <v>0.343434343434343</v>
      </c>
      <c r="F96" s="43" t="n">
        <v>0.5118</v>
      </c>
      <c r="G96" s="44" t="n">
        <v>0.0054</v>
      </c>
      <c r="H96" s="44" t="n">
        <v>0.0341</v>
      </c>
      <c r="I96" s="45" t="n">
        <v>-0.0235</v>
      </c>
      <c r="J96" s="26" t="n">
        <v>2</v>
      </c>
      <c r="K96" s="26" t="n">
        <v>8</v>
      </c>
      <c r="L96" s="26" t="n">
        <v>8</v>
      </c>
      <c r="M96" s="39" t="n">
        <v>2.77</v>
      </c>
    </row>
    <row r="97" customFormat="false" ht="22.35" hidden="false" customHeight="false" outlineLevel="0" collapsed="false">
      <c r="A97" s="8" t="s">
        <v>109</v>
      </c>
      <c r="B97" s="9" t="s">
        <v>450</v>
      </c>
      <c r="C97" s="8" t="s">
        <v>494</v>
      </c>
      <c r="D97" s="26" t="n">
        <v>463</v>
      </c>
      <c r="E97" s="19" t="n">
        <f aca="false">D97/1485</f>
        <v>0.311784511784512</v>
      </c>
      <c r="F97" s="43" t="n">
        <v>0.4233</v>
      </c>
      <c r="G97" s="44" t="n">
        <v>0.04</v>
      </c>
      <c r="H97" s="44" t="n">
        <v>0.066</v>
      </c>
      <c r="I97" s="44" t="n">
        <v>0.0138</v>
      </c>
      <c r="J97" s="26" t="n">
        <v>4</v>
      </c>
      <c r="K97" s="26" t="n">
        <v>5</v>
      </c>
      <c r="L97" s="26" t="n">
        <v>9</v>
      </c>
      <c r="M97" s="39" t="n">
        <v>18.53</v>
      </c>
    </row>
    <row r="98" customFormat="false" ht="22.35" hidden="false" customHeight="false" outlineLevel="0" collapsed="false">
      <c r="A98" s="8" t="s">
        <v>109</v>
      </c>
      <c r="B98" s="9" t="s">
        <v>450</v>
      </c>
      <c r="C98" s="8" t="s">
        <v>495</v>
      </c>
      <c r="D98" s="26" t="n">
        <v>414</v>
      </c>
      <c r="E98" s="19" t="n">
        <f aca="false">D98/1485</f>
        <v>0.278787878787879</v>
      </c>
      <c r="F98" s="43" t="n">
        <v>0.3792</v>
      </c>
      <c r="G98" s="44" t="n">
        <v>0.1189</v>
      </c>
      <c r="H98" s="44" t="n">
        <v>0.1625</v>
      </c>
      <c r="I98" s="44" t="n">
        <v>0.0723</v>
      </c>
      <c r="J98" s="26" t="n">
        <v>6</v>
      </c>
      <c r="K98" s="26" t="n">
        <v>4</v>
      </c>
      <c r="L98" s="26" t="n">
        <v>9</v>
      </c>
      <c r="M98" s="39" t="n">
        <v>49.24</v>
      </c>
    </row>
    <row r="99" customFormat="false" ht="22.35" hidden="false" customHeight="false" outlineLevel="0" collapsed="false">
      <c r="A99" s="8" t="s">
        <v>109</v>
      </c>
      <c r="B99" s="9" t="s">
        <v>450</v>
      </c>
      <c r="C99" s="8" t="s">
        <v>496</v>
      </c>
      <c r="D99" s="26" t="n">
        <v>512</v>
      </c>
      <c r="E99" s="19" t="n">
        <f aca="false">D99/1485</f>
        <v>0.344781144781145</v>
      </c>
      <c r="F99" s="43" t="n">
        <v>0.2109</v>
      </c>
      <c r="G99" s="44" t="n">
        <v>0.0367</v>
      </c>
      <c r="H99" s="44" t="n">
        <v>0.0305</v>
      </c>
      <c r="I99" s="44" t="n">
        <v>0.043</v>
      </c>
      <c r="J99" s="26" t="n">
        <v>3</v>
      </c>
      <c r="K99" s="26" t="n">
        <v>4</v>
      </c>
      <c r="L99" s="26" t="n">
        <v>8</v>
      </c>
      <c r="M99" s="39" t="n">
        <v>18.81</v>
      </c>
    </row>
    <row r="100" customFormat="false" ht="22.35" hidden="false" customHeight="false" outlineLevel="0" collapsed="false">
      <c r="A100" s="8" t="s">
        <v>109</v>
      </c>
      <c r="B100" s="9" t="s">
        <v>450</v>
      </c>
      <c r="C100" s="8" t="s">
        <v>497</v>
      </c>
      <c r="D100" s="26" t="n">
        <v>537</v>
      </c>
      <c r="E100" s="19" t="n">
        <f aca="false">D100/1485</f>
        <v>0.361616161616162</v>
      </c>
      <c r="F100" s="43" t="n">
        <v>0.3687</v>
      </c>
      <c r="G100" s="45" t="n">
        <v>-0.0179</v>
      </c>
      <c r="H100" s="45" t="n">
        <v>-0.0134</v>
      </c>
      <c r="I100" s="45" t="n">
        <v>-0.0224</v>
      </c>
      <c r="J100" s="26" t="n">
        <v>2</v>
      </c>
      <c r="K100" s="26" t="n">
        <v>8</v>
      </c>
      <c r="L100" s="26" t="n">
        <v>8</v>
      </c>
      <c r="M100" s="39" t="n">
        <v>-9.63</v>
      </c>
    </row>
    <row r="101" customFormat="false" ht="22.35" hidden="false" customHeight="false" outlineLevel="0" collapsed="false">
      <c r="A101" s="8" t="s">
        <v>109</v>
      </c>
      <c r="B101" s="9" t="s">
        <v>450</v>
      </c>
      <c r="C101" s="8" t="s">
        <v>498</v>
      </c>
      <c r="D101" s="26" t="n">
        <v>469</v>
      </c>
      <c r="E101" s="19" t="n">
        <f aca="false">D101/1485</f>
        <v>0.315824915824916</v>
      </c>
      <c r="F101" s="43" t="n">
        <v>0.2836</v>
      </c>
      <c r="G101" s="44" t="n">
        <v>0.0692</v>
      </c>
      <c r="H101" s="44" t="n">
        <v>0.0949</v>
      </c>
      <c r="I101" s="44" t="n">
        <v>0.0435</v>
      </c>
      <c r="J101" s="26" t="n">
        <v>5</v>
      </c>
      <c r="K101" s="26" t="n">
        <v>4</v>
      </c>
      <c r="L101" s="26" t="n">
        <v>8</v>
      </c>
      <c r="M101" s="39" t="n">
        <v>32.47</v>
      </c>
    </row>
    <row r="102" customFormat="false" ht="22.35" hidden="false" customHeight="false" outlineLevel="0" collapsed="false">
      <c r="A102" s="8" t="s">
        <v>109</v>
      </c>
      <c r="B102" s="9" t="s">
        <v>450</v>
      </c>
      <c r="C102" s="8" t="s">
        <v>499</v>
      </c>
      <c r="D102" s="26" t="n">
        <v>512</v>
      </c>
      <c r="E102" s="19" t="n">
        <f aca="false">D102/1485</f>
        <v>0.344781144781145</v>
      </c>
      <c r="F102" s="43" t="n">
        <v>0.6328</v>
      </c>
      <c r="G102" s="44" t="n">
        <v>0.0156</v>
      </c>
      <c r="H102" s="44" t="n">
        <v>0.0218</v>
      </c>
      <c r="I102" s="44" t="n">
        <v>0.0095</v>
      </c>
      <c r="J102" s="26" t="n">
        <v>3</v>
      </c>
      <c r="K102" s="26" t="n">
        <v>8</v>
      </c>
      <c r="L102" s="26" t="n">
        <v>8</v>
      </c>
      <c r="M102" s="39" t="n">
        <v>8.01</v>
      </c>
    </row>
    <row r="104" customFormat="false" ht="22.35" hidden="false" customHeight="false" outlineLevel="0" collapsed="false">
      <c r="A104" s="8" t="s">
        <v>109</v>
      </c>
      <c r="B104" s="9" t="s">
        <v>457</v>
      </c>
      <c r="C104" s="8" t="s">
        <v>492</v>
      </c>
      <c r="D104" s="26" t="n">
        <v>490</v>
      </c>
      <c r="E104" s="19" t="n">
        <f aca="false">D104/1485</f>
        <v>0.32996632996633</v>
      </c>
      <c r="F104" s="43" t="n">
        <v>0.6367</v>
      </c>
      <c r="G104" s="44" t="n">
        <v>0.0011</v>
      </c>
      <c r="H104" s="44" t="n">
        <v>0.0069</v>
      </c>
      <c r="I104" s="45" t="n">
        <v>-0.0044</v>
      </c>
      <c r="J104" s="26" t="n">
        <v>3</v>
      </c>
      <c r="K104" s="26" t="n">
        <v>13</v>
      </c>
      <c r="L104" s="26" t="n">
        <v>7</v>
      </c>
      <c r="M104" s="39" t="n">
        <v>0.53</v>
      </c>
    </row>
    <row r="105" customFormat="false" ht="22.35" hidden="false" customHeight="false" outlineLevel="0" collapsed="false">
      <c r="A105" s="8" t="s">
        <v>109</v>
      </c>
      <c r="B105" s="9" t="s">
        <v>457</v>
      </c>
      <c r="C105" s="8" t="s">
        <v>493</v>
      </c>
      <c r="D105" s="26" t="n">
        <v>449</v>
      </c>
      <c r="E105" s="19" t="n">
        <f aca="false">D105/1485</f>
        <v>0.302356902356902</v>
      </c>
      <c r="F105" s="43" t="n">
        <v>0.5078</v>
      </c>
      <c r="G105" s="45" t="n">
        <v>-0.0023</v>
      </c>
      <c r="H105" s="44" t="n">
        <v>0.0123</v>
      </c>
      <c r="I105" s="45" t="n">
        <v>-0.0165</v>
      </c>
      <c r="J105" s="26" t="n">
        <v>2</v>
      </c>
      <c r="K105" s="26" t="n">
        <v>7</v>
      </c>
      <c r="L105" s="26" t="n">
        <v>7</v>
      </c>
      <c r="M105" s="39" t="n">
        <v>-1.03</v>
      </c>
    </row>
    <row r="106" customFormat="false" ht="22.35" hidden="false" customHeight="false" outlineLevel="0" collapsed="false">
      <c r="A106" s="8" t="s">
        <v>109</v>
      </c>
      <c r="B106" s="9" t="s">
        <v>457</v>
      </c>
      <c r="C106" s="8" t="s">
        <v>494</v>
      </c>
      <c r="D106" s="26" t="n">
        <v>408</v>
      </c>
      <c r="E106" s="19" t="n">
        <f aca="false">D106/1485</f>
        <v>0.274747474747475</v>
      </c>
      <c r="F106" s="43" t="n">
        <v>0.4216</v>
      </c>
      <c r="G106" s="44" t="n">
        <v>0.0359</v>
      </c>
      <c r="H106" s="44" t="n">
        <v>0.0288</v>
      </c>
      <c r="I106" s="44" t="n">
        <v>0.0427</v>
      </c>
      <c r="J106" s="26" t="n">
        <v>5</v>
      </c>
      <c r="K106" s="26" t="n">
        <v>5</v>
      </c>
      <c r="L106" s="26" t="n">
        <v>9</v>
      </c>
      <c r="M106" s="39" t="n">
        <v>14.63</v>
      </c>
    </row>
    <row r="107" customFormat="false" ht="22.35" hidden="false" customHeight="false" outlineLevel="0" collapsed="false">
      <c r="A107" s="8" t="s">
        <v>109</v>
      </c>
      <c r="B107" s="9" t="s">
        <v>457</v>
      </c>
      <c r="C107" s="8" t="s">
        <v>495</v>
      </c>
      <c r="D107" s="26" t="n">
        <v>363</v>
      </c>
      <c r="E107" s="19" t="n">
        <f aca="false">D107/1485</f>
        <v>0.244444444444444</v>
      </c>
      <c r="F107" s="43" t="n">
        <v>0.3857</v>
      </c>
      <c r="G107" s="44" t="n">
        <v>0.1388</v>
      </c>
      <c r="H107" s="44" t="n">
        <v>0.1515</v>
      </c>
      <c r="I107" s="44" t="n">
        <v>0.1258</v>
      </c>
      <c r="J107" s="26" t="n">
        <v>6</v>
      </c>
      <c r="K107" s="26" t="n">
        <v>5</v>
      </c>
      <c r="L107" s="26" t="n">
        <v>9</v>
      </c>
      <c r="M107" s="39" t="n">
        <v>50.37</v>
      </c>
    </row>
    <row r="108" customFormat="false" ht="22.35" hidden="false" customHeight="false" outlineLevel="0" collapsed="false">
      <c r="A108" s="8" t="s">
        <v>109</v>
      </c>
      <c r="B108" s="9" t="s">
        <v>457</v>
      </c>
      <c r="C108" s="8" t="s">
        <v>496</v>
      </c>
      <c r="D108" s="26" t="n">
        <v>452</v>
      </c>
      <c r="E108" s="19" t="n">
        <f aca="false">D108/1485</f>
        <v>0.304377104377104</v>
      </c>
      <c r="F108" s="43" t="n">
        <v>0.219</v>
      </c>
      <c r="G108" s="44" t="n">
        <v>0.0574</v>
      </c>
      <c r="H108" s="44" t="n">
        <v>0.0392</v>
      </c>
      <c r="I108" s="44" t="n">
        <v>0.0749</v>
      </c>
      <c r="J108" s="26" t="n">
        <v>3</v>
      </c>
      <c r="K108" s="26" t="n">
        <v>4</v>
      </c>
      <c r="L108" s="26" t="n">
        <v>7</v>
      </c>
      <c r="M108" s="39" t="n">
        <v>25.93</v>
      </c>
    </row>
    <row r="109" customFormat="false" ht="22.35" hidden="false" customHeight="false" outlineLevel="0" collapsed="false">
      <c r="A109" s="8" t="s">
        <v>109</v>
      </c>
      <c r="B109" s="9" t="s">
        <v>457</v>
      </c>
      <c r="C109" s="8" t="s">
        <v>497</v>
      </c>
      <c r="D109" s="26" t="n">
        <v>472</v>
      </c>
      <c r="E109" s="19" t="n">
        <f aca="false">D109/1485</f>
        <v>0.317845117845118</v>
      </c>
      <c r="F109" s="43" t="n">
        <v>0.3686</v>
      </c>
      <c r="G109" s="45" t="n">
        <v>-0.0115</v>
      </c>
      <c r="H109" s="45" t="n">
        <v>-0.0154</v>
      </c>
      <c r="I109" s="45" t="n">
        <v>-0.0077</v>
      </c>
      <c r="J109" s="26" t="n">
        <v>3</v>
      </c>
      <c r="K109" s="26" t="n">
        <v>7</v>
      </c>
      <c r="L109" s="26" t="n">
        <v>7</v>
      </c>
      <c r="M109" s="39" t="n">
        <v>-5.41</v>
      </c>
    </row>
    <row r="110" customFormat="false" ht="22.35" hidden="false" customHeight="false" outlineLevel="0" collapsed="false">
      <c r="A110" s="8" t="s">
        <v>109</v>
      </c>
      <c r="B110" s="9" t="s">
        <v>457</v>
      </c>
      <c r="C110" s="8" t="s">
        <v>498</v>
      </c>
      <c r="D110" s="26" t="n">
        <v>413</v>
      </c>
      <c r="E110" s="19" t="n">
        <f aca="false">D110/1485</f>
        <v>0.278114478114478</v>
      </c>
      <c r="F110" s="43" t="n">
        <v>0.2906</v>
      </c>
      <c r="G110" s="44" t="n">
        <v>0.0837</v>
      </c>
      <c r="H110" s="44" t="n">
        <v>0.099</v>
      </c>
      <c r="I110" s="44" t="n">
        <v>0.0688</v>
      </c>
      <c r="J110" s="26" t="n">
        <v>5</v>
      </c>
      <c r="K110" s="26" t="n">
        <v>4</v>
      </c>
      <c r="L110" s="26" t="n">
        <v>7</v>
      </c>
      <c r="M110" s="39" t="n">
        <v>34.57</v>
      </c>
    </row>
    <row r="111" customFormat="false" ht="22.35" hidden="false" customHeight="false" outlineLevel="0" collapsed="false">
      <c r="A111" s="8" t="s">
        <v>109</v>
      </c>
      <c r="B111" s="9" t="s">
        <v>457</v>
      </c>
      <c r="C111" s="8" t="s">
        <v>499</v>
      </c>
      <c r="D111" s="26" t="n">
        <v>452</v>
      </c>
      <c r="E111" s="19" t="n">
        <f aca="false">D111/1485</f>
        <v>0.304377104377104</v>
      </c>
      <c r="F111" s="43" t="n">
        <v>0.6372</v>
      </c>
      <c r="G111" s="44" t="n">
        <v>0.0295</v>
      </c>
      <c r="H111" s="44" t="n">
        <v>0.0207</v>
      </c>
      <c r="I111" s="44" t="n">
        <v>0.038</v>
      </c>
      <c r="J111" s="26" t="n">
        <v>3</v>
      </c>
      <c r="K111" s="26" t="n">
        <v>12</v>
      </c>
      <c r="L111" s="26" t="n">
        <v>7</v>
      </c>
      <c r="M111" s="39" t="n">
        <v>13.33</v>
      </c>
    </row>
    <row r="113" customFormat="false" ht="15" hidden="false" customHeight="false" outlineLevel="0" collapsed="false">
      <c r="A113" s="8" t="s">
        <v>109</v>
      </c>
      <c r="B113" s="9" t="s">
        <v>501</v>
      </c>
      <c r="C113" s="8" t="s">
        <v>492</v>
      </c>
      <c r="D113" s="26" t="n">
        <v>351</v>
      </c>
      <c r="E113" s="19" t="n">
        <f aca="false">D113/1485</f>
        <v>0.236363636363636</v>
      </c>
      <c r="F113" s="43" t="n">
        <v>0.6239</v>
      </c>
      <c r="G113" s="45" t="n">
        <v>-0.0194</v>
      </c>
      <c r="H113" s="45" t="n">
        <v>-0.0437</v>
      </c>
      <c r="I113" s="44" t="n">
        <v>0.0008</v>
      </c>
      <c r="J113" s="26" t="n">
        <v>2</v>
      </c>
      <c r="K113" s="26" t="n">
        <v>14</v>
      </c>
      <c r="L113" s="26" t="n">
        <v>7</v>
      </c>
      <c r="M113" s="39" t="n">
        <v>-6.8</v>
      </c>
    </row>
    <row r="114" customFormat="false" ht="15" hidden="false" customHeight="false" outlineLevel="0" collapsed="false">
      <c r="A114" s="8" t="s">
        <v>109</v>
      </c>
      <c r="B114" s="9" t="s">
        <v>501</v>
      </c>
      <c r="C114" s="8" t="s">
        <v>493</v>
      </c>
      <c r="D114" s="26" t="n">
        <v>301</v>
      </c>
      <c r="E114" s="19" t="n">
        <f aca="false">D114/1485</f>
        <v>0.202693602693603</v>
      </c>
      <c r="F114" s="43" t="n">
        <v>0.515</v>
      </c>
      <c r="G114" s="44" t="n">
        <v>0.0118</v>
      </c>
      <c r="H114" s="45" t="n">
        <v>-0.0296</v>
      </c>
      <c r="I114" s="44" t="n">
        <v>0.0488</v>
      </c>
      <c r="J114" s="26" t="n">
        <v>3</v>
      </c>
      <c r="K114" s="26" t="n">
        <v>11</v>
      </c>
      <c r="L114" s="26" t="n">
        <v>8</v>
      </c>
      <c r="M114" s="39" t="n">
        <v>3.55</v>
      </c>
    </row>
    <row r="115" customFormat="false" ht="15" hidden="false" customHeight="false" outlineLevel="0" collapsed="false">
      <c r="A115" s="8" t="s">
        <v>109</v>
      </c>
      <c r="B115" s="9" t="s">
        <v>501</v>
      </c>
      <c r="C115" s="8" t="s">
        <v>494</v>
      </c>
      <c r="D115" s="26" t="n">
        <v>268</v>
      </c>
      <c r="E115" s="19" t="n">
        <f aca="false">D115/1485</f>
        <v>0.18047138047138</v>
      </c>
      <c r="F115" s="43" t="n">
        <v>0.459</v>
      </c>
      <c r="G115" s="44" t="n">
        <v>0.1293</v>
      </c>
      <c r="H115" s="44" t="n">
        <v>0.0415</v>
      </c>
      <c r="I115" s="44" t="n">
        <v>0.2071</v>
      </c>
      <c r="J115" s="26" t="n">
        <v>4</v>
      </c>
      <c r="K115" s="26" t="n">
        <v>9</v>
      </c>
      <c r="L115" s="26" t="n">
        <v>8</v>
      </c>
      <c r="M115" s="39" t="n">
        <v>34.64</v>
      </c>
    </row>
    <row r="116" customFormat="false" ht="15" hidden="false" customHeight="false" outlineLevel="0" collapsed="false">
      <c r="A116" s="8" t="s">
        <v>109</v>
      </c>
      <c r="B116" s="9" t="s">
        <v>501</v>
      </c>
      <c r="C116" s="8" t="s">
        <v>495</v>
      </c>
      <c r="D116" s="26" t="n">
        <v>246</v>
      </c>
      <c r="E116" s="19" t="n">
        <f aca="false">D116/1485</f>
        <v>0.165656565656566</v>
      </c>
      <c r="F116" s="43" t="n">
        <v>0.3984</v>
      </c>
      <c r="G116" s="44" t="n">
        <v>0.177</v>
      </c>
      <c r="H116" s="44" t="n">
        <v>0.0545</v>
      </c>
      <c r="I116" s="44" t="n">
        <v>0.2917</v>
      </c>
      <c r="J116" s="26" t="n">
        <v>5</v>
      </c>
      <c r="K116" s="26" t="n">
        <v>7</v>
      </c>
      <c r="L116" s="26" t="n">
        <v>7</v>
      </c>
      <c r="M116" s="39" t="n">
        <v>43.54</v>
      </c>
    </row>
    <row r="117" customFormat="false" ht="15" hidden="false" customHeight="false" outlineLevel="0" collapsed="false">
      <c r="A117" s="8" t="s">
        <v>109</v>
      </c>
      <c r="B117" s="9" t="s">
        <v>501</v>
      </c>
      <c r="C117" s="8" t="s">
        <v>496</v>
      </c>
      <c r="D117" s="26" t="n">
        <v>286</v>
      </c>
      <c r="E117" s="19" t="n">
        <f aca="false">D117/1485</f>
        <v>0.192592592592593</v>
      </c>
      <c r="F117" s="43" t="n">
        <v>0.2063</v>
      </c>
      <c r="G117" s="45" t="n">
        <v>-0.0077</v>
      </c>
      <c r="H117" s="45" t="n">
        <v>-0.0814</v>
      </c>
      <c r="I117" s="44" t="n">
        <v>0.0592</v>
      </c>
      <c r="J117" s="26" t="n">
        <v>3</v>
      </c>
      <c r="K117" s="26" t="n">
        <v>3</v>
      </c>
      <c r="L117" s="26" t="n">
        <v>8</v>
      </c>
      <c r="M117" s="39" t="n">
        <v>-2.2</v>
      </c>
    </row>
    <row r="118" customFormat="false" ht="15" hidden="false" customHeight="false" outlineLevel="0" collapsed="false">
      <c r="A118" s="8" t="s">
        <v>109</v>
      </c>
      <c r="B118" s="9" t="s">
        <v>501</v>
      </c>
      <c r="C118" s="8" t="s">
        <v>497</v>
      </c>
      <c r="D118" s="26" t="n">
        <v>314</v>
      </c>
      <c r="E118" s="19" t="n">
        <f aca="false">D118/1485</f>
        <v>0.211447811447811</v>
      </c>
      <c r="F118" s="43" t="n">
        <v>0.3981</v>
      </c>
      <c r="G118" s="45" t="n">
        <v>-0.0211</v>
      </c>
      <c r="H118" s="45" t="n">
        <v>-0.0848</v>
      </c>
      <c r="I118" s="44" t="n">
        <v>0.0336</v>
      </c>
      <c r="J118" s="26" t="n">
        <v>4</v>
      </c>
      <c r="K118" s="26" t="n">
        <v>6</v>
      </c>
      <c r="L118" s="26" t="n">
        <v>8</v>
      </c>
      <c r="M118" s="39" t="n">
        <v>-6.62</v>
      </c>
    </row>
    <row r="119" customFormat="false" ht="15" hidden="false" customHeight="false" outlineLevel="0" collapsed="false">
      <c r="A119" s="8" t="s">
        <v>109</v>
      </c>
      <c r="B119" s="9" t="s">
        <v>501</v>
      </c>
      <c r="C119" s="8" t="s">
        <v>498</v>
      </c>
      <c r="D119" s="26" t="n">
        <v>266</v>
      </c>
      <c r="E119" s="19" t="n">
        <f aca="false">D119/1485</f>
        <v>0.179124579124579</v>
      </c>
      <c r="F119" s="43" t="n">
        <v>0.2895</v>
      </c>
      <c r="G119" s="44" t="n">
        <v>0.0717</v>
      </c>
      <c r="H119" s="44" t="n">
        <v>0.0081</v>
      </c>
      <c r="I119" s="44" t="n">
        <v>0.1343</v>
      </c>
      <c r="J119" s="26" t="n">
        <v>5</v>
      </c>
      <c r="K119" s="26" t="n">
        <v>6</v>
      </c>
      <c r="L119" s="26" t="n">
        <v>8</v>
      </c>
      <c r="M119" s="39" t="n">
        <v>19.06</v>
      </c>
    </row>
    <row r="120" customFormat="false" ht="15" hidden="false" customHeight="false" outlineLevel="0" collapsed="false">
      <c r="A120" s="8" t="s">
        <v>109</v>
      </c>
      <c r="B120" s="9" t="s">
        <v>501</v>
      </c>
      <c r="C120" s="8" t="s">
        <v>499</v>
      </c>
      <c r="D120" s="26" t="n">
        <v>286</v>
      </c>
      <c r="E120" s="19" t="n">
        <f aca="false">D120/1485</f>
        <v>0.192592592592593</v>
      </c>
      <c r="F120" s="43" t="n">
        <v>0.5979</v>
      </c>
      <c r="G120" s="45" t="n">
        <v>-0.0346</v>
      </c>
      <c r="H120" s="45" t="n">
        <v>-0.091</v>
      </c>
      <c r="I120" s="44" t="n">
        <v>0.0165</v>
      </c>
      <c r="J120" s="26" t="n">
        <v>3</v>
      </c>
      <c r="K120" s="26" t="n">
        <v>15</v>
      </c>
      <c r="L120" s="26" t="n">
        <v>8</v>
      </c>
      <c r="M120" s="39" t="n">
        <v>-9.9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3" t="s">
        <v>502</v>
      </c>
    </row>
    <row r="2" customFormat="false" ht="15" hidden="false" customHeight="false" outlineLevel="0" collapsed="false">
      <c r="A2" s="47" t="s">
        <v>503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4" customFormat="false" ht="15" hidden="false" customHeight="false" outlineLevel="0" collapsed="false">
      <c r="A4" s="6" t="s">
        <v>504</v>
      </c>
      <c r="B4" s="6"/>
      <c r="C4" s="6"/>
      <c r="D4" s="6"/>
      <c r="E4" s="6"/>
      <c r="F4" s="6"/>
      <c r="G4" s="6"/>
      <c r="H4" s="6"/>
      <c r="I4" s="6"/>
    </row>
    <row r="5" customFormat="false" ht="54" hidden="false" customHeight="true" outlineLevel="0" collapsed="false">
      <c r="A5" s="7" t="s">
        <v>505</v>
      </c>
      <c r="B5" s="7" t="s">
        <v>506</v>
      </c>
      <c r="C5" s="7" t="s">
        <v>507</v>
      </c>
      <c r="D5" s="7" t="s">
        <v>508</v>
      </c>
      <c r="E5" s="7" t="s">
        <v>509</v>
      </c>
      <c r="F5" s="7" t="s">
        <v>510</v>
      </c>
      <c r="G5" s="7" t="s">
        <v>511</v>
      </c>
      <c r="H5" s="7" t="s">
        <v>512</v>
      </c>
    </row>
    <row r="6" customFormat="false" ht="15" hidden="false" customHeight="false" outlineLevel="0" collapsed="false">
      <c r="A6" s="48" t="s">
        <v>47</v>
      </c>
      <c r="B6" s="48" t="s">
        <v>513</v>
      </c>
      <c r="C6" s="49" t="n">
        <v>8</v>
      </c>
      <c r="D6" s="49" t="n">
        <v>8</v>
      </c>
      <c r="E6" s="49" t="n">
        <v>2</v>
      </c>
      <c r="F6" s="50" t="n">
        <v>1</v>
      </c>
      <c r="G6" s="50" t="n">
        <v>1</v>
      </c>
      <c r="H6" s="48" t="s">
        <v>514</v>
      </c>
    </row>
    <row r="7" customFormat="false" ht="15" hidden="false" customHeight="false" outlineLevel="0" collapsed="false">
      <c r="A7" s="48" t="s">
        <v>47</v>
      </c>
      <c r="B7" s="48" t="s">
        <v>515</v>
      </c>
      <c r="C7" s="49" t="n">
        <v>8</v>
      </c>
      <c r="D7" s="49" t="n">
        <v>8</v>
      </c>
      <c r="E7" s="49" t="n">
        <v>2</v>
      </c>
      <c r="F7" s="50" t="n">
        <v>1</v>
      </c>
      <c r="G7" s="50" t="n">
        <v>1</v>
      </c>
      <c r="H7" s="48" t="s">
        <v>514</v>
      </c>
    </row>
    <row r="8" customFormat="false" ht="15" hidden="false" customHeight="false" outlineLevel="0" collapsed="false">
      <c r="A8" s="8" t="s">
        <v>516</v>
      </c>
      <c r="B8" s="8" t="s">
        <v>515</v>
      </c>
      <c r="C8" s="26" t="n">
        <v>8</v>
      </c>
      <c r="D8" s="26" t="n">
        <v>8</v>
      </c>
      <c r="E8" s="26" t="n">
        <v>4.5</v>
      </c>
      <c r="F8" s="27" t="n">
        <v>0.812</v>
      </c>
      <c r="G8" s="27" t="n">
        <v>2.89</v>
      </c>
      <c r="H8" s="8" t="s">
        <v>517</v>
      </c>
    </row>
    <row r="9" customFormat="false" ht="15" hidden="false" customHeight="false" outlineLevel="0" collapsed="false">
      <c r="A9" s="8" t="s">
        <v>518</v>
      </c>
      <c r="B9" s="8" t="s">
        <v>513</v>
      </c>
      <c r="C9" s="26" t="n">
        <v>8</v>
      </c>
      <c r="D9" s="26" t="n">
        <v>8</v>
      </c>
      <c r="E9" s="26" t="n">
        <v>5</v>
      </c>
      <c r="F9" s="27" t="n">
        <v>0.806</v>
      </c>
      <c r="G9" s="27" t="n">
        <v>1.79</v>
      </c>
      <c r="H9" s="8" t="s">
        <v>517</v>
      </c>
    </row>
    <row r="10" customFormat="false" ht="15" hidden="false" customHeight="false" outlineLevel="0" collapsed="false">
      <c r="A10" s="8" t="s">
        <v>518</v>
      </c>
      <c r="B10" s="8" t="s">
        <v>515</v>
      </c>
      <c r="C10" s="26" t="n">
        <v>8</v>
      </c>
      <c r="D10" s="26" t="n">
        <v>8</v>
      </c>
      <c r="E10" s="26" t="n">
        <v>5</v>
      </c>
      <c r="F10" s="27" t="n">
        <v>0.806</v>
      </c>
      <c r="G10" s="27" t="n">
        <v>1.79</v>
      </c>
      <c r="H10" s="8" t="s">
        <v>517</v>
      </c>
    </row>
    <row r="11" customFormat="false" ht="15" hidden="false" customHeight="false" outlineLevel="0" collapsed="false">
      <c r="A11" s="8" t="s">
        <v>516</v>
      </c>
      <c r="B11" s="8" t="s">
        <v>513</v>
      </c>
      <c r="C11" s="26" t="n">
        <v>8</v>
      </c>
      <c r="D11" s="26" t="n">
        <v>7</v>
      </c>
      <c r="E11" s="26" t="n">
        <v>4.4</v>
      </c>
      <c r="F11" s="27" t="n">
        <v>0.807</v>
      </c>
      <c r="G11" s="27" t="n">
        <v>2.6</v>
      </c>
      <c r="H11" s="8" t="s">
        <v>517</v>
      </c>
    </row>
    <row r="12" customFormat="false" ht="15" hidden="false" customHeight="false" outlineLevel="0" collapsed="false">
      <c r="A12" s="8" t="s">
        <v>519</v>
      </c>
      <c r="B12" s="8" t="s">
        <v>515</v>
      </c>
      <c r="C12" s="26" t="n">
        <v>7</v>
      </c>
      <c r="D12" s="26" t="n">
        <v>6</v>
      </c>
      <c r="E12" s="26" t="n">
        <v>3.8</v>
      </c>
      <c r="F12" s="27" t="n">
        <v>0.944</v>
      </c>
      <c r="G12" s="27" t="n">
        <v>2.25</v>
      </c>
      <c r="H12" s="8" t="s">
        <v>520</v>
      </c>
    </row>
    <row r="13" customFormat="false" ht="15" hidden="false" customHeight="false" outlineLevel="0" collapsed="false">
      <c r="A13" s="8" t="s">
        <v>521</v>
      </c>
      <c r="B13" s="8" t="s">
        <v>515</v>
      </c>
      <c r="C13" s="26" t="n">
        <v>8</v>
      </c>
      <c r="D13" s="26" t="n">
        <v>5</v>
      </c>
      <c r="E13" s="26" t="n">
        <v>7.4</v>
      </c>
      <c r="F13" s="27" t="n">
        <v>0.827</v>
      </c>
      <c r="G13" s="27" t="n">
        <v>2.83</v>
      </c>
      <c r="H13" s="8" t="s">
        <v>517</v>
      </c>
    </row>
    <row r="14" customFormat="false" ht="15" hidden="false" customHeight="false" outlineLevel="0" collapsed="false">
      <c r="A14" s="8" t="s">
        <v>522</v>
      </c>
      <c r="B14" s="8" t="s">
        <v>515</v>
      </c>
      <c r="C14" s="26" t="n">
        <v>8</v>
      </c>
      <c r="D14" s="26" t="n">
        <v>4</v>
      </c>
      <c r="E14" s="26" t="n">
        <v>3.5</v>
      </c>
      <c r="F14" s="27" t="n">
        <v>0.921</v>
      </c>
      <c r="G14" s="27" t="n">
        <v>4.99</v>
      </c>
      <c r="H14" s="8" t="s">
        <v>520</v>
      </c>
    </row>
    <row r="15" customFormat="false" ht="15" hidden="false" customHeight="false" outlineLevel="0" collapsed="false">
      <c r="A15" s="8" t="s">
        <v>523</v>
      </c>
      <c r="B15" s="8" t="s">
        <v>515</v>
      </c>
      <c r="C15" s="26" t="n">
        <v>5</v>
      </c>
      <c r="D15" s="26" t="n">
        <v>4</v>
      </c>
      <c r="E15" s="26" t="n">
        <v>5</v>
      </c>
      <c r="F15" s="27" t="n">
        <v>0.788</v>
      </c>
      <c r="G15" s="27" t="n">
        <v>4.71</v>
      </c>
      <c r="H15" s="8" t="s">
        <v>517</v>
      </c>
    </row>
    <row r="16" customFormat="false" ht="15" hidden="false" customHeight="false" outlineLevel="0" collapsed="false">
      <c r="A16" s="8" t="s">
        <v>524</v>
      </c>
      <c r="B16" s="8" t="s">
        <v>515</v>
      </c>
      <c r="C16" s="26" t="n">
        <v>7</v>
      </c>
      <c r="D16" s="26" t="n">
        <v>4</v>
      </c>
      <c r="E16" s="26" t="n">
        <v>7.5</v>
      </c>
      <c r="F16" s="27" t="n">
        <v>0.782</v>
      </c>
      <c r="G16" s="27" t="n">
        <v>2.8</v>
      </c>
      <c r="H16" s="8" t="s">
        <v>517</v>
      </c>
    </row>
    <row r="17" customFormat="false" ht="15" hidden="false" customHeight="false" outlineLevel="0" collapsed="false">
      <c r="A17" s="8" t="s">
        <v>525</v>
      </c>
      <c r="B17" s="8" t="s">
        <v>515</v>
      </c>
      <c r="C17" s="26" t="n">
        <v>7</v>
      </c>
      <c r="D17" s="26" t="n">
        <v>4</v>
      </c>
      <c r="E17" s="26" t="n">
        <v>8.8</v>
      </c>
      <c r="F17" s="27" t="n">
        <v>0.666</v>
      </c>
      <c r="G17" s="27" t="n">
        <v>2.58</v>
      </c>
      <c r="H17" s="8" t="s">
        <v>526</v>
      </c>
    </row>
    <row r="18" customFormat="false" ht="15" hidden="false" customHeight="false" outlineLevel="0" collapsed="false">
      <c r="A18" s="8" t="s">
        <v>527</v>
      </c>
      <c r="B18" s="8" t="s">
        <v>515</v>
      </c>
      <c r="C18" s="26" t="n">
        <v>7</v>
      </c>
      <c r="D18" s="26" t="n">
        <v>3</v>
      </c>
      <c r="E18" s="26" t="n">
        <v>8.3</v>
      </c>
      <c r="F18" s="27" t="n">
        <v>0.745</v>
      </c>
      <c r="G18" s="27" t="n">
        <v>2.93</v>
      </c>
      <c r="H18" s="8" t="s">
        <v>517</v>
      </c>
    </row>
    <row r="19" customFormat="false" ht="15" hidden="false" customHeight="false" outlineLevel="0" collapsed="false">
      <c r="A19" s="8" t="s">
        <v>521</v>
      </c>
      <c r="B19" s="8" t="s">
        <v>513</v>
      </c>
      <c r="C19" s="26" t="n">
        <v>8</v>
      </c>
      <c r="D19" s="26" t="n">
        <v>3</v>
      </c>
      <c r="E19" s="26" t="n">
        <v>9</v>
      </c>
      <c r="F19" s="27" t="n">
        <v>0.739</v>
      </c>
      <c r="G19" s="27" t="n">
        <v>1.93</v>
      </c>
      <c r="H19" s="8" t="s">
        <v>517</v>
      </c>
    </row>
    <row r="20" customFormat="false" ht="15" hidden="false" customHeight="false" outlineLevel="0" collapsed="false">
      <c r="A20" s="8" t="s">
        <v>528</v>
      </c>
      <c r="B20" s="8" t="s">
        <v>515</v>
      </c>
      <c r="C20" s="26" t="n">
        <v>7</v>
      </c>
      <c r="D20" s="26" t="n">
        <v>3</v>
      </c>
      <c r="E20" s="26" t="n">
        <v>10</v>
      </c>
      <c r="F20" s="27" t="n">
        <v>0.691</v>
      </c>
      <c r="G20" s="27" t="n">
        <v>5.98</v>
      </c>
      <c r="H20" s="8" t="s">
        <v>526</v>
      </c>
    </row>
    <row r="21" customFormat="false" ht="15" hidden="false" customHeight="false" outlineLevel="0" collapsed="false">
      <c r="A21" s="8" t="s">
        <v>529</v>
      </c>
      <c r="B21" s="8" t="s">
        <v>515</v>
      </c>
      <c r="C21" s="26" t="n">
        <v>7</v>
      </c>
      <c r="D21" s="26" t="n">
        <v>3</v>
      </c>
      <c r="E21" s="26" t="n">
        <v>10.7</v>
      </c>
      <c r="F21" s="27" t="n">
        <v>0.675</v>
      </c>
      <c r="G21" s="27" t="n">
        <v>3.74</v>
      </c>
      <c r="H21" s="8" t="s">
        <v>526</v>
      </c>
    </row>
    <row r="22" customFormat="false" ht="15" hidden="false" customHeight="false" outlineLevel="0" collapsed="false">
      <c r="A22" s="8" t="s">
        <v>530</v>
      </c>
      <c r="B22" s="8" t="s">
        <v>515</v>
      </c>
      <c r="C22" s="26" t="n">
        <v>7</v>
      </c>
      <c r="D22" s="26" t="n">
        <v>3</v>
      </c>
      <c r="E22" s="26" t="n">
        <v>13.7</v>
      </c>
      <c r="F22" s="27" t="n">
        <v>0.615</v>
      </c>
      <c r="G22" s="27" t="n">
        <v>3.9</v>
      </c>
      <c r="H22" s="8" t="s">
        <v>526</v>
      </c>
    </row>
    <row r="23" customFormat="false" ht="15" hidden="false" customHeight="false" outlineLevel="0" collapsed="false">
      <c r="A23" s="8" t="s">
        <v>522</v>
      </c>
      <c r="B23" s="8" t="s">
        <v>513</v>
      </c>
      <c r="C23" s="26" t="n">
        <v>6</v>
      </c>
      <c r="D23" s="26" t="n">
        <v>2</v>
      </c>
      <c r="E23" s="26" t="n">
        <v>3</v>
      </c>
      <c r="F23" s="27" t="n">
        <v>0.997</v>
      </c>
      <c r="G23" s="27" t="n">
        <v>3.3</v>
      </c>
      <c r="H23" s="8" t="s">
        <v>520</v>
      </c>
    </row>
    <row r="24" customFormat="false" ht="15" hidden="false" customHeight="false" outlineLevel="0" collapsed="false">
      <c r="A24" s="8" t="s">
        <v>519</v>
      </c>
      <c r="B24" s="8" t="s">
        <v>513</v>
      </c>
      <c r="C24" s="26" t="n">
        <v>6</v>
      </c>
      <c r="D24" s="26" t="n">
        <v>2</v>
      </c>
      <c r="E24" s="26" t="n">
        <v>5</v>
      </c>
      <c r="F24" s="27" t="n">
        <v>0.815</v>
      </c>
      <c r="G24" s="27" t="n">
        <v>1.12</v>
      </c>
      <c r="H24" s="8" t="s">
        <v>517</v>
      </c>
    </row>
    <row r="25" customFormat="false" ht="15" hidden="false" customHeight="false" outlineLevel="0" collapsed="false">
      <c r="A25" s="8" t="s">
        <v>531</v>
      </c>
      <c r="B25" s="8" t="s">
        <v>515</v>
      </c>
      <c r="C25" s="26" t="n">
        <v>6</v>
      </c>
      <c r="D25" s="26" t="n">
        <v>2</v>
      </c>
      <c r="E25" s="26" t="n">
        <v>6</v>
      </c>
      <c r="F25" s="27" t="n">
        <v>0.789</v>
      </c>
      <c r="G25" s="27" t="n">
        <v>6.18</v>
      </c>
      <c r="H25" s="8" t="s">
        <v>517</v>
      </c>
    </row>
    <row r="26" customFormat="false" ht="15" hidden="false" customHeight="false" outlineLevel="0" collapsed="false">
      <c r="A26" s="8" t="s">
        <v>532</v>
      </c>
      <c r="B26" s="8" t="s">
        <v>515</v>
      </c>
      <c r="C26" s="26" t="n">
        <v>7</v>
      </c>
      <c r="D26" s="26" t="n">
        <v>2</v>
      </c>
      <c r="E26" s="26" t="n">
        <v>10.5</v>
      </c>
      <c r="F26" s="27" t="n">
        <v>0.706</v>
      </c>
      <c r="G26" s="27" t="n">
        <v>4.42</v>
      </c>
      <c r="H26" s="8" t="s">
        <v>517</v>
      </c>
    </row>
    <row r="27" customFormat="false" ht="15" hidden="false" customHeight="false" outlineLevel="0" collapsed="false">
      <c r="A27" s="8" t="s">
        <v>533</v>
      </c>
      <c r="B27" s="8" t="s">
        <v>515</v>
      </c>
      <c r="C27" s="26" t="n">
        <v>7</v>
      </c>
      <c r="D27" s="26" t="n">
        <v>2</v>
      </c>
      <c r="E27" s="26" t="n">
        <v>10</v>
      </c>
      <c r="F27" s="27" t="n">
        <v>0.687</v>
      </c>
      <c r="G27" s="27" t="n">
        <v>2.15</v>
      </c>
      <c r="H27" s="8" t="s">
        <v>526</v>
      </c>
    </row>
    <row r="28" customFormat="false" ht="15" hidden="false" customHeight="false" outlineLevel="0" collapsed="false">
      <c r="A28" s="8" t="s">
        <v>524</v>
      </c>
      <c r="B28" s="8" t="s">
        <v>513</v>
      </c>
      <c r="C28" s="26" t="n">
        <v>7</v>
      </c>
      <c r="D28" s="26" t="n">
        <v>2</v>
      </c>
      <c r="E28" s="26" t="n">
        <v>10.5</v>
      </c>
      <c r="F28" s="27" t="n">
        <v>0.671</v>
      </c>
      <c r="G28" s="27" t="n">
        <v>1.98</v>
      </c>
      <c r="H28" s="8" t="s">
        <v>526</v>
      </c>
    </row>
    <row r="29" customFormat="false" ht="15" hidden="false" customHeight="false" outlineLevel="0" collapsed="false">
      <c r="A29" s="8" t="s">
        <v>527</v>
      </c>
      <c r="B29" s="8" t="s">
        <v>513</v>
      </c>
      <c r="C29" s="26" t="n">
        <v>6</v>
      </c>
      <c r="D29" s="26" t="n">
        <v>2</v>
      </c>
      <c r="E29" s="26" t="n">
        <v>11</v>
      </c>
      <c r="F29" s="27" t="n">
        <v>0.649</v>
      </c>
      <c r="G29" s="27" t="n">
        <v>1.64</v>
      </c>
      <c r="H29" s="8" t="s">
        <v>526</v>
      </c>
    </row>
    <row r="30" customFormat="false" ht="15" hidden="false" customHeight="false" outlineLevel="0" collapsed="false">
      <c r="A30" s="8" t="s">
        <v>525</v>
      </c>
      <c r="B30" s="8" t="s">
        <v>513</v>
      </c>
      <c r="C30" s="26" t="n">
        <v>6</v>
      </c>
      <c r="D30" s="26" t="n">
        <v>2</v>
      </c>
      <c r="E30" s="26" t="n">
        <v>12</v>
      </c>
      <c r="F30" s="27" t="n">
        <v>0.639</v>
      </c>
      <c r="G30" s="27" t="n">
        <v>1.5</v>
      </c>
      <c r="H30" s="8" t="s">
        <v>526</v>
      </c>
    </row>
    <row r="31" customFormat="false" ht="15" hidden="false" customHeight="false" outlineLevel="0" collapsed="false">
      <c r="A31" s="8" t="s">
        <v>534</v>
      </c>
      <c r="B31" s="8" t="s">
        <v>515</v>
      </c>
      <c r="C31" s="26" t="n">
        <v>8</v>
      </c>
      <c r="D31" s="26" t="n">
        <v>2</v>
      </c>
      <c r="E31" s="26" t="n">
        <v>13</v>
      </c>
      <c r="F31" s="27" t="n">
        <v>0.59</v>
      </c>
      <c r="G31" s="27" t="n">
        <v>3.32</v>
      </c>
      <c r="H31" s="8" t="s">
        <v>526</v>
      </c>
    </row>
    <row r="32" customFormat="false" ht="15" hidden="false" customHeight="false" outlineLevel="0" collapsed="false">
      <c r="A32" s="8" t="s">
        <v>535</v>
      </c>
      <c r="B32" s="8" t="s">
        <v>515</v>
      </c>
      <c r="C32" s="26" t="n">
        <v>8</v>
      </c>
      <c r="D32" s="26" t="n">
        <v>2</v>
      </c>
      <c r="E32" s="26" t="n">
        <v>14.5</v>
      </c>
      <c r="F32" s="27" t="n">
        <v>0.573</v>
      </c>
      <c r="G32" s="27" t="n">
        <v>3.19</v>
      </c>
      <c r="H32" s="8" t="s">
        <v>526</v>
      </c>
    </row>
    <row r="33" customFormat="false" ht="15" hidden="false" customHeight="false" outlineLevel="0" collapsed="false">
      <c r="A33" s="8" t="s">
        <v>533</v>
      </c>
      <c r="B33" s="8" t="s">
        <v>513</v>
      </c>
      <c r="C33" s="26" t="n">
        <v>4</v>
      </c>
      <c r="D33" s="26" t="n">
        <v>1</v>
      </c>
      <c r="E33" s="26" t="n">
        <v>4</v>
      </c>
      <c r="F33" s="27" t="n">
        <v>0.865</v>
      </c>
      <c r="G33" s="27" t="n">
        <v>1.75</v>
      </c>
      <c r="H33" s="8" t="s">
        <v>520</v>
      </c>
    </row>
    <row r="34" customFormat="false" ht="15" hidden="false" customHeight="false" outlineLevel="0" collapsed="false">
      <c r="A34" s="8" t="s">
        <v>523</v>
      </c>
      <c r="B34" s="8" t="s">
        <v>513</v>
      </c>
      <c r="C34" s="26" t="n">
        <v>5</v>
      </c>
      <c r="D34" s="26" t="n">
        <v>1</v>
      </c>
      <c r="E34" s="26" t="n">
        <v>7</v>
      </c>
      <c r="F34" s="27" t="n">
        <v>0.739</v>
      </c>
      <c r="G34" s="27" t="n">
        <v>1.61</v>
      </c>
      <c r="H34" s="8" t="s">
        <v>517</v>
      </c>
    </row>
    <row r="35" customFormat="false" ht="15" hidden="false" customHeight="false" outlineLevel="0" collapsed="false">
      <c r="A35" s="8" t="s">
        <v>529</v>
      </c>
      <c r="B35" s="8" t="s">
        <v>513</v>
      </c>
      <c r="C35" s="26" t="n">
        <v>4</v>
      </c>
      <c r="D35" s="26" t="n">
        <v>1</v>
      </c>
      <c r="E35" s="26" t="n">
        <v>10</v>
      </c>
      <c r="F35" s="27" t="n">
        <v>0.705</v>
      </c>
      <c r="G35" s="27" t="n">
        <v>1.61</v>
      </c>
      <c r="H35" s="8" t="s">
        <v>517</v>
      </c>
    </row>
    <row r="36" customFormat="false" ht="15" hidden="false" customHeight="false" outlineLevel="0" collapsed="false">
      <c r="A36" s="18" t="s">
        <v>536</v>
      </c>
    </row>
    <row r="38" customFormat="false" ht="54" hidden="false" customHeight="true" outlineLevel="0" collapsed="false">
      <c r="A38" s="7" t="s">
        <v>135</v>
      </c>
      <c r="B38" s="7" t="s">
        <v>136</v>
      </c>
      <c r="C38" s="7" t="s">
        <v>505</v>
      </c>
      <c r="D38" s="7" t="s">
        <v>537</v>
      </c>
      <c r="E38" s="7" t="s">
        <v>506</v>
      </c>
      <c r="F38" s="7" t="s">
        <v>538</v>
      </c>
      <c r="G38" s="7" t="s">
        <v>539</v>
      </c>
      <c r="H38" s="7" t="s">
        <v>540</v>
      </c>
      <c r="I38" s="7" t="s">
        <v>541</v>
      </c>
      <c r="J38" s="7" t="s">
        <v>542</v>
      </c>
      <c r="K38" s="7" t="s">
        <v>543</v>
      </c>
      <c r="L38" s="7" t="s">
        <v>544</v>
      </c>
      <c r="M38" s="7" t="s">
        <v>545</v>
      </c>
      <c r="N38" s="7" t="s">
        <v>546</v>
      </c>
    </row>
    <row r="39" customFormat="false" ht="15" hidden="false" customHeight="false" outlineLevel="0" collapsed="false">
      <c r="A39" s="51" t="s">
        <v>23</v>
      </c>
      <c r="B39" s="51" t="s">
        <v>148</v>
      </c>
      <c r="C39" s="51" t="s">
        <v>47</v>
      </c>
      <c r="D39" s="51" t="s">
        <v>547</v>
      </c>
      <c r="E39" s="51" t="s">
        <v>513</v>
      </c>
      <c r="F39" s="52" t="n">
        <v>-10035.04</v>
      </c>
      <c r="G39" s="52" t="n">
        <v>10184.86</v>
      </c>
      <c r="H39" s="53" t="n">
        <v>1.0035</v>
      </c>
      <c r="I39" s="52" t="n">
        <v>50</v>
      </c>
      <c r="J39" s="51" t="s">
        <v>548</v>
      </c>
      <c r="K39" s="54" t="n">
        <f aca="false">IF(G39=0,"",F39/G39)</f>
        <v>-0.985289930347594</v>
      </c>
      <c r="L39" s="55" t="n">
        <v>0.43</v>
      </c>
      <c r="M39" s="52" t="n">
        <v>800</v>
      </c>
      <c r="N39" s="51" t="s">
        <v>549</v>
      </c>
    </row>
    <row r="40" customFormat="false" ht="15" hidden="false" customHeight="false" outlineLevel="0" collapsed="false">
      <c r="A40" s="51" t="s">
        <v>23</v>
      </c>
      <c r="B40" s="51" t="s">
        <v>148</v>
      </c>
      <c r="C40" s="51" t="s">
        <v>47</v>
      </c>
      <c r="D40" s="51" t="s">
        <v>547</v>
      </c>
      <c r="E40" s="51" t="s">
        <v>515</v>
      </c>
      <c r="F40" s="52" t="n">
        <v>-10035.04</v>
      </c>
      <c r="G40" s="52" t="n">
        <v>10184.86</v>
      </c>
      <c r="H40" s="53" t="n">
        <v>1.0035</v>
      </c>
      <c r="I40" s="52" t="n">
        <v>50</v>
      </c>
      <c r="J40" s="51" t="s">
        <v>548</v>
      </c>
      <c r="K40" s="54" t="n">
        <f aca="false">IF(G40=0,"",F40/G40)</f>
        <v>-0.985289930347594</v>
      </c>
      <c r="L40" s="55" t="n">
        <v>0.43</v>
      </c>
      <c r="M40" s="52" t="n">
        <v>800</v>
      </c>
      <c r="N40" s="51" t="s">
        <v>549</v>
      </c>
    </row>
    <row r="41" customFormat="false" ht="15" hidden="false" customHeight="false" outlineLevel="0" collapsed="false">
      <c r="A41" s="51" t="s">
        <v>23</v>
      </c>
      <c r="B41" s="51" t="s">
        <v>148</v>
      </c>
      <c r="C41" s="51" t="s">
        <v>535</v>
      </c>
      <c r="D41" s="51" t="s">
        <v>550</v>
      </c>
      <c r="E41" s="51" t="s">
        <v>513</v>
      </c>
      <c r="F41" s="52" t="n">
        <v>-10147.44</v>
      </c>
      <c r="G41" s="52" t="n">
        <v>12750</v>
      </c>
      <c r="H41" s="53" t="n">
        <v>1.0117</v>
      </c>
      <c r="I41" s="52" t="n">
        <v>6400</v>
      </c>
      <c r="J41" s="51" t="s">
        <v>551</v>
      </c>
      <c r="K41" s="54" t="n">
        <f aca="false">IF(G41=0,"",F41/G41)</f>
        <v>-0.795877647058824</v>
      </c>
      <c r="L41" s="55" t="n">
        <v>0.432</v>
      </c>
      <c r="M41" s="52" t="n">
        <v>12750</v>
      </c>
      <c r="N41" s="51" t="s">
        <v>549</v>
      </c>
    </row>
    <row r="42" customFormat="false" ht="15" hidden="false" customHeight="false" outlineLevel="0" collapsed="false">
      <c r="A42" s="51" t="s">
        <v>23</v>
      </c>
      <c r="B42" s="51" t="s">
        <v>148</v>
      </c>
      <c r="C42" s="51" t="s">
        <v>535</v>
      </c>
      <c r="D42" s="51" t="s">
        <v>550</v>
      </c>
      <c r="E42" s="51" t="s">
        <v>515</v>
      </c>
      <c r="F42" s="52" t="n">
        <v>-10237.77</v>
      </c>
      <c r="G42" s="52" t="n">
        <v>10715.68</v>
      </c>
      <c r="H42" s="53" t="n">
        <v>1.0227</v>
      </c>
      <c r="I42" s="52" t="n">
        <v>500</v>
      </c>
      <c r="J42" s="51" t="s">
        <v>552</v>
      </c>
      <c r="K42" s="54" t="n">
        <f aca="false">IF(G42=0,"",F42/G42)</f>
        <v>-0.955400870500052</v>
      </c>
      <c r="L42" s="55" t="n">
        <v>0.346</v>
      </c>
      <c r="M42" s="52" t="n">
        <v>5000</v>
      </c>
      <c r="N42" s="51" t="s">
        <v>549</v>
      </c>
    </row>
    <row r="43" customFormat="false" ht="15" hidden="false" customHeight="false" outlineLevel="0" collapsed="false">
      <c r="A43" s="51" t="s">
        <v>23</v>
      </c>
      <c r="B43" s="51" t="s">
        <v>148</v>
      </c>
      <c r="C43" s="51" t="s">
        <v>527</v>
      </c>
      <c r="D43" s="51" t="s">
        <v>553</v>
      </c>
      <c r="E43" s="51" t="s">
        <v>513</v>
      </c>
      <c r="F43" s="52" t="n">
        <v>-10095.38</v>
      </c>
      <c r="G43" s="52" t="n">
        <v>10315.54</v>
      </c>
      <c r="H43" s="53" t="n">
        <v>1.0093</v>
      </c>
      <c r="I43" s="52" t="n">
        <v>2616.39</v>
      </c>
      <c r="J43" s="51" t="s">
        <v>554</v>
      </c>
      <c r="K43" s="54" t="n">
        <f aca="false">IF(G43=0,"",F43/G43)</f>
        <v>-0.978657443042245</v>
      </c>
      <c r="L43" s="55" t="n">
        <v>0.21</v>
      </c>
      <c r="M43" s="52" t="n">
        <v>9679.74</v>
      </c>
      <c r="N43" s="51" t="s">
        <v>549</v>
      </c>
    </row>
    <row r="44" customFormat="false" ht="15" hidden="false" customHeight="false" outlineLevel="0" collapsed="false">
      <c r="A44" s="51" t="s">
        <v>23</v>
      </c>
      <c r="B44" s="51" t="s">
        <v>148</v>
      </c>
      <c r="C44" s="51" t="s">
        <v>527</v>
      </c>
      <c r="D44" s="51" t="s">
        <v>553</v>
      </c>
      <c r="E44" s="51" t="s">
        <v>515</v>
      </c>
      <c r="F44" s="52" t="n">
        <v>-10168.81</v>
      </c>
      <c r="G44" s="52" t="n">
        <v>10388.98</v>
      </c>
      <c r="H44" s="53" t="n">
        <v>1.0165</v>
      </c>
      <c r="I44" s="52" t="n">
        <v>500</v>
      </c>
      <c r="J44" s="51" t="s">
        <v>555</v>
      </c>
      <c r="K44" s="54" t="n">
        <f aca="false">IF(G44=0,"",F44/G44)</f>
        <v>-0.978807351636061</v>
      </c>
      <c r="L44" s="55" t="n">
        <v>0.34</v>
      </c>
      <c r="M44" s="52" t="n">
        <v>4802.46</v>
      </c>
      <c r="N44" s="51" t="s">
        <v>549</v>
      </c>
    </row>
    <row r="45" customFormat="false" ht="15" hidden="false" customHeight="false" outlineLevel="0" collapsed="false">
      <c r="A45" s="51" t="s">
        <v>23</v>
      </c>
      <c r="B45" s="51" t="s">
        <v>148</v>
      </c>
      <c r="C45" s="51" t="s">
        <v>529</v>
      </c>
      <c r="D45" s="51" t="s">
        <v>556</v>
      </c>
      <c r="E45" s="51" t="s">
        <v>513</v>
      </c>
      <c r="F45" s="52" t="n">
        <v>-10064.5</v>
      </c>
      <c r="G45" s="52" t="n">
        <v>10315.47</v>
      </c>
      <c r="H45" s="53" t="n">
        <v>1.0063</v>
      </c>
      <c r="I45" s="52" t="n">
        <v>3471.82</v>
      </c>
      <c r="J45" s="51" t="s">
        <v>557</v>
      </c>
      <c r="K45" s="54" t="n">
        <f aca="false">IF(G45=0,"",F45/G45)</f>
        <v>-0.975670522041167</v>
      </c>
      <c r="L45" s="55" t="n">
        <v>0.262</v>
      </c>
      <c r="M45" s="52" t="n">
        <v>10234.85</v>
      </c>
      <c r="N45" s="51" t="s">
        <v>549</v>
      </c>
    </row>
    <row r="46" customFormat="false" ht="15" hidden="false" customHeight="false" outlineLevel="0" collapsed="false">
      <c r="A46" s="51" t="s">
        <v>23</v>
      </c>
      <c r="B46" s="51" t="s">
        <v>148</v>
      </c>
      <c r="C46" s="51" t="s">
        <v>529</v>
      </c>
      <c r="D46" s="51" t="s">
        <v>556</v>
      </c>
      <c r="E46" s="51" t="s">
        <v>515</v>
      </c>
      <c r="F46" s="52" t="n">
        <v>-10061.26</v>
      </c>
      <c r="G46" s="52" t="n">
        <v>10312.23</v>
      </c>
      <c r="H46" s="53" t="n">
        <v>1.006</v>
      </c>
      <c r="I46" s="52" t="n">
        <v>500</v>
      </c>
      <c r="J46" s="51" t="s">
        <v>558</v>
      </c>
      <c r="K46" s="54" t="n">
        <f aca="false">IF(G46=0,"",F46/G46)</f>
        <v>-0.975662877961411</v>
      </c>
      <c r="L46" s="55" t="n">
        <v>0.36</v>
      </c>
      <c r="M46" s="52" t="n">
        <v>4962.48</v>
      </c>
      <c r="N46" s="51" t="s">
        <v>549</v>
      </c>
    </row>
    <row r="47" customFormat="false" ht="15" hidden="false" customHeight="false" outlineLevel="0" collapsed="false">
      <c r="A47" s="51" t="s">
        <v>23</v>
      </c>
      <c r="B47" s="51" t="s">
        <v>148</v>
      </c>
      <c r="C47" s="51" t="s">
        <v>534</v>
      </c>
      <c r="D47" s="51" t="s">
        <v>559</v>
      </c>
      <c r="E47" s="51" t="s">
        <v>513</v>
      </c>
      <c r="F47" s="52" t="n">
        <v>-10147.44</v>
      </c>
      <c r="G47" s="52" t="n">
        <v>12750</v>
      </c>
      <c r="H47" s="53" t="n">
        <v>1.0117</v>
      </c>
      <c r="I47" s="52" t="n">
        <v>6400</v>
      </c>
      <c r="J47" s="51" t="s">
        <v>551</v>
      </c>
      <c r="K47" s="54" t="n">
        <f aca="false">IF(G47=0,"",F47/G47)</f>
        <v>-0.795877647058824</v>
      </c>
      <c r="L47" s="55" t="n">
        <v>0.432</v>
      </c>
      <c r="M47" s="52" t="n">
        <v>12750</v>
      </c>
      <c r="N47" s="51" t="s">
        <v>549</v>
      </c>
    </row>
    <row r="48" customFormat="false" ht="15" hidden="false" customHeight="false" outlineLevel="0" collapsed="false">
      <c r="A48" s="51" t="s">
        <v>23</v>
      </c>
      <c r="B48" s="51" t="s">
        <v>148</v>
      </c>
      <c r="C48" s="51" t="s">
        <v>534</v>
      </c>
      <c r="D48" s="51" t="s">
        <v>559</v>
      </c>
      <c r="E48" s="51" t="s">
        <v>515</v>
      </c>
      <c r="F48" s="52" t="n">
        <v>-10237.77</v>
      </c>
      <c r="G48" s="52" t="n">
        <v>10715.68</v>
      </c>
      <c r="H48" s="53" t="n">
        <v>1.0227</v>
      </c>
      <c r="I48" s="52" t="n">
        <v>500</v>
      </c>
      <c r="J48" s="51" t="s">
        <v>552</v>
      </c>
      <c r="K48" s="54" t="n">
        <f aca="false">IF(G48=0,"",F48/G48)</f>
        <v>-0.955400870500052</v>
      </c>
      <c r="L48" s="55" t="n">
        <v>0.346</v>
      </c>
      <c r="M48" s="52" t="n">
        <v>5000</v>
      </c>
      <c r="N48" s="51" t="s">
        <v>549</v>
      </c>
    </row>
    <row r="49" customFormat="false" ht="15" hidden="false" customHeight="false" outlineLevel="0" collapsed="false">
      <c r="A49" s="51" t="s">
        <v>23</v>
      </c>
      <c r="B49" s="51" t="s">
        <v>148</v>
      </c>
      <c r="C49" s="51" t="s">
        <v>530</v>
      </c>
      <c r="D49" s="51" t="s">
        <v>560</v>
      </c>
      <c r="E49" s="51" t="s">
        <v>513</v>
      </c>
      <c r="F49" s="52" t="n">
        <v>-10064.5</v>
      </c>
      <c r="G49" s="52" t="n">
        <v>10315.47</v>
      </c>
      <c r="H49" s="53" t="n">
        <v>1.0063</v>
      </c>
      <c r="I49" s="52" t="n">
        <v>3471.82</v>
      </c>
      <c r="J49" s="51" t="s">
        <v>557</v>
      </c>
      <c r="K49" s="54" t="n">
        <f aca="false">IF(G49=0,"",F49/G49)</f>
        <v>-0.975670522041167</v>
      </c>
      <c r="L49" s="55" t="n">
        <v>0.262</v>
      </c>
      <c r="M49" s="52" t="n">
        <v>10234.85</v>
      </c>
      <c r="N49" s="51" t="s">
        <v>549</v>
      </c>
    </row>
    <row r="50" customFormat="false" ht="15" hidden="false" customHeight="false" outlineLevel="0" collapsed="false">
      <c r="A50" s="51" t="s">
        <v>23</v>
      </c>
      <c r="B50" s="51" t="s">
        <v>148</v>
      </c>
      <c r="C50" s="51" t="s">
        <v>530</v>
      </c>
      <c r="D50" s="51" t="s">
        <v>560</v>
      </c>
      <c r="E50" s="51" t="s">
        <v>515</v>
      </c>
      <c r="F50" s="52" t="n">
        <v>-10061.26</v>
      </c>
      <c r="G50" s="52" t="n">
        <v>10312.23</v>
      </c>
      <c r="H50" s="53" t="n">
        <v>1.006</v>
      </c>
      <c r="I50" s="52" t="n">
        <v>500</v>
      </c>
      <c r="J50" s="51" t="s">
        <v>558</v>
      </c>
      <c r="K50" s="54" t="n">
        <f aca="false">IF(G50=0,"",F50/G50)</f>
        <v>-0.975662877961411</v>
      </c>
      <c r="L50" s="55" t="n">
        <v>0.36</v>
      </c>
      <c r="M50" s="52" t="n">
        <v>4962.48</v>
      </c>
      <c r="N50" s="51" t="s">
        <v>549</v>
      </c>
    </row>
    <row r="51" customFormat="false" ht="15" hidden="false" customHeight="false" outlineLevel="0" collapsed="false">
      <c r="A51" s="51" t="s">
        <v>23</v>
      </c>
      <c r="B51" s="51" t="s">
        <v>148</v>
      </c>
      <c r="C51" s="51" t="s">
        <v>524</v>
      </c>
      <c r="D51" s="51" t="s">
        <v>561</v>
      </c>
      <c r="E51" s="51" t="s">
        <v>513</v>
      </c>
      <c r="F51" s="52" t="n">
        <v>-10355.75</v>
      </c>
      <c r="G51" s="52" t="n">
        <v>10663.18</v>
      </c>
      <c r="H51" s="53" t="n">
        <v>1.0345</v>
      </c>
      <c r="I51" s="52" t="n">
        <v>850</v>
      </c>
      <c r="J51" s="51" t="s">
        <v>552</v>
      </c>
      <c r="K51" s="54" t="n">
        <f aca="false">IF(G51=0,"",F51/G51)</f>
        <v>-0.971169013371246</v>
      </c>
      <c r="L51" s="55" t="n">
        <v>0.315</v>
      </c>
      <c r="M51" s="52" t="n">
        <v>5375</v>
      </c>
      <c r="N51" s="51" t="s">
        <v>549</v>
      </c>
    </row>
    <row r="52" customFormat="false" ht="15" hidden="false" customHeight="false" outlineLevel="0" collapsed="false">
      <c r="A52" s="51" t="s">
        <v>23</v>
      </c>
      <c r="B52" s="51" t="s">
        <v>148</v>
      </c>
      <c r="C52" s="51" t="s">
        <v>524</v>
      </c>
      <c r="D52" s="51" t="s">
        <v>561</v>
      </c>
      <c r="E52" s="51" t="s">
        <v>515</v>
      </c>
      <c r="F52" s="52" t="n">
        <v>-10028.78</v>
      </c>
      <c r="G52" s="52" t="n">
        <v>10336.21</v>
      </c>
      <c r="H52" s="53" t="n">
        <v>1.0028</v>
      </c>
      <c r="I52" s="52" t="n">
        <v>500</v>
      </c>
      <c r="J52" s="51" t="s">
        <v>562</v>
      </c>
      <c r="K52" s="54" t="n">
        <f aca="false">IF(G52=0,"",F52/G52)</f>
        <v>-0.970256989747693</v>
      </c>
      <c r="L52" s="55" t="n">
        <v>0.284</v>
      </c>
      <c r="M52" s="52" t="n">
        <v>4850</v>
      </c>
      <c r="N52" s="51" t="s">
        <v>549</v>
      </c>
    </row>
    <row r="53" customFormat="false" ht="15" hidden="false" customHeight="false" outlineLevel="0" collapsed="false">
      <c r="A53" s="51" t="s">
        <v>23</v>
      </c>
      <c r="B53" s="51" t="s">
        <v>148</v>
      </c>
      <c r="C53" s="51" t="s">
        <v>533</v>
      </c>
      <c r="D53" s="51" t="s">
        <v>563</v>
      </c>
      <c r="E53" s="51" t="s">
        <v>513</v>
      </c>
      <c r="F53" s="52" t="n">
        <v>-12330.82</v>
      </c>
      <c r="G53" s="52" t="n">
        <v>13915.26</v>
      </c>
      <c r="H53" s="53" t="n">
        <v>1.2012</v>
      </c>
      <c r="I53" s="52" t="n">
        <v>7200</v>
      </c>
      <c r="J53" s="51" t="s">
        <v>564</v>
      </c>
      <c r="K53" s="54" t="n">
        <f aca="false">IF(G53=0,"",F53/G53)</f>
        <v>-0.886136514876474</v>
      </c>
      <c r="L53" s="55" t="n">
        <v>0.473</v>
      </c>
      <c r="M53" s="52" t="n">
        <v>11650</v>
      </c>
      <c r="N53" s="51" t="s">
        <v>549</v>
      </c>
    </row>
    <row r="54" customFormat="false" ht="15" hidden="false" customHeight="false" outlineLevel="0" collapsed="false">
      <c r="A54" s="51" t="s">
        <v>23</v>
      </c>
      <c r="B54" s="51" t="s">
        <v>148</v>
      </c>
      <c r="C54" s="51" t="s">
        <v>533</v>
      </c>
      <c r="D54" s="51" t="s">
        <v>563</v>
      </c>
      <c r="E54" s="51" t="s">
        <v>515</v>
      </c>
      <c r="F54" s="52" t="n">
        <v>-10238.92</v>
      </c>
      <c r="G54" s="52" t="n">
        <v>10465.68</v>
      </c>
      <c r="H54" s="53" t="n">
        <v>1.0234</v>
      </c>
      <c r="I54" s="52" t="n">
        <v>500</v>
      </c>
      <c r="J54" s="51" t="s">
        <v>565</v>
      </c>
      <c r="K54" s="54" t="n">
        <f aca="false">IF(G54=0,"",F54/G54)</f>
        <v>-0.978332989351862</v>
      </c>
      <c r="L54" s="55" t="n">
        <v>0.329</v>
      </c>
      <c r="M54" s="52" t="n">
        <v>5000</v>
      </c>
      <c r="N54" s="51" t="s">
        <v>549</v>
      </c>
    </row>
    <row r="55" customFormat="false" ht="15" hidden="false" customHeight="false" outlineLevel="0" collapsed="false">
      <c r="A55" s="51" t="s">
        <v>23</v>
      </c>
      <c r="B55" s="51" t="s">
        <v>148</v>
      </c>
      <c r="C55" s="51" t="s">
        <v>523</v>
      </c>
      <c r="D55" s="51" t="s">
        <v>566</v>
      </c>
      <c r="E55" s="51" t="s">
        <v>513</v>
      </c>
      <c r="F55" s="52" t="n">
        <v>-11030.38</v>
      </c>
      <c r="G55" s="52" t="n">
        <v>11431.75</v>
      </c>
      <c r="H55" s="53" t="n">
        <v>1.0991</v>
      </c>
      <c r="I55" s="52" t="n">
        <v>1100</v>
      </c>
      <c r="J55" s="51" t="s">
        <v>557</v>
      </c>
      <c r="K55" s="54" t="n">
        <f aca="false">IF(G55=0,"",F55/G55)</f>
        <v>-0.964889889999344</v>
      </c>
      <c r="L55" s="55" t="n">
        <v>0.255</v>
      </c>
      <c r="M55" s="52" t="n">
        <v>8750</v>
      </c>
      <c r="N55" s="51" t="s">
        <v>549</v>
      </c>
    </row>
    <row r="56" customFormat="false" ht="15" hidden="false" customHeight="false" outlineLevel="0" collapsed="false">
      <c r="A56" s="51" t="s">
        <v>23</v>
      </c>
      <c r="B56" s="51" t="s">
        <v>148</v>
      </c>
      <c r="C56" s="51" t="s">
        <v>523</v>
      </c>
      <c r="D56" s="51" t="s">
        <v>566</v>
      </c>
      <c r="E56" s="51" t="s">
        <v>515</v>
      </c>
      <c r="F56" s="52" t="n">
        <v>-10243.93</v>
      </c>
      <c r="G56" s="52" t="n">
        <v>10645.29</v>
      </c>
      <c r="H56" s="53" t="n">
        <v>1.0235</v>
      </c>
      <c r="I56" s="52" t="n">
        <v>500</v>
      </c>
      <c r="J56" s="51" t="s">
        <v>565</v>
      </c>
      <c r="K56" s="54" t="n">
        <f aca="false">IF(G56=0,"",F56/G56)</f>
        <v>-0.962296940712747</v>
      </c>
      <c r="L56" s="55" t="n">
        <v>0.328</v>
      </c>
      <c r="M56" s="52" t="n">
        <v>5000</v>
      </c>
      <c r="N56" s="51" t="s">
        <v>549</v>
      </c>
    </row>
    <row r="57" customFormat="false" ht="15" hidden="false" customHeight="false" outlineLevel="0" collapsed="false">
      <c r="A57" s="51" t="s">
        <v>23</v>
      </c>
      <c r="B57" s="51" t="s">
        <v>148</v>
      </c>
      <c r="C57" s="51" t="s">
        <v>519</v>
      </c>
      <c r="D57" s="51" t="s">
        <v>567</v>
      </c>
      <c r="E57" s="51" t="s">
        <v>513</v>
      </c>
      <c r="F57" s="52" t="n">
        <v>-12514.58</v>
      </c>
      <c r="G57" s="52" t="n">
        <v>12664.41</v>
      </c>
      <c r="H57" s="53" t="n">
        <v>1.2477</v>
      </c>
      <c r="I57" s="52" t="n">
        <v>3166.1</v>
      </c>
      <c r="J57" s="51" t="s">
        <v>568</v>
      </c>
      <c r="K57" s="54" t="n">
        <f aca="false">IF(G57=0,"",F57/G57)</f>
        <v>-0.988169208040485</v>
      </c>
      <c r="L57" s="55" t="n">
        <v>0.226</v>
      </c>
      <c r="M57" s="52" t="n">
        <v>8657.31</v>
      </c>
      <c r="N57" s="51" t="s">
        <v>549</v>
      </c>
    </row>
    <row r="58" customFormat="false" ht="15" hidden="false" customHeight="false" outlineLevel="0" collapsed="false">
      <c r="A58" s="51" t="s">
        <v>23</v>
      </c>
      <c r="B58" s="51" t="s">
        <v>148</v>
      </c>
      <c r="C58" s="51" t="s">
        <v>519</v>
      </c>
      <c r="D58" s="51" t="s">
        <v>567</v>
      </c>
      <c r="E58" s="51" t="s">
        <v>515</v>
      </c>
      <c r="F58" s="52" t="n">
        <v>-10456.31</v>
      </c>
      <c r="G58" s="52" t="n">
        <v>10606.13</v>
      </c>
      <c r="H58" s="53" t="n">
        <v>1.045</v>
      </c>
      <c r="I58" s="52" t="n">
        <v>500</v>
      </c>
      <c r="J58" s="51" t="s">
        <v>569</v>
      </c>
      <c r="K58" s="54" t="n">
        <f aca="false">IF(G58=0,"",F58/G58)</f>
        <v>-0.985874206708762</v>
      </c>
      <c r="L58" s="55" t="n">
        <v>0.312</v>
      </c>
      <c r="M58" s="52" t="n">
        <v>3643.61</v>
      </c>
      <c r="N58" s="51" t="s">
        <v>549</v>
      </c>
    </row>
    <row r="59" customFormat="false" ht="15" hidden="false" customHeight="false" outlineLevel="0" collapsed="false">
      <c r="A59" s="51" t="s">
        <v>23</v>
      </c>
      <c r="B59" s="51" t="s">
        <v>148</v>
      </c>
      <c r="C59" s="51" t="s">
        <v>528</v>
      </c>
      <c r="D59" s="51" t="s">
        <v>570</v>
      </c>
      <c r="E59" s="51" t="s">
        <v>513</v>
      </c>
      <c r="F59" s="52" t="n">
        <v>-12514.58</v>
      </c>
      <c r="G59" s="52" t="n">
        <v>12664.41</v>
      </c>
      <c r="H59" s="53" t="n">
        <v>1.2477</v>
      </c>
      <c r="I59" s="52" t="n">
        <v>3166.1</v>
      </c>
      <c r="J59" s="51" t="s">
        <v>568</v>
      </c>
      <c r="K59" s="54" t="n">
        <f aca="false">IF(G59=0,"",F59/G59)</f>
        <v>-0.988169208040485</v>
      </c>
      <c r="L59" s="55" t="n">
        <v>0.226</v>
      </c>
      <c r="M59" s="52" t="n">
        <v>8657.31</v>
      </c>
      <c r="N59" s="51" t="s">
        <v>549</v>
      </c>
    </row>
    <row r="60" customFormat="false" ht="15" hidden="false" customHeight="false" outlineLevel="0" collapsed="false">
      <c r="A60" s="51" t="s">
        <v>23</v>
      </c>
      <c r="B60" s="51" t="s">
        <v>148</v>
      </c>
      <c r="C60" s="51" t="s">
        <v>528</v>
      </c>
      <c r="D60" s="51" t="s">
        <v>570</v>
      </c>
      <c r="E60" s="51" t="s">
        <v>515</v>
      </c>
      <c r="F60" s="52" t="n">
        <v>-10456.31</v>
      </c>
      <c r="G60" s="52" t="n">
        <v>10606.13</v>
      </c>
      <c r="H60" s="53" t="n">
        <v>1.045</v>
      </c>
      <c r="I60" s="52" t="n">
        <v>500</v>
      </c>
      <c r="J60" s="51" t="s">
        <v>569</v>
      </c>
      <c r="K60" s="54" t="n">
        <f aca="false">IF(G60=0,"",F60/G60)</f>
        <v>-0.985874206708762</v>
      </c>
      <c r="L60" s="55" t="n">
        <v>0.312</v>
      </c>
      <c r="M60" s="52" t="n">
        <v>3643.61</v>
      </c>
      <c r="N60" s="51" t="s">
        <v>549</v>
      </c>
    </row>
    <row r="61" customFormat="false" ht="15" hidden="false" customHeight="false" outlineLevel="0" collapsed="false">
      <c r="A61" s="51" t="s">
        <v>23</v>
      </c>
      <c r="B61" s="51" t="s">
        <v>148</v>
      </c>
      <c r="C61" s="51" t="s">
        <v>531</v>
      </c>
      <c r="D61" s="51" t="s">
        <v>571</v>
      </c>
      <c r="E61" s="51" t="s">
        <v>513</v>
      </c>
      <c r="F61" s="52" t="n">
        <v>-11970.03</v>
      </c>
      <c r="G61" s="52" t="n">
        <v>13050.53</v>
      </c>
      <c r="H61" s="53" t="n">
        <v>1.1778</v>
      </c>
      <c r="I61" s="52" t="n">
        <v>2450</v>
      </c>
      <c r="J61" s="51" t="s">
        <v>572</v>
      </c>
      <c r="K61" s="54" t="n">
        <f aca="false">IF(G61=0,"",F61/G61)</f>
        <v>-0.917206427631675</v>
      </c>
      <c r="L61" s="55" t="n">
        <v>0.4</v>
      </c>
      <c r="M61" s="52" t="n">
        <v>8300</v>
      </c>
      <c r="N61" s="51" t="s">
        <v>549</v>
      </c>
    </row>
    <row r="62" customFormat="false" ht="15" hidden="false" customHeight="false" outlineLevel="0" collapsed="false">
      <c r="A62" s="51" t="s">
        <v>23</v>
      </c>
      <c r="B62" s="51" t="s">
        <v>148</v>
      </c>
      <c r="C62" s="51" t="s">
        <v>531</v>
      </c>
      <c r="D62" s="51" t="s">
        <v>571</v>
      </c>
      <c r="E62" s="51" t="s">
        <v>515</v>
      </c>
      <c r="F62" s="52" t="n">
        <v>-10335.18</v>
      </c>
      <c r="G62" s="52" t="n">
        <v>11415.68</v>
      </c>
      <c r="H62" s="53" t="n">
        <v>1.0302</v>
      </c>
      <c r="I62" s="52" t="n">
        <v>500</v>
      </c>
      <c r="J62" s="51" t="s">
        <v>565</v>
      </c>
      <c r="K62" s="54" t="n">
        <f aca="false">IF(G62=0,"",F62/G62)</f>
        <v>-0.905349484218198</v>
      </c>
      <c r="L62" s="55" t="n">
        <v>0.379</v>
      </c>
      <c r="M62" s="52" t="n">
        <v>5000</v>
      </c>
      <c r="N62" s="51" t="s">
        <v>549</v>
      </c>
    </row>
    <row r="63" customFormat="false" ht="15" hidden="false" customHeight="false" outlineLevel="0" collapsed="false">
      <c r="A63" s="51" t="s">
        <v>23</v>
      </c>
      <c r="B63" s="51" t="s">
        <v>148</v>
      </c>
      <c r="C63" s="51" t="s">
        <v>532</v>
      </c>
      <c r="D63" s="51" t="s">
        <v>573</v>
      </c>
      <c r="E63" s="51" t="s">
        <v>513</v>
      </c>
      <c r="F63" s="52" t="n">
        <v>-11712.16</v>
      </c>
      <c r="G63" s="52" t="n">
        <v>14150</v>
      </c>
      <c r="H63" s="53" t="n">
        <v>1.1377</v>
      </c>
      <c r="I63" s="52" t="n">
        <v>6750</v>
      </c>
      <c r="J63" s="51" t="s">
        <v>551</v>
      </c>
      <c r="K63" s="54" t="n">
        <f aca="false">IF(G63=0,"",F63/G63)</f>
        <v>-0.827714487632509</v>
      </c>
      <c r="L63" s="55" t="n">
        <v>0.436</v>
      </c>
      <c r="M63" s="52" t="n">
        <v>14150</v>
      </c>
      <c r="N63" s="51" t="s">
        <v>549</v>
      </c>
    </row>
    <row r="64" customFormat="false" ht="15" hidden="false" customHeight="false" outlineLevel="0" collapsed="false">
      <c r="A64" s="51" t="s">
        <v>23</v>
      </c>
      <c r="B64" s="51" t="s">
        <v>148</v>
      </c>
      <c r="C64" s="51" t="s">
        <v>532</v>
      </c>
      <c r="D64" s="51" t="s">
        <v>573</v>
      </c>
      <c r="E64" s="51" t="s">
        <v>515</v>
      </c>
      <c r="F64" s="52" t="n">
        <v>-10440.74</v>
      </c>
      <c r="G64" s="52" t="n">
        <v>10965.68</v>
      </c>
      <c r="H64" s="53" t="n">
        <v>1.0419</v>
      </c>
      <c r="I64" s="52" t="n">
        <v>500</v>
      </c>
      <c r="J64" s="51" t="s">
        <v>552</v>
      </c>
      <c r="K64" s="54" t="n">
        <f aca="false">IF(G64=0,"",F64/G64)</f>
        <v>-0.952128823748276</v>
      </c>
      <c r="L64" s="55" t="n">
        <v>0.349</v>
      </c>
      <c r="M64" s="52" t="n">
        <v>5000</v>
      </c>
      <c r="N64" s="51" t="s">
        <v>549</v>
      </c>
    </row>
    <row r="65" customFormat="false" ht="15" hidden="false" customHeight="false" outlineLevel="0" collapsed="false">
      <c r="A65" s="51" t="s">
        <v>23</v>
      </c>
      <c r="B65" s="51" t="s">
        <v>148</v>
      </c>
      <c r="C65" s="51" t="s">
        <v>518</v>
      </c>
      <c r="D65" s="51" t="s">
        <v>574</v>
      </c>
      <c r="E65" s="51" t="s">
        <v>513</v>
      </c>
      <c r="F65" s="52" t="n">
        <v>-10023.55</v>
      </c>
      <c r="G65" s="52" t="n">
        <v>10188.93</v>
      </c>
      <c r="H65" s="53" t="n">
        <v>1.0023</v>
      </c>
      <c r="I65" s="52" t="n">
        <v>200</v>
      </c>
      <c r="J65" s="51" t="s">
        <v>575</v>
      </c>
      <c r="K65" s="54" t="n">
        <f aca="false">IF(G65=0,"",F65/G65)</f>
        <v>-0.983768658730603</v>
      </c>
      <c r="L65" s="55" t="n">
        <v>0.424</v>
      </c>
      <c r="M65" s="52" t="n">
        <v>850</v>
      </c>
      <c r="N65" s="51" t="s">
        <v>549</v>
      </c>
    </row>
    <row r="66" customFormat="false" ht="15" hidden="false" customHeight="false" outlineLevel="0" collapsed="false">
      <c r="A66" s="51" t="s">
        <v>23</v>
      </c>
      <c r="B66" s="51" t="s">
        <v>148</v>
      </c>
      <c r="C66" s="51" t="s">
        <v>518</v>
      </c>
      <c r="D66" s="51" t="s">
        <v>574</v>
      </c>
      <c r="E66" s="51" t="s">
        <v>515</v>
      </c>
      <c r="F66" s="52" t="n">
        <v>-10023.55</v>
      </c>
      <c r="G66" s="52" t="n">
        <v>10188.93</v>
      </c>
      <c r="H66" s="53" t="n">
        <v>1.0023</v>
      </c>
      <c r="I66" s="52" t="n">
        <v>200</v>
      </c>
      <c r="J66" s="51" t="s">
        <v>575</v>
      </c>
      <c r="K66" s="54" t="n">
        <f aca="false">IF(G66=0,"",F66/G66)</f>
        <v>-0.983768658730603</v>
      </c>
      <c r="L66" s="55" t="n">
        <v>0.424</v>
      </c>
      <c r="M66" s="52" t="n">
        <v>850</v>
      </c>
      <c r="N66" s="51" t="s">
        <v>549</v>
      </c>
    </row>
    <row r="67" customFormat="false" ht="15" hidden="false" customHeight="false" outlineLevel="0" collapsed="false">
      <c r="A67" s="51" t="s">
        <v>23</v>
      </c>
      <c r="B67" s="51" t="s">
        <v>148</v>
      </c>
      <c r="C67" s="51" t="s">
        <v>522</v>
      </c>
      <c r="D67" s="51" t="s">
        <v>576</v>
      </c>
      <c r="E67" s="51" t="s">
        <v>513</v>
      </c>
      <c r="F67" s="52" t="n">
        <v>-10034.3</v>
      </c>
      <c r="G67" s="52" t="n">
        <v>10199.68</v>
      </c>
      <c r="H67" s="53" t="n">
        <v>1.0034</v>
      </c>
      <c r="I67" s="52" t="n">
        <v>300</v>
      </c>
      <c r="J67" s="51" t="s">
        <v>577</v>
      </c>
      <c r="K67" s="54" t="n">
        <f aca="false">IF(G67=0,"",F67/G67)</f>
        <v>-0.983785765827947</v>
      </c>
      <c r="L67" s="55" t="n">
        <v>0.466</v>
      </c>
      <c r="M67" s="52" t="n">
        <v>850</v>
      </c>
      <c r="N67" s="51" t="s">
        <v>549</v>
      </c>
    </row>
    <row r="68" customFormat="false" ht="15" hidden="false" customHeight="false" outlineLevel="0" collapsed="false">
      <c r="A68" s="51" t="s">
        <v>23</v>
      </c>
      <c r="B68" s="51" t="s">
        <v>148</v>
      </c>
      <c r="C68" s="51" t="s">
        <v>522</v>
      </c>
      <c r="D68" s="51" t="s">
        <v>576</v>
      </c>
      <c r="E68" s="51" t="s">
        <v>515</v>
      </c>
      <c r="F68" s="52" t="n">
        <v>-10034.3</v>
      </c>
      <c r="G68" s="52" t="n">
        <v>10199.68</v>
      </c>
      <c r="H68" s="53" t="n">
        <v>1.0034</v>
      </c>
      <c r="I68" s="52" t="n">
        <v>300</v>
      </c>
      <c r="J68" s="51" t="s">
        <v>577</v>
      </c>
      <c r="K68" s="54" t="n">
        <f aca="false">IF(G68=0,"",F68/G68)</f>
        <v>-0.983785765827947</v>
      </c>
      <c r="L68" s="55" t="n">
        <v>0.466</v>
      </c>
      <c r="M68" s="52" t="n">
        <v>850</v>
      </c>
      <c r="N68" s="51" t="s">
        <v>549</v>
      </c>
    </row>
    <row r="69" customFormat="false" ht="15" hidden="false" customHeight="false" outlineLevel="0" collapsed="false">
      <c r="A69" s="51" t="s">
        <v>23</v>
      </c>
      <c r="B69" s="51" t="s">
        <v>148</v>
      </c>
      <c r="C69" s="51" t="s">
        <v>525</v>
      </c>
      <c r="D69" s="51" t="s">
        <v>578</v>
      </c>
      <c r="E69" s="51" t="s">
        <v>513</v>
      </c>
      <c r="F69" s="52" t="n">
        <v>-12725.83</v>
      </c>
      <c r="G69" s="52" t="n">
        <v>12931.93</v>
      </c>
      <c r="H69" s="53" t="n">
        <v>1.2671</v>
      </c>
      <c r="I69" s="52" t="n">
        <v>3270.48</v>
      </c>
      <c r="J69" s="51" t="s">
        <v>557</v>
      </c>
      <c r="K69" s="54" t="n">
        <f aca="false">IF(G69=0,"",F69/G69)</f>
        <v>-0.984062703710892</v>
      </c>
      <c r="L69" s="55" t="n">
        <v>0.165</v>
      </c>
      <c r="M69" s="52" t="n">
        <v>12345.24</v>
      </c>
      <c r="N69" s="51" t="s">
        <v>549</v>
      </c>
    </row>
    <row r="70" customFormat="false" ht="15" hidden="false" customHeight="false" outlineLevel="0" collapsed="false">
      <c r="A70" s="51" t="s">
        <v>23</v>
      </c>
      <c r="B70" s="51" t="s">
        <v>148</v>
      </c>
      <c r="C70" s="51" t="s">
        <v>525</v>
      </c>
      <c r="D70" s="51" t="s">
        <v>578</v>
      </c>
      <c r="E70" s="51" t="s">
        <v>515</v>
      </c>
      <c r="F70" s="52" t="n">
        <v>-10469.9</v>
      </c>
      <c r="G70" s="52" t="n">
        <v>10676</v>
      </c>
      <c r="H70" s="53" t="n">
        <v>1.046</v>
      </c>
      <c r="I70" s="52" t="n">
        <v>500</v>
      </c>
      <c r="J70" s="51" t="s">
        <v>579</v>
      </c>
      <c r="K70" s="54" t="n">
        <f aca="false">IF(G70=0,"",F70/G70)</f>
        <v>-0.980695016860247</v>
      </c>
      <c r="L70" s="55" t="n">
        <v>0.329</v>
      </c>
      <c r="M70" s="52" t="n">
        <v>4709.28</v>
      </c>
      <c r="N70" s="51" t="s">
        <v>549</v>
      </c>
    </row>
    <row r="71" customFormat="false" ht="15" hidden="false" customHeight="false" outlineLevel="0" collapsed="false">
      <c r="A71" s="8" t="s">
        <v>23</v>
      </c>
      <c r="B71" s="8" t="s">
        <v>148</v>
      </c>
      <c r="C71" s="8" t="s">
        <v>516</v>
      </c>
      <c r="D71" s="8" t="s">
        <v>580</v>
      </c>
      <c r="E71" s="8" t="s">
        <v>513</v>
      </c>
      <c r="F71" s="56" t="n">
        <v>-10000</v>
      </c>
      <c r="G71" s="56" t="n">
        <v>10300.93</v>
      </c>
      <c r="H71" s="43" t="n">
        <v>1</v>
      </c>
      <c r="I71" s="56" t="n">
        <v>103.01</v>
      </c>
      <c r="J71" s="8" t="s">
        <v>581</v>
      </c>
      <c r="K71" s="19" t="n">
        <f aca="false">IF(G71=0,"",F71/G71)</f>
        <v>-0.970786132902563</v>
      </c>
      <c r="L71" s="27" t="n">
        <v>0.454</v>
      </c>
      <c r="M71" s="56" t="n">
        <v>895.08</v>
      </c>
      <c r="N71" s="8" t="s">
        <v>549</v>
      </c>
    </row>
    <row r="72" customFormat="false" ht="15" hidden="false" customHeight="false" outlineLevel="0" collapsed="false">
      <c r="A72" s="8" t="s">
        <v>23</v>
      </c>
      <c r="B72" s="8" t="s">
        <v>148</v>
      </c>
      <c r="C72" s="8" t="s">
        <v>516</v>
      </c>
      <c r="D72" s="8" t="s">
        <v>580</v>
      </c>
      <c r="E72" s="8" t="s">
        <v>515</v>
      </c>
      <c r="F72" s="56" t="n">
        <v>-10000</v>
      </c>
      <c r="G72" s="56" t="n">
        <v>10300.93</v>
      </c>
      <c r="H72" s="43" t="n">
        <v>1</v>
      </c>
      <c r="I72" s="56" t="n">
        <v>103.01</v>
      </c>
      <c r="J72" s="8" t="s">
        <v>581</v>
      </c>
      <c r="K72" s="19" t="n">
        <f aca="false">IF(G72=0,"",F72/G72)</f>
        <v>-0.970786132902563</v>
      </c>
      <c r="L72" s="27" t="n">
        <v>0.454</v>
      </c>
      <c r="M72" s="56" t="n">
        <v>895.08</v>
      </c>
      <c r="N72" s="8" t="s">
        <v>549</v>
      </c>
    </row>
    <row r="73" customFormat="false" ht="15" hidden="false" customHeight="false" outlineLevel="0" collapsed="false">
      <c r="A73" s="51" t="s">
        <v>23</v>
      </c>
      <c r="B73" s="51" t="s">
        <v>148</v>
      </c>
      <c r="C73" s="51" t="s">
        <v>521</v>
      </c>
      <c r="D73" s="51" t="s">
        <v>582</v>
      </c>
      <c r="E73" s="51" t="s">
        <v>513</v>
      </c>
      <c r="F73" s="52" t="n">
        <v>-10310.55</v>
      </c>
      <c r="G73" s="52" t="n">
        <v>10524.04</v>
      </c>
      <c r="H73" s="53" t="n">
        <v>1.0304</v>
      </c>
      <c r="I73" s="52" t="n">
        <v>700</v>
      </c>
      <c r="J73" s="51" t="s">
        <v>583</v>
      </c>
      <c r="K73" s="54" t="n">
        <f aca="false">IF(G73=0,"",F73/G73)</f>
        <v>-0.979714064180676</v>
      </c>
      <c r="L73" s="55" t="n">
        <v>0.343</v>
      </c>
      <c r="M73" s="52" t="n">
        <v>2800</v>
      </c>
      <c r="N73" s="51" t="s">
        <v>549</v>
      </c>
    </row>
    <row r="74" customFormat="false" ht="15" hidden="false" customHeight="false" outlineLevel="0" collapsed="false">
      <c r="A74" s="51" t="s">
        <v>23</v>
      </c>
      <c r="B74" s="51" t="s">
        <v>148</v>
      </c>
      <c r="C74" s="51" t="s">
        <v>521</v>
      </c>
      <c r="D74" s="51" t="s">
        <v>582</v>
      </c>
      <c r="E74" s="51" t="s">
        <v>515</v>
      </c>
      <c r="F74" s="52" t="n">
        <v>-10233.51</v>
      </c>
      <c r="G74" s="52" t="n">
        <v>10446.99</v>
      </c>
      <c r="H74" s="53" t="n">
        <v>1.0229</v>
      </c>
      <c r="I74" s="52" t="n">
        <v>500</v>
      </c>
      <c r="J74" s="51" t="s">
        <v>584</v>
      </c>
      <c r="K74" s="54" t="n">
        <f aca="false">IF(G74=0,"",F74/G74)</f>
        <v>-0.979565405920749</v>
      </c>
      <c r="L74" s="55" t="n">
        <v>0.333</v>
      </c>
      <c r="M74" s="52" t="n">
        <v>2800</v>
      </c>
      <c r="N74" s="51" t="s">
        <v>549</v>
      </c>
    </row>
    <row r="76" customFormat="false" ht="15" hidden="false" customHeight="false" outlineLevel="0" collapsed="false">
      <c r="A76" s="8" t="s">
        <v>23</v>
      </c>
      <c r="B76" s="8" t="s">
        <v>24</v>
      </c>
      <c r="C76" s="8" t="s">
        <v>47</v>
      </c>
      <c r="D76" s="8" t="s">
        <v>547</v>
      </c>
      <c r="E76" s="8" t="s">
        <v>513</v>
      </c>
      <c r="F76" s="56" t="n">
        <v>5441.57</v>
      </c>
      <c r="G76" s="56" t="n">
        <v>1480.81</v>
      </c>
      <c r="H76" s="43" t="n">
        <v>0.1332</v>
      </c>
      <c r="I76" s="56" t="n">
        <v>50</v>
      </c>
      <c r="J76" s="8" t="s">
        <v>581</v>
      </c>
      <c r="K76" s="19" t="n">
        <f aca="false">IF(G76=0,"",F76/G76)</f>
        <v>3.67472531925095</v>
      </c>
      <c r="L76" s="27" t="n">
        <v>1.088</v>
      </c>
      <c r="M76" s="56" t="n">
        <v>700</v>
      </c>
      <c r="N76" s="8" t="n">
        <v>2</v>
      </c>
    </row>
    <row r="77" customFormat="false" ht="15" hidden="false" customHeight="false" outlineLevel="0" collapsed="false">
      <c r="A77" s="8" t="s">
        <v>23</v>
      </c>
      <c r="B77" s="8" t="s">
        <v>24</v>
      </c>
      <c r="C77" s="8" t="s">
        <v>47</v>
      </c>
      <c r="D77" s="8" t="s">
        <v>547</v>
      </c>
      <c r="E77" s="8" t="s">
        <v>515</v>
      </c>
      <c r="F77" s="56" t="n">
        <v>5441.57</v>
      </c>
      <c r="G77" s="56" t="n">
        <v>1480.81</v>
      </c>
      <c r="H77" s="43" t="n">
        <v>0.1332</v>
      </c>
      <c r="I77" s="56" t="n">
        <v>50</v>
      </c>
      <c r="J77" s="8" t="s">
        <v>581</v>
      </c>
      <c r="K77" s="19" t="n">
        <f aca="false">IF(G77=0,"",F77/G77)</f>
        <v>3.67472531925095</v>
      </c>
      <c r="L77" s="27" t="n">
        <v>1.088</v>
      </c>
      <c r="M77" s="56" t="n">
        <v>700</v>
      </c>
      <c r="N77" s="8" t="n">
        <v>2</v>
      </c>
    </row>
    <row r="78" customFormat="false" ht="15" hidden="false" customHeight="false" outlineLevel="0" collapsed="false">
      <c r="A78" s="51" t="s">
        <v>23</v>
      </c>
      <c r="B78" s="51" t="s">
        <v>24</v>
      </c>
      <c r="C78" s="51" t="s">
        <v>535</v>
      </c>
      <c r="D78" s="51" t="s">
        <v>550</v>
      </c>
      <c r="E78" s="51" t="s">
        <v>513</v>
      </c>
      <c r="F78" s="52" t="n">
        <v>-28959.9</v>
      </c>
      <c r="G78" s="52" t="n">
        <v>51150</v>
      </c>
      <c r="H78" s="53" t="n">
        <v>1.589</v>
      </c>
      <c r="I78" s="52" t="n">
        <v>25600</v>
      </c>
      <c r="J78" s="51" t="s">
        <v>585</v>
      </c>
      <c r="K78" s="54" t="n">
        <f aca="false">IF(G78=0,"",F78/G78)</f>
        <v>-0.566175953079179</v>
      </c>
      <c r="L78" s="55" t="n">
        <v>0.599</v>
      </c>
      <c r="M78" s="52" t="n">
        <v>51150</v>
      </c>
      <c r="N78" s="51" t="s">
        <v>549</v>
      </c>
    </row>
    <row r="79" customFormat="false" ht="15" hidden="false" customHeight="false" outlineLevel="0" collapsed="false">
      <c r="A79" s="8" t="s">
        <v>23</v>
      </c>
      <c r="B79" s="8" t="s">
        <v>24</v>
      </c>
      <c r="C79" s="8" t="s">
        <v>535</v>
      </c>
      <c r="D79" s="8" t="s">
        <v>550</v>
      </c>
      <c r="E79" s="8" t="s">
        <v>515</v>
      </c>
      <c r="F79" s="56" t="n">
        <v>52339.87</v>
      </c>
      <c r="G79" s="56" t="n">
        <v>13558.1</v>
      </c>
      <c r="H79" s="43" t="n">
        <v>0.4959</v>
      </c>
      <c r="I79" s="56" t="n">
        <v>500</v>
      </c>
      <c r="J79" s="8" t="s">
        <v>581</v>
      </c>
      <c r="K79" s="19" t="n">
        <f aca="false">IF(G79=0,"",F79/G79)</f>
        <v>3.86041333225157</v>
      </c>
      <c r="L79" s="27" t="n">
        <v>1.116</v>
      </c>
      <c r="M79" s="56" t="n">
        <v>7000</v>
      </c>
      <c r="N79" s="8" t="s">
        <v>549</v>
      </c>
    </row>
    <row r="80" customFormat="false" ht="15" hidden="false" customHeight="false" outlineLevel="0" collapsed="false">
      <c r="A80" s="8" t="s">
        <v>23</v>
      </c>
      <c r="B80" s="8" t="s">
        <v>24</v>
      </c>
      <c r="C80" s="8" t="s">
        <v>527</v>
      </c>
      <c r="D80" s="8" t="s">
        <v>553</v>
      </c>
      <c r="E80" s="8" t="s">
        <v>513</v>
      </c>
      <c r="F80" s="56" t="n">
        <v>36461.3</v>
      </c>
      <c r="G80" s="56" t="n">
        <v>14332.43</v>
      </c>
      <c r="H80" s="43" t="n">
        <v>0.5516</v>
      </c>
      <c r="I80" s="56" t="n">
        <v>4827.48</v>
      </c>
      <c r="J80" s="8" t="s">
        <v>581</v>
      </c>
      <c r="K80" s="19" t="n">
        <f aca="false">IF(G80=0,"",F80/G80)</f>
        <v>2.54397195730243</v>
      </c>
      <c r="L80" s="27" t="n">
        <v>1.193</v>
      </c>
      <c r="M80" s="56" t="n">
        <v>14224.38</v>
      </c>
      <c r="N80" s="8" t="s">
        <v>549</v>
      </c>
    </row>
    <row r="81" customFormat="false" ht="15" hidden="false" customHeight="false" outlineLevel="0" collapsed="false">
      <c r="A81" s="8" t="s">
        <v>23</v>
      </c>
      <c r="B81" s="8" t="s">
        <v>24</v>
      </c>
      <c r="C81" s="8" t="s">
        <v>527</v>
      </c>
      <c r="D81" s="8" t="s">
        <v>553</v>
      </c>
      <c r="E81" s="8" t="s">
        <v>515</v>
      </c>
      <c r="F81" s="56" t="n">
        <v>29934.97</v>
      </c>
      <c r="G81" s="56" t="n">
        <v>8712.49</v>
      </c>
      <c r="H81" s="43" t="n">
        <v>0.3639</v>
      </c>
      <c r="I81" s="56" t="n">
        <v>500</v>
      </c>
      <c r="J81" s="8" t="s">
        <v>581</v>
      </c>
      <c r="K81" s="19" t="n">
        <f aca="false">IF(G81=0,"",F81/G81)</f>
        <v>3.43586850601837</v>
      </c>
      <c r="L81" s="27" t="n">
        <v>1.128</v>
      </c>
      <c r="M81" s="56" t="n">
        <v>5777.5</v>
      </c>
      <c r="N81" s="8" t="n">
        <v>3</v>
      </c>
    </row>
    <row r="82" customFormat="false" ht="15" hidden="false" customHeight="false" outlineLevel="0" collapsed="false">
      <c r="A82" s="8" t="s">
        <v>23</v>
      </c>
      <c r="B82" s="8" t="s">
        <v>24</v>
      </c>
      <c r="C82" s="8" t="s">
        <v>529</v>
      </c>
      <c r="D82" s="8" t="s">
        <v>556</v>
      </c>
      <c r="E82" s="8" t="s">
        <v>513</v>
      </c>
      <c r="F82" s="56" t="n">
        <v>59799.66</v>
      </c>
      <c r="G82" s="56" t="n">
        <v>29092.93</v>
      </c>
      <c r="H82" s="43" t="n">
        <v>0.595</v>
      </c>
      <c r="I82" s="56" t="n">
        <v>14596.46</v>
      </c>
      <c r="J82" s="8" t="s">
        <v>581</v>
      </c>
      <c r="K82" s="19" t="n">
        <f aca="false">IF(G82=0,"",F82/G82)</f>
        <v>2.05547052153221</v>
      </c>
      <c r="L82" s="27" t="n">
        <v>1.276</v>
      </c>
      <c r="M82" s="56" t="n">
        <v>29092.93</v>
      </c>
      <c r="N82" s="8" t="s">
        <v>549</v>
      </c>
    </row>
    <row r="83" customFormat="false" ht="15" hidden="false" customHeight="false" outlineLevel="0" collapsed="false">
      <c r="A83" s="8" t="s">
        <v>23</v>
      </c>
      <c r="B83" s="8" t="s">
        <v>24</v>
      </c>
      <c r="C83" s="8" t="s">
        <v>529</v>
      </c>
      <c r="D83" s="8" t="s">
        <v>556</v>
      </c>
      <c r="E83" s="8" t="s">
        <v>515</v>
      </c>
      <c r="F83" s="56" t="n">
        <v>38963.44</v>
      </c>
      <c r="G83" s="56" t="n">
        <v>12674.16</v>
      </c>
      <c r="H83" s="43" t="n">
        <v>0.3948</v>
      </c>
      <c r="I83" s="56" t="n">
        <v>500</v>
      </c>
      <c r="J83" s="8" t="s">
        <v>581</v>
      </c>
      <c r="K83" s="19" t="n">
        <f aca="false">IF(G83=0,"",F83/G83)</f>
        <v>3.07424239555126</v>
      </c>
      <c r="L83" s="27" t="n">
        <v>1.127</v>
      </c>
      <c r="M83" s="56" t="n">
        <v>5888.39</v>
      </c>
      <c r="N83" s="8" t="n">
        <v>5</v>
      </c>
    </row>
    <row r="84" customFormat="false" ht="15" hidden="false" customHeight="false" outlineLevel="0" collapsed="false">
      <c r="A84" s="51" t="s">
        <v>23</v>
      </c>
      <c r="B84" s="51" t="s">
        <v>24</v>
      </c>
      <c r="C84" s="51" t="s">
        <v>534</v>
      </c>
      <c r="D84" s="51" t="s">
        <v>559</v>
      </c>
      <c r="E84" s="51" t="s">
        <v>513</v>
      </c>
      <c r="F84" s="52" t="n">
        <v>-28959.9</v>
      </c>
      <c r="G84" s="52" t="n">
        <v>51150</v>
      </c>
      <c r="H84" s="53" t="n">
        <v>1.589</v>
      </c>
      <c r="I84" s="52" t="n">
        <v>25600</v>
      </c>
      <c r="J84" s="51" t="s">
        <v>585</v>
      </c>
      <c r="K84" s="54" t="n">
        <f aca="false">IF(G84=0,"",F84/G84)</f>
        <v>-0.566175953079179</v>
      </c>
      <c r="L84" s="55" t="n">
        <v>0.599</v>
      </c>
      <c r="M84" s="52" t="n">
        <v>51150</v>
      </c>
      <c r="N84" s="51" t="s">
        <v>549</v>
      </c>
    </row>
    <row r="85" customFormat="false" ht="15" hidden="false" customHeight="false" outlineLevel="0" collapsed="false">
      <c r="A85" s="8" t="s">
        <v>23</v>
      </c>
      <c r="B85" s="8" t="s">
        <v>24</v>
      </c>
      <c r="C85" s="8" t="s">
        <v>534</v>
      </c>
      <c r="D85" s="8" t="s">
        <v>559</v>
      </c>
      <c r="E85" s="8" t="s">
        <v>515</v>
      </c>
      <c r="F85" s="56" t="n">
        <v>51709.55</v>
      </c>
      <c r="G85" s="56" t="n">
        <v>13558.1</v>
      </c>
      <c r="H85" s="43" t="n">
        <v>0.5315</v>
      </c>
      <c r="I85" s="56" t="n">
        <v>500</v>
      </c>
      <c r="J85" s="8" t="s">
        <v>581</v>
      </c>
      <c r="K85" s="19" t="n">
        <f aca="false">IF(G85=0,"",F85/G85)</f>
        <v>3.81392304231419</v>
      </c>
      <c r="L85" s="27" t="n">
        <v>1.112</v>
      </c>
      <c r="M85" s="56" t="n">
        <v>7000</v>
      </c>
      <c r="N85" s="8" t="s">
        <v>549</v>
      </c>
    </row>
    <row r="86" customFormat="false" ht="15" hidden="false" customHeight="false" outlineLevel="0" collapsed="false">
      <c r="A86" s="8" t="s">
        <v>23</v>
      </c>
      <c r="B86" s="8" t="s">
        <v>24</v>
      </c>
      <c r="C86" s="8" t="s">
        <v>530</v>
      </c>
      <c r="D86" s="8" t="s">
        <v>560</v>
      </c>
      <c r="E86" s="8" t="s">
        <v>513</v>
      </c>
      <c r="F86" s="56" t="n">
        <v>59799.66</v>
      </c>
      <c r="G86" s="56" t="n">
        <v>29092.93</v>
      </c>
      <c r="H86" s="43" t="n">
        <v>0.595</v>
      </c>
      <c r="I86" s="56" t="n">
        <v>14596.46</v>
      </c>
      <c r="J86" s="8" t="s">
        <v>581</v>
      </c>
      <c r="K86" s="19" t="n">
        <f aca="false">IF(G86=0,"",F86/G86)</f>
        <v>2.05547052153221</v>
      </c>
      <c r="L86" s="27" t="n">
        <v>1.276</v>
      </c>
      <c r="M86" s="56" t="n">
        <v>29092.93</v>
      </c>
      <c r="N86" s="8" t="s">
        <v>549</v>
      </c>
    </row>
    <row r="87" customFormat="false" ht="15" hidden="false" customHeight="false" outlineLevel="0" collapsed="false">
      <c r="A87" s="8" t="s">
        <v>23</v>
      </c>
      <c r="B87" s="8" t="s">
        <v>24</v>
      </c>
      <c r="C87" s="8" t="s">
        <v>530</v>
      </c>
      <c r="D87" s="8" t="s">
        <v>560</v>
      </c>
      <c r="E87" s="8" t="s">
        <v>515</v>
      </c>
      <c r="F87" s="56" t="n">
        <v>38963.44</v>
      </c>
      <c r="G87" s="56" t="n">
        <v>12674.16</v>
      </c>
      <c r="H87" s="43" t="n">
        <v>0.3948</v>
      </c>
      <c r="I87" s="56" t="n">
        <v>500</v>
      </c>
      <c r="J87" s="8" t="s">
        <v>581</v>
      </c>
      <c r="K87" s="19" t="n">
        <f aca="false">IF(G87=0,"",F87/G87)</f>
        <v>3.07424239555126</v>
      </c>
      <c r="L87" s="27" t="n">
        <v>1.127</v>
      </c>
      <c r="M87" s="56" t="n">
        <v>5888.39</v>
      </c>
      <c r="N87" s="8" t="n">
        <v>6</v>
      </c>
    </row>
    <row r="88" customFormat="false" ht="15" hidden="false" customHeight="false" outlineLevel="0" collapsed="false">
      <c r="A88" s="8" t="s">
        <v>23</v>
      </c>
      <c r="B88" s="8" t="s">
        <v>24</v>
      </c>
      <c r="C88" s="8" t="s">
        <v>524</v>
      </c>
      <c r="D88" s="8" t="s">
        <v>561</v>
      </c>
      <c r="E88" s="8" t="s">
        <v>513</v>
      </c>
      <c r="F88" s="56" t="n">
        <v>50188.71</v>
      </c>
      <c r="G88" s="56" t="n">
        <v>23247.02</v>
      </c>
      <c r="H88" s="43" t="n">
        <v>0.4956</v>
      </c>
      <c r="I88" s="56" t="n">
        <v>1950</v>
      </c>
      <c r="J88" s="8" t="s">
        <v>581</v>
      </c>
      <c r="K88" s="19" t="n">
        <f aca="false">IF(G88=0,"",F88/G88)</f>
        <v>2.1589309081336</v>
      </c>
      <c r="L88" s="27" t="n">
        <v>1.163</v>
      </c>
      <c r="M88" s="56" t="n">
        <v>9625</v>
      </c>
      <c r="N88" s="8" t="s">
        <v>549</v>
      </c>
    </row>
    <row r="89" customFormat="false" ht="15" hidden="false" customHeight="false" outlineLevel="0" collapsed="false">
      <c r="A89" s="8" t="s">
        <v>23</v>
      </c>
      <c r="B89" s="8" t="s">
        <v>24</v>
      </c>
      <c r="C89" s="8" t="s">
        <v>524</v>
      </c>
      <c r="D89" s="8" t="s">
        <v>561</v>
      </c>
      <c r="E89" s="8" t="s">
        <v>515</v>
      </c>
      <c r="F89" s="56" t="n">
        <v>37510.17</v>
      </c>
      <c r="G89" s="56" t="n">
        <v>11611.98</v>
      </c>
      <c r="H89" s="43" t="n">
        <v>0.5941</v>
      </c>
      <c r="I89" s="56" t="n">
        <v>500</v>
      </c>
      <c r="J89" s="8" t="s">
        <v>581</v>
      </c>
      <c r="K89" s="19" t="n">
        <f aca="false">IF(G89=0,"",F89/G89)</f>
        <v>3.23029922545509</v>
      </c>
      <c r="L89" s="27" t="n">
        <v>1.121</v>
      </c>
      <c r="M89" s="56" t="n">
        <v>6625</v>
      </c>
      <c r="N89" s="8" t="s">
        <v>549</v>
      </c>
    </row>
    <row r="90" customFormat="false" ht="15" hidden="false" customHeight="false" outlineLevel="0" collapsed="false">
      <c r="A90" s="8" t="s">
        <v>23</v>
      </c>
      <c r="B90" s="8" t="s">
        <v>24</v>
      </c>
      <c r="C90" s="8" t="s">
        <v>533</v>
      </c>
      <c r="D90" s="8" t="s">
        <v>563</v>
      </c>
      <c r="E90" s="8" t="s">
        <v>513</v>
      </c>
      <c r="F90" s="56" t="n">
        <v>94535.62</v>
      </c>
      <c r="G90" s="56" t="n">
        <v>49300</v>
      </c>
      <c r="H90" s="43" t="n">
        <v>0.7118</v>
      </c>
      <c r="I90" s="56" t="n">
        <v>30500</v>
      </c>
      <c r="J90" s="8" t="s">
        <v>581</v>
      </c>
      <c r="K90" s="19" t="n">
        <f aca="false">IF(G90=0,"",F90/G90)</f>
        <v>1.91755821501014</v>
      </c>
      <c r="L90" s="27" t="n">
        <v>1.396</v>
      </c>
      <c r="M90" s="56" t="n">
        <v>49300</v>
      </c>
      <c r="N90" s="8" t="s">
        <v>549</v>
      </c>
    </row>
    <row r="91" customFormat="false" ht="15" hidden="false" customHeight="false" outlineLevel="0" collapsed="false">
      <c r="A91" s="8" t="s">
        <v>23</v>
      </c>
      <c r="B91" s="8" t="s">
        <v>24</v>
      </c>
      <c r="C91" s="8" t="s">
        <v>533</v>
      </c>
      <c r="D91" s="8" t="s">
        <v>563</v>
      </c>
      <c r="E91" s="8" t="s">
        <v>515</v>
      </c>
      <c r="F91" s="56" t="n">
        <v>42905.76</v>
      </c>
      <c r="G91" s="56" t="n">
        <v>12808.1</v>
      </c>
      <c r="H91" s="43" t="n">
        <v>0.5314</v>
      </c>
      <c r="I91" s="56" t="n">
        <v>500</v>
      </c>
      <c r="J91" s="8" t="s">
        <v>581</v>
      </c>
      <c r="K91" s="19" t="n">
        <f aca="false">IF(G91=0,"",F91/G91)</f>
        <v>3.34989264605992</v>
      </c>
      <c r="L91" s="27" t="n">
        <v>1.122</v>
      </c>
      <c r="M91" s="56" t="n">
        <v>7000</v>
      </c>
      <c r="N91" s="8" t="s">
        <v>549</v>
      </c>
    </row>
    <row r="92" customFormat="false" ht="15" hidden="false" customHeight="false" outlineLevel="0" collapsed="false">
      <c r="A92" s="51" t="s">
        <v>23</v>
      </c>
      <c r="B92" s="51" t="s">
        <v>24</v>
      </c>
      <c r="C92" s="51" t="s">
        <v>523</v>
      </c>
      <c r="D92" s="51" t="s">
        <v>566</v>
      </c>
      <c r="E92" s="51" t="s">
        <v>513</v>
      </c>
      <c r="F92" s="52" t="n">
        <v>-10955.37</v>
      </c>
      <c r="G92" s="52" t="n">
        <v>13491.79</v>
      </c>
      <c r="H92" s="53" t="n">
        <v>1.0762</v>
      </c>
      <c r="I92" s="52" t="n">
        <v>1850</v>
      </c>
      <c r="J92" s="51" t="s">
        <v>586</v>
      </c>
      <c r="K92" s="54" t="n">
        <f aca="false">IF(G92=0,"",F92/G92)</f>
        <v>-0.81200270683134</v>
      </c>
      <c r="L92" s="55" t="n">
        <v>0.82</v>
      </c>
      <c r="M92" s="52" t="n">
        <v>8250</v>
      </c>
      <c r="N92" s="51" t="s">
        <v>549</v>
      </c>
    </row>
    <row r="93" customFormat="false" ht="15" hidden="false" customHeight="false" outlineLevel="0" collapsed="false">
      <c r="A93" s="51" t="s">
        <v>23</v>
      </c>
      <c r="B93" s="51" t="s">
        <v>24</v>
      </c>
      <c r="C93" s="51" t="s">
        <v>523</v>
      </c>
      <c r="D93" s="51" t="s">
        <v>566</v>
      </c>
      <c r="E93" s="51" t="s">
        <v>515</v>
      </c>
      <c r="F93" s="52" t="n">
        <v>-10009.8</v>
      </c>
      <c r="G93" s="52" t="n">
        <v>11640.56</v>
      </c>
      <c r="H93" s="53" t="n">
        <v>1.0008</v>
      </c>
      <c r="I93" s="52" t="n">
        <v>500</v>
      </c>
      <c r="J93" s="51" t="s">
        <v>587</v>
      </c>
      <c r="K93" s="54" t="n">
        <f aca="false">IF(G93=0,"",F93/G93)</f>
        <v>-0.85990708350801</v>
      </c>
      <c r="L93" s="55" t="n">
        <v>0.874</v>
      </c>
      <c r="M93" s="52" t="n">
        <v>5000</v>
      </c>
      <c r="N93" s="51" t="s">
        <v>549</v>
      </c>
    </row>
    <row r="94" customFormat="false" ht="15" hidden="false" customHeight="false" outlineLevel="0" collapsed="false">
      <c r="A94" s="8" t="s">
        <v>23</v>
      </c>
      <c r="B94" s="8" t="s">
        <v>24</v>
      </c>
      <c r="C94" s="8" t="s">
        <v>519</v>
      </c>
      <c r="D94" s="8" t="s">
        <v>567</v>
      </c>
      <c r="E94" s="8" t="s">
        <v>513</v>
      </c>
      <c r="F94" s="56" t="n">
        <v>18740.77</v>
      </c>
      <c r="G94" s="56" t="n">
        <v>6943.37</v>
      </c>
      <c r="H94" s="43" t="n">
        <v>0.2834</v>
      </c>
      <c r="I94" s="56" t="n">
        <v>2314.46</v>
      </c>
      <c r="J94" s="8" t="s">
        <v>581</v>
      </c>
      <c r="K94" s="19" t="n">
        <f aca="false">IF(G94=0,"",F94/G94)</f>
        <v>2.69908848297009</v>
      </c>
      <c r="L94" s="27" t="n">
        <v>1.18</v>
      </c>
      <c r="M94" s="56" t="n">
        <v>6828.41</v>
      </c>
      <c r="N94" s="8" t="s">
        <v>549</v>
      </c>
    </row>
    <row r="95" customFormat="false" ht="15" hidden="false" customHeight="false" outlineLevel="0" collapsed="false">
      <c r="A95" s="48" t="s">
        <v>23</v>
      </c>
      <c r="B95" s="48" t="s">
        <v>24</v>
      </c>
      <c r="C95" s="48" t="s">
        <v>519</v>
      </c>
      <c r="D95" s="48" t="s">
        <v>567</v>
      </c>
      <c r="E95" s="48" t="s">
        <v>515</v>
      </c>
      <c r="F95" s="57" t="n">
        <v>17975.08</v>
      </c>
      <c r="G95" s="57" t="n">
        <v>4689.09</v>
      </c>
      <c r="H95" s="58" t="n">
        <v>0.2549</v>
      </c>
      <c r="I95" s="57" t="n">
        <v>500</v>
      </c>
      <c r="J95" s="48" t="s">
        <v>581</v>
      </c>
      <c r="K95" s="59" t="n">
        <f aca="false">IF(G95=0,"",F95/G95)</f>
        <v>3.83338344966721</v>
      </c>
      <c r="L95" s="50" t="n">
        <v>1.164</v>
      </c>
      <c r="M95" s="57" t="n">
        <v>4032.74</v>
      </c>
      <c r="N95" s="48" t="n">
        <v>1</v>
      </c>
    </row>
    <row r="96" customFormat="false" ht="15" hidden="false" customHeight="false" outlineLevel="0" collapsed="false">
      <c r="A96" s="51" t="s">
        <v>23</v>
      </c>
      <c r="B96" s="51" t="s">
        <v>24</v>
      </c>
      <c r="C96" s="51" t="s">
        <v>528</v>
      </c>
      <c r="D96" s="51" t="s">
        <v>570</v>
      </c>
      <c r="E96" s="51" t="s">
        <v>513</v>
      </c>
      <c r="F96" s="52" t="n">
        <v>-10766.87</v>
      </c>
      <c r="G96" s="52" t="n">
        <v>13344.93</v>
      </c>
      <c r="H96" s="53" t="n">
        <v>1.061</v>
      </c>
      <c r="I96" s="52" t="n">
        <v>3336.23</v>
      </c>
      <c r="J96" s="51" t="s">
        <v>588</v>
      </c>
      <c r="K96" s="54" t="n">
        <f aca="false">IF(G96=0,"",F96/G96)</f>
        <v>-0.806813523937555</v>
      </c>
      <c r="L96" s="55" t="n">
        <v>0.718</v>
      </c>
      <c r="M96" s="52" t="n">
        <v>12008.93</v>
      </c>
      <c r="N96" s="51" t="s">
        <v>549</v>
      </c>
    </row>
    <row r="97" customFormat="false" ht="15" hidden="false" customHeight="false" outlineLevel="0" collapsed="false">
      <c r="A97" s="8" t="s">
        <v>23</v>
      </c>
      <c r="B97" s="8" t="s">
        <v>24</v>
      </c>
      <c r="C97" s="8" t="s">
        <v>528</v>
      </c>
      <c r="D97" s="8" t="s">
        <v>570</v>
      </c>
      <c r="E97" s="8" t="s">
        <v>515</v>
      </c>
      <c r="F97" s="56" t="n">
        <v>58981.63</v>
      </c>
      <c r="G97" s="56" t="n">
        <v>14696.99</v>
      </c>
      <c r="H97" s="43" t="n">
        <v>0.5892</v>
      </c>
      <c r="I97" s="56" t="n">
        <v>500</v>
      </c>
      <c r="J97" s="8" t="s">
        <v>581</v>
      </c>
      <c r="K97" s="19" t="n">
        <f aca="false">IF(G97=0,"",F97/G97)</f>
        <v>4.01317752818775</v>
      </c>
      <c r="L97" s="27" t="n">
        <v>1.109</v>
      </c>
      <c r="M97" s="56" t="n">
        <v>7000</v>
      </c>
      <c r="N97" s="8" t="s">
        <v>549</v>
      </c>
    </row>
    <row r="98" customFormat="false" ht="15" hidden="false" customHeight="false" outlineLevel="0" collapsed="false">
      <c r="A98" s="51" t="s">
        <v>23</v>
      </c>
      <c r="B98" s="51" t="s">
        <v>24</v>
      </c>
      <c r="C98" s="51" t="s">
        <v>531</v>
      </c>
      <c r="D98" s="51" t="s">
        <v>571</v>
      </c>
      <c r="E98" s="51" t="s">
        <v>513</v>
      </c>
      <c r="F98" s="52" t="n">
        <v>-11024.97</v>
      </c>
      <c r="G98" s="52" t="n">
        <v>18823.63</v>
      </c>
      <c r="H98" s="53" t="n">
        <v>1.0576</v>
      </c>
      <c r="I98" s="52" t="n">
        <v>8100</v>
      </c>
      <c r="J98" s="51" t="s">
        <v>589</v>
      </c>
      <c r="K98" s="54" t="n">
        <f aca="false">IF(G98=0,"",F98/G98)</f>
        <v>-0.585698401424167</v>
      </c>
      <c r="L98" s="55" t="n">
        <v>0.751</v>
      </c>
      <c r="M98" s="52" t="n">
        <v>16800</v>
      </c>
      <c r="N98" s="51" t="s">
        <v>549</v>
      </c>
    </row>
    <row r="99" customFormat="false" ht="15" hidden="false" customHeight="false" outlineLevel="0" collapsed="false">
      <c r="A99" s="8" t="s">
        <v>23</v>
      </c>
      <c r="B99" s="8" t="s">
        <v>24</v>
      </c>
      <c r="C99" s="8" t="s">
        <v>531</v>
      </c>
      <c r="D99" s="8" t="s">
        <v>571</v>
      </c>
      <c r="E99" s="8" t="s">
        <v>515</v>
      </c>
      <c r="F99" s="56" t="n">
        <v>58371.61</v>
      </c>
      <c r="G99" s="56" t="n">
        <v>13808.1</v>
      </c>
      <c r="H99" s="43" t="n">
        <v>0.9749</v>
      </c>
      <c r="I99" s="56" t="n">
        <v>500</v>
      </c>
      <c r="J99" s="8" t="s">
        <v>581</v>
      </c>
      <c r="K99" s="19" t="n">
        <f aca="false">IF(G99=0,"",F99/G99)</f>
        <v>4.22734554355777</v>
      </c>
      <c r="L99" s="27" t="n">
        <v>1.102</v>
      </c>
      <c r="M99" s="56" t="n">
        <v>7000</v>
      </c>
      <c r="N99" s="8" t="s">
        <v>549</v>
      </c>
    </row>
    <row r="100" customFormat="false" ht="15" hidden="false" customHeight="false" outlineLevel="0" collapsed="false">
      <c r="A100" s="51" t="s">
        <v>23</v>
      </c>
      <c r="B100" s="51" t="s">
        <v>24</v>
      </c>
      <c r="C100" s="51" t="s">
        <v>532</v>
      </c>
      <c r="D100" s="51" t="s">
        <v>573</v>
      </c>
      <c r="E100" s="51" t="s">
        <v>513</v>
      </c>
      <c r="F100" s="52" t="n">
        <v>-28546.45</v>
      </c>
      <c r="G100" s="52" t="n">
        <v>53400</v>
      </c>
      <c r="H100" s="53" t="n">
        <v>1.5321</v>
      </c>
      <c r="I100" s="52" t="n">
        <v>26050</v>
      </c>
      <c r="J100" s="51" t="s">
        <v>585</v>
      </c>
      <c r="K100" s="54" t="n">
        <f aca="false">IF(G100=0,"",F100/G100)</f>
        <v>-0.534577715355805</v>
      </c>
      <c r="L100" s="55" t="n">
        <v>0.646</v>
      </c>
      <c r="M100" s="52" t="n">
        <v>53400</v>
      </c>
      <c r="N100" s="51" t="s">
        <v>549</v>
      </c>
    </row>
    <row r="101" customFormat="false" ht="15" hidden="false" customHeight="false" outlineLevel="0" collapsed="false">
      <c r="A101" s="8" t="s">
        <v>23</v>
      </c>
      <c r="B101" s="8" t="s">
        <v>24</v>
      </c>
      <c r="C101" s="8" t="s">
        <v>532</v>
      </c>
      <c r="D101" s="8" t="s">
        <v>573</v>
      </c>
      <c r="E101" s="8" t="s">
        <v>515</v>
      </c>
      <c r="F101" s="56" t="n">
        <v>48510.58</v>
      </c>
      <c r="G101" s="56" t="n">
        <v>13808.1</v>
      </c>
      <c r="H101" s="43" t="n">
        <v>0.8943</v>
      </c>
      <c r="I101" s="56" t="n">
        <v>500</v>
      </c>
      <c r="J101" s="8" t="s">
        <v>581</v>
      </c>
      <c r="K101" s="19" t="n">
        <f aca="false">IF(G101=0,"",F101/G101)</f>
        <v>3.51319732620708</v>
      </c>
      <c r="L101" s="27" t="n">
        <v>1.093</v>
      </c>
      <c r="M101" s="56" t="n">
        <v>7000</v>
      </c>
      <c r="N101" s="8" t="s">
        <v>549</v>
      </c>
    </row>
    <row r="102" customFormat="false" ht="15" hidden="false" customHeight="false" outlineLevel="0" collapsed="false">
      <c r="A102" s="8" t="s">
        <v>23</v>
      </c>
      <c r="B102" s="8" t="s">
        <v>24</v>
      </c>
      <c r="C102" s="8" t="s">
        <v>518</v>
      </c>
      <c r="D102" s="8" t="s">
        <v>574</v>
      </c>
      <c r="E102" s="8" t="s">
        <v>513</v>
      </c>
      <c r="F102" s="56" t="n">
        <v>8461.03</v>
      </c>
      <c r="G102" s="56" t="n">
        <v>3186.14</v>
      </c>
      <c r="H102" s="43" t="n">
        <v>0.2945</v>
      </c>
      <c r="I102" s="56" t="n">
        <v>200</v>
      </c>
      <c r="J102" s="8" t="s">
        <v>581</v>
      </c>
      <c r="K102" s="19" t="n">
        <f aca="false">IF(G102=0,"",F102/G102)</f>
        <v>2.6555738291475</v>
      </c>
      <c r="L102" s="27" t="n">
        <v>1.09</v>
      </c>
      <c r="M102" s="56" t="n">
        <v>850</v>
      </c>
      <c r="N102" s="8" t="n">
        <v>7</v>
      </c>
    </row>
    <row r="103" customFormat="false" ht="15" hidden="false" customHeight="false" outlineLevel="0" collapsed="false">
      <c r="A103" s="8" t="s">
        <v>23</v>
      </c>
      <c r="B103" s="8" t="s">
        <v>24</v>
      </c>
      <c r="C103" s="8" t="s">
        <v>518</v>
      </c>
      <c r="D103" s="8" t="s">
        <v>574</v>
      </c>
      <c r="E103" s="8" t="s">
        <v>515</v>
      </c>
      <c r="F103" s="56" t="n">
        <v>8461.03</v>
      </c>
      <c r="G103" s="56" t="n">
        <v>3186.14</v>
      </c>
      <c r="H103" s="43" t="n">
        <v>0.2945</v>
      </c>
      <c r="I103" s="56" t="n">
        <v>200</v>
      </c>
      <c r="J103" s="8" t="s">
        <v>581</v>
      </c>
      <c r="K103" s="19" t="n">
        <f aca="false">IF(G103=0,"",F103/G103)</f>
        <v>2.6555738291475</v>
      </c>
      <c r="L103" s="27" t="n">
        <v>1.09</v>
      </c>
      <c r="M103" s="56" t="n">
        <v>850</v>
      </c>
      <c r="N103" s="8" t="n">
        <v>7</v>
      </c>
    </row>
    <row r="104" customFormat="false" ht="15" hidden="false" customHeight="false" outlineLevel="0" collapsed="false">
      <c r="A104" s="8" t="s">
        <v>23</v>
      </c>
      <c r="B104" s="8" t="s">
        <v>24</v>
      </c>
      <c r="C104" s="8" t="s">
        <v>522</v>
      </c>
      <c r="D104" s="8" t="s">
        <v>576</v>
      </c>
      <c r="E104" s="8" t="s">
        <v>513</v>
      </c>
      <c r="F104" s="56" t="n">
        <v>11225.1</v>
      </c>
      <c r="G104" s="56" t="n">
        <v>4549.29</v>
      </c>
      <c r="H104" s="43" t="n">
        <v>0.4296</v>
      </c>
      <c r="I104" s="56" t="n">
        <v>500</v>
      </c>
      <c r="J104" s="8" t="s">
        <v>581</v>
      </c>
      <c r="K104" s="19" t="n">
        <f aca="false">IF(G104=0,"",F104/G104)</f>
        <v>2.46743997414981</v>
      </c>
      <c r="L104" s="27" t="n">
        <v>1.078</v>
      </c>
      <c r="M104" s="56" t="n">
        <v>1700</v>
      </c>
      <c r="N104" s="8" t="s">
        <v>549</v>
      </c>
    </row>
    <row r="105" customFormat="false" ht="15" hidden="false" customHeight="false" outlineLevel="0" collapsed="false">
      <c r="A105" s="8" t="s">
        <v>23</v>
      </c>
      <c r="B105" s="8" t="s">
        <v>24</v>
      </c>
      <c r="C105" s="8" t="s">
        <v>522</v>
      </c>
      <c r="D105" s="8" t="s">
        <v>576</v>
      </c>
      <c r="E105" s="8" t="s">
        <v>515</v>
      </c>
      <c r="F105" s="56" t="n">
        <v>11225.1</v>
      </c>
      <c r="G105" s="56" t="n">
        <v>4549.29</v>
      </c>
      <c r="H105" s="43" t="n">
        <v>0.4296</v>
      </c>
      <c r="I105" s="56" t="n">
        <v>500</v>
      </c>
      <c r="J105" s="8" t="s">
        <v>581</v>
      </c>
      <c r="K105" s="19" t="n">
        <f aca="false">IF(G105=0,"",F105/G105)</f>
        <v>2.46743997414981</v>
      </c>
      <c r="L105" s="27" t="n">
        <v>1.078</v>
      </c>
      <c r="M105" s="56" t="n">
        <v>1700</v>
      </c>
      <c r="N105" s="8" t="s">
        <v>549</v>
      </c>
    </row>
    <row r="106" customFormat="false" ht="15" hidden="false" customHeight="false" outlineLevel="0" collapsed="false">
      <c r="A106" s="8" t="s">
        <v>23</v>
      </c>
      <c r="B106" s="8" t="s">
        <v>24</v>
      </c>
      <c r="C106" s="8" t="s">
        <v>525</v>
      </c>
      <c r="D106" s="8" t="s">
        <v>578</v>
      </c>
      <c r="E106" s="8" t="s">
        <v>513</v>
      </c>
      <c r="F106" s="56" t="n">
        <v>33879.14</v>
      </c>
      <c r="G106" s="56" t="n">
        <v>13427.27</v>
      </c>
      <c r="H106" s="43" t="n">
        <v>0.5201</v>
      </c>
      <c r="I106" s="56" t="n">
        <v>4525.76</v>
      </c>
      <c r="J106" s="8" t="s">
        <v>581</v>
      </c>
      <c r="K106" s="19" t="n">
        <f aca="false">IF(G106=0,"",F106/G106)</f>
        <v>2.52315921255773</v>
      </c>
      <c r="L106" s="27" t="n">
        <v>1.193</v>
      </c>
      <c r="M106" s="56" t="n">
        <v>13335.35</v>
      </c>
      <c r="N106" s="8" t="s">
        <v>549</v>
      </c>
    </row>
    <row r="107" customFormat="false" ht="15" hidden="false" customHeight="false" outlineLevel="0" collapsed="false">
      <c r="A107" s="8" t="s">
        <v>23</v>
      </c>
      <c r="B107" s="8" t="s">
        <v>24</v>
      </c>
      <c r="C107" s="8" t="s">
        <v>525</v>
      </c>
      <c r="D107" s="8" t="s">
        <v>578</v>
      </c>
      <c r="E107" s="8" t="s">
        <v>515</v>
      </c>
      <c r="F107" s="56" t="n">
        <v>28053.35</v>
      </c>
      <c r="G107" s="56" t="n">
        <v>8212.64</v>
      </c>
      <c r="H107" s="43" t="n">
        <v>0.346</v>
      </c>
      <c r="I107" s="56" t="n">
        <v>500</v>
      </c>
      <c r="J107" s="8" t="s">
        <v>581</v>
      </c>
      <c r="K107" s="19" t="n">
        <f aca="false">IF(G107=0,"",F107/G107)</f>
        <v>3.41587479787255</v>
      </c>
      <c r="L107" s="27" t="n">
        <v>1.127</v>
      </c>
      <c r="M107" s="56" t="n">
        <v>5663.61</v>
      </c>
      <c r="N107" s="8" t="n">
        <v>4</v>
      </c>
    </row>
    <row r="108" customFormat="false" ht="15" hidden="false" customHeight="false" outlineLevel="0" collapsed="false">
      <c r="A108" s="8" t="s">
        <v>23</v>
      </c>
      <c r="B108" s="8" t="s">
        <v>24</v>
      </c>
      <c r="C108" s="8" t="s">
        <v>516</v>
      </c>
      <c r="D108" s="8" t="s">
        <v>580</v>
      </c>
      <c r="E108" s="8" t="s">
        <v>513</v>
      </c>
      <c r="F108" s="56" t="n">
        <v>14597.56</v>
      </c>
      <c r="G108" s="56" t="n">
        <v>5849.53</v>
      </c>
      <c r="H108" s="43" t="n">
        <v>0.2604</v>
      </c>
      <c r="I108" s="56" t="n">
        <v>254.53</v>
      </c>
      <c r="J108" s="8" t="s">
        <v>581</v>
      </c>
      <c r="K108" s="19" t="n">
        <f aca="false">IF(G108=0,"",F108/G108)</f>
        <v>2.49550989566683</v>
      </c>
      <c r="L108" s="27" t="n">
        <v>1.081</v>
      </c>
      <c r="M108" s="56" t="n">
        <v>3016.84</v>
      </c>
      <c r="N108" s="8" t="n">
        <v>8</v>
      </c>
    </row>
    <row r="109" customFormat="false" ht="15" hidden="false" customHeight="false" outlineLevel="0" collapsed="false">
      <c r="A109" s="8" t="s">
        <v>23</v>
      </c>
      <c r="B109" s="8" t="s">
        <v>24</v>
      </c>
      <c r="C109" s="8" t="s">
        <v>516</v>
      </c>
      <c r="D109" s="8" t="s">
        <v>580</v>
      </c>
      <c r="E109" s="8" t="s">
        <v>515</v>
      </c>
      <c r="F109" s="56" t="n">
        <v>14597.56</v>
      </c>
      <c r="G109" s="56" t="n">
        <v>5849.53</v>
      </c>
      <c r="H109" s="43" t="n">
        <v>0.2604</v>
      </c>
      <c r="I109" s="56" t="n">
        <v>254.53</v>
      </c>
      <c r="J109" s="8" t="s">
        <v>581</v>
      </c>
      <c r="K109" s="19" t="n">
        <f aca="false">IF(G109=0,"",F109/G109)</f>
        <v>2.49550989566683</v>
      </c>
      <c r="L109" s="27" t="n">
        <v>1.081</v>
      </c>
      <c r="M109" s="56" t="n">
        <v>3016.84</v>
      </c>
      <c r="N109" s="8" t="n">
        <v>8</v>
      </c>
    </row>
    <row r="110" customFormat="false" ht="15" hidden="false" customHeight="false" outlineLevel="0" collapsed="false">
      <c r="A110" s="8" t="s">
        <v>23</v>
      </c>
      <c r="B110" s="8" t="s">
        <v>24</v>
      </c>
      <c r="C110" s="8" t="s">
        <v>521</v>
      </c>
      <c r="D110" s="8" t="s">
        <v>582</v>
      </c>
      <c r="E110" s="8" t="s">
        <v>513</v>
      </c>
      <c r="F110" s="56" t="n">
        <v>26879.92</v>
      </c>
      <c r="G110" s="56" t="n">
        <v>13834.1</v>
      </c>
      <c r="H110" s="43" t="n">
        <v>0.4532</v>
      </c>
      <c r="I110" s="56" t="n">
        <v>1500</v>
      </c>
      <c r="J110" s="8" t="s">
        <v>581</v>
      </c>
      <c r="K110" s="19" t="n">
        <f aca="false">IF(G110=0,"",F110/G110)</f>
        <v>1.94301906159418</v>
      </c>
      <c r="L110" s="27" t="n">
        <v>1.144</v>
      </c>
      <c r="M110" s="56" t="n">
        <v>5250</v>
      </c>
      <c r="N110" s="8" t="s">
        <v>549</v>
      </c>
    </row>
    <row r="111" customFormat="false" ht="15" hidden="false" customHeight="false" outlineLevel="0" collapsed="false">
      <c r="A111" s="8" t="s">
        <v>23</v>
      </c>
      <c r="B111" s="8" t="s">
        <v>24</v>
      </c>
      <c r="C111" s="8" t="s">
        <v>521</v>
      </c>
      <c r="D111" s="8" t="s">
        <v>582</v>
      </c>
      <c r="E111" s="8" t="s">
        <v>515</v>
      </c>
      <c r="F111" s="56" t="n">
        <v>25996</v>
      </c>
      <c r="G111" s="56" t="n">
        <v>10509.76</v>
      </c>
      <c r="H111" s="43" t="n">
        <v>0.3699</v>
      </c>
      <c r="I111" s="56" t="n">
        <v>500</v>
      </c>
      <c r="J111" s="8" t="s">
        <v>581</v>
      </c>
      <c r="K111" s="19" t="n">
        <f aca="false">IF(G111=0,"",F111/G111)</f>
        <v>2.47351033705813</v>
      </c>
      <c r="L111" s="27" t="n">
        <v>1.152</v>
      </c>
      <c r="M111" s="56" t="n">
        <v>4000</v>
      </c>
      <c r="N111" s="8" t="n">
        <v>9</v>
      </c>
    </row>
    <row r="113" customFormat="false" ht="15" hidden="false" customHeight="false" outlineLevel="0" collapsed="false">
      <c r="A113" s="8" t="s">
        <v>23</v>
      </c>
      <c r="B113" s="8" t="s">
        <v>59</v>
      </c>
      <c r="C113" s="8" t="s">
        <v>47</v>
      </c>
      <c r="D113" s="8" t="s">
        <v>547</v>
      </c>
      <c r="E113" s="8" t="s">
        <v>513</v>
      </c>
      <c r="F113" s="56" t="n">
        <v>4561.27</v>
      </c>
      <c r="G113" s="56" t="n">
        <v>1467.44</v>
      </c>
      <c r="H113" s="43" t="n">
        <v>0.1443</v>
      </c>
      <c r="I113" s="56" t="n">
        <v>50</v>
      </c>
      <c r="J113" s="8" t="s">
        <v>581</v>
      </c>
      <c r="K113" s="19" t="n">
        <f aca="false">IF(G113=0,"",F113/G113)</f>
        <v>3.10831788693235</v>
      </c>
      <c r="L113" s="27" t="n">
        <v>1.08</v>
      </c>
      <c r="M113" s="56" t="n">
        <v>600</v>
      </c>
      <c r="N113" s="8" t="n">
        <v>3</v>
      </c>
    </row>
    <row r="114" customFormat="false" ht="15" hidden="false" customHeight="false" outlineLevel="0" collapsed="false">
      <c r="A114" s="8" t="s">
        <v>23</v>
      </c>
      <c r="B114" s="8" t="s">
        <v>59</v>
      </c>
      <c r="C114" s="8" t="s">
        <v>47</v>
      </c>
      <c r="D114" s="8" t="s">
        <v>547</v>
      </c>
      <c r="E114" s="8" t="s">
        <v>515</v>
      </c>
      <c r="F114" s="56" t="n">
        <v>4561.27</v>
      </c>
      <c r="G114" s="56" t="n">
        <v>1467.44</v>
      </c>
      <c r="H114" s="43" t="n">
        <v>0.1443</v>
      </c>
      <c r="I114" s="56" t="n">
        <v>50</v>
      </c>
      <c r="J114" s="8" t="s">
        <v>581</v>
      </c>
      <c r="K114" s="19" t="n">
        <f aca="false">IF(G114=0,"",F114/G114)</f>
        <v>3.10831788693235</v>
      </c>
      <c r="L114" s="27" t="n">
        <v>1.08</v>
      </c>
      <c r="M114" s="56" t="n">
        <v>600</v>
      </c>
      <c r="N114" s="8" t="n">
        <v>3</v>
      </c>
    </row>
    <row r="115" customFormat="false" ht="15" hidden="false" customHeight="false" outlineLevel="0" collapsed="false">
      <c r="A115" s="51" t="s">
        <v>23</v>
      </c>
      <c r="B115" s="51" t="s">
        <v>59</v>
      </c>
      <c r="C115" s="51" t="s">
        <v>535</v>
      </c>
      <c r="D115" s="51" t="s">
        <v>550</v>
      </c>
      <c r="E115" s="51" t="s">
        <v>513</v>
      </c>
      <c r="F115" s="52" t="n">
        <v>-32233.59</v>
      </c>
      <c r="G115" s="52" t="n">
        <v>51150</v>
      </c>
      <c r="H115" s="53" t="n">
        <v>1.7689</v>
      </c>
      <c r="I115" s="52" t="n">
        <v>25600</v>
      </c>
      <c r="J115" s="51" t="s">
        <v>590</v>
      </c>
      <c r="K115" s="54" t="n">
        <f aca="false">IF(G115=0,"",F115/G115)</f>
        <v>-0.630177712609971</v>
      </c>
      <c r="L115" s="55" t="n">
        <v>0.53</v>
      </c>
      <c r="M115" s="52" t="n">
        <v>51150</v>
      </c>
      <c r="N115" s="51" t="s">
        <v>549</v>
      </c>
    </row>
    <row r="116" customFormat="false" ht="15" hidden="false" customHeight="false" outlineLevel="0" collapsed="false">
      <c r="A116" s="8" t="s">
        <v>23</v>
      </c>
      <c r="B116" s="8" t="s">
        <v>59</v>
      </c>
      <c r="C116" s="8" t="s">
        <v>535</v>
      </c>
      <c r="D116" s="8" t="s">
        <v>550</v>
      </c>
      <c r="E116" s="8" t="s">
        <v>515</v>
      </c>
      <c r="F116" s="56" t="n">
        <v>42541.54</v>
      </c>
      <c r="G116" s="56" t="n">
        <v>11870.63</v>
      </c>
      <c r="H116" s="43" t="n">
        <v>0.6519</v>
      </c>
      <c r="I116" s="56" t="n">
        <v>500</v>
      </c>
      <c r="J116" s="8" t="s">
        <v>581</v>
      </c>
      <c r="K116" s="19" t="n">
        <f aca="false">IF(G116=0,"",F116/G116)</f>
        <v>3.58376429894622</v>
      </c>
      <c r="L116" s="27" t="n">
        <v>1.099</v>
      </c>
      <c r="M116" s="56" t="n">
        <v>6000</v>
      </c>
      <c r="N116" s="8" t="s">
        <v>549</v>
      </c>
    </row>
    <row r="117" customFormat="false" ht="15" hidden="false" customHeight="false" outlineLevel="0" collapsed="false">
      <c r="A117" s="8" t="s">
        <v>23</v>
      </c>
      <c r="B117" s="8" t="s">
        <v>59</v>
      </c>
      <c r="C117" s="8" t="s">
        <v>527</v>
      </c>
      <c r="D117" s="8" t="s">
        <v>553</v>
      </c>
      <c r="E117" s="8" t="s">
        <v>513</v>
      </c>
      <c r="F117" s="56" t="n">
        <v>33053.67</v>
      </c>
      <c r="G117" s="56" t="n">
        <v>6550.92</v>
      </c>
      <c r="H117" s="43" t="n">
        <v>0.4593</v>
      </c>
      <c r="I117" s="56" t="n">
        <v>2233.64</v>
      </c>
      <c r="J117" s="8" t="s">
        <v>581</v>
      </c>
      <c r="K117" s="19" t="n">
        <f aca="false">IF(G117=0,"",F117/G117)</f>
        <v>5.04565312963675</v>
      </c>
      <c r="L117" s="27" t="n">
        <v>1.228</v>
      </c>
      <c r="M117" s="56" t="n">
        <v>6323.57</v>
      </c>
      <c r="N117" s="8" t="s">
        <v>549</v>
      </c>
    </row>
    <row r="118" customFormat="false" ht="15" hidden="false" customHeight="false" outlineLevel="0" collapsed="false">
      <c r="A118" s="8" t="s">
        <v>23</v>
      </c>
      <c r="B118" s="8" t="s">
        <v>59</v>
      </c>
      <c r="C118" s="8" t="s">
        <v>527</v>
      </c>
      <c r="D118" s="8" t="s">
        <v>553</v>
      </c>
      <c r="E118" s="8" t="s">
        <v>515</v>
      </c>
      <c r="F118" s="56" t="n">
        <v>30367.83</v>
      </c>
      <c r="G118" s="56" t="n">
        <v>7070.5</v>
      </c>
      <c r="H118" s="43" t="n">
        <v>0.508</v>
      </c>
      <c r="I118" s="56" t="n">
        <v>500</v>
      </c>
      <c r="J118" s="8" t="s">
        <v>581</v>
      </c>
      <c r="K118" s="19" t="n">
        <f aca="false">IF(G118=0,"",F118/G118)</f>
        <v>4.29500459656319</v>
      </c>
      <c r="L118" s="27" t="n">
        <v>1.186</v>
      </c>
      <c r="M118" s="56" t="n">
        <v>5000</v>
      </c>
      <c r="N118" s="8" t="s">
        <v>549</v>
      </c>
    </row>
    <row r="119" customFormat="false" ht="15" hidden="false" customHeight="false" outlineLevel="0" collapsed="false">
      <c r="A119" s="8" t="s">
        <v>23</v>
      </c>
      <c r="B119" s="8" t="s">
        <v>59</v>
      </c>
      <c r="C119" s="8" t="s">
        <v>529</v>
      </c>
      <c r="D119" s="8" t="s">
        <v>556</v>
      </c>
      <c r="E119" s="8" t="s">
        <v>513</v>
      </c>
      <c r="F119" s="56" t="n">
        <v>54532.77</v>
      </c>
      <c r="G119" s="56" t="n">
        <v>12874.63</v>
      </c>
      <c r="H119" s="43" t="n">
        <v>0.4168</v>
      </c>
      <c r="I119" s="56" t="n">
        <v>6487.32</v>
      </c>
      <c r="J119" s="8" t="s">
        <v>581</v>
      </c>
      <c r="K119" s="19" t="n">
        <f aca="false">IF(G119=0,"",F119/G119)</f>
        <v>4.2356766757569</v>
      </c>
      <c r="L119" s="27" t="n">
        <v>1.315</v>
      </c>
      <c r="M119" s="56" t="n">
        <v>12874.63</v>
      </c>
      <c r="N119" s="8" t="s">
        <v>549</v>
      </c>
    </row>
    <row r="120" customFormat="false" ht="15" hidden="false" customHeight="false" outlineLevel="0" collapsed="false">
      <c r="A120" s="8" t="s">
        <v>23</v>
      </c>
      <c r="B120" s="8" t="s">
        <v>59</v>
      </c>
      <c r="C120" s="8" t="s">
        <v>529</v>
      </c>
      <c r="D120" s="8" t="s">
        <v>556</v>
      </c>
      <c r="E120" s="8" t="s">
        <v>515</v>
      </c>
      <c r="F120" s="56" t="n">
        <v>37535.47</v>
      </c>
      <c r="G120" s="56" t="n">
        <v>9190.43</v>
      </c>
      <c r="H120" s="43" t="n">
        <v>0.5479</v>
      </c>
      <c r="I120" s="56" t="n">
        <v>500</v>
      </c>
      <c r="J120" s="8" t="s">
        <v>581</v>
      </c>
      <c r="K120" s="19" t="n">
        <f aca="false">IF(G120=0,"",F120/G120)</f>
        <v>4.08419083764307</v>
      </c>
      <c r="L120" s="27" t="n">
        <v>1.139</v>
      </c>
      <c r="M120" s="56" t="n">
        <v>6000</v>
      </c>
      <c r="N120" s="8" t="s">
        <v>549</v>
      </c>
    </row>
    <row r="121" customFormat="false" ht="15" hidden="false" customHeight="false" outlineLevel="0" collapsed="false">
      <c r="A121" s="51" t="s">
        <v>23</v>
      </c>
      <c r="B121" s="51" t="s">
        <v>59</v>
      </c>
      <c r="C121" s="51" t="s">
        <v>534</v>
      </c>
      <c r="D121" s="51" t="s">
        <v>559</v>
      </c>
      <c r="E121" s="51" t="s">
        <v>513</v>
      </c>
      <c r="F121" s="52" t="n">
        <v>-32233.59</v>
      </c>
      <c r="G121" s="52" t="n">
        <v>51150</v>
      </c>
      <c r="H121" s="53" t="n">
        <v>1.7689</v>
      </c>
      <c r="I121" s="52" t="n">
        <v>25600</v>
      </c>
      <c r="J121" s="51" t="s">
        <v>590</v>
      </c>
      <c r="K121" s="54" t="n">
        <f aca="false">IF(G121=0,"",F121/G121)</f>
        <v>-0.630177712609971</v>
      </c>
      <c r="L121" s="55" t="n">
        <v>0.53</v>
      </c>
      <c r="M121" s="52" t="n">
        <v>51150</v>
      </c>
      <c r="N121" s="51" t="s">
        <v>549</v>
      </c>
    </row>
    <row r="122" customFormat="false" ht="15" hidden="false" customHeight="false" outlineLevel="0" collapsed="false">
      <c r="A122" s="8" t="s">
        <v>23</v>
      </c>
      <c r="B122" s="8" t="s">
        <v>59</v>
      </c>
      <c r="C122" s="8" t="s">
        <v>534</v>
      </c>
      <c r="D122" s="8" t="s">
        <v>559</v>
      </c>
      <c r="E122" s="8" t="s">
        <v>515</v>
      </c>
      <c r="F122" s="56" t="n">
        <v>42304.03</v>
      </c>
      <c r="G122" s="56" t="n">
        <v>12040.16</v>
      </c>
      <c r="H122" s="43" t="n">
        <v>0.6672</v>
      </c>
      <c r="I122" s="56" t="n">
        <v>500</v>
      </c>
      <c r="J122" s="8" t="s">
        <v>581</v>
      </c>
      <c r="K122" s="19" t="n">
        <f aca="false">IF(G122=0,"",F122/G122)</f>
        <v>3.51357706209884</v>
      </c>
      <c r="L122" s="27" t="n">
        <v>1.095</v>
      </c>
      <c r="M122" s="56" t="n">
        <v>6000</v>
      </c>
      <c r="N122" s="8" t="s">
        <v>549</v>
      </c>
    </row>
    <row r="123" customFormat="false" ht="15" hidden="false" customHeight="false" outlineLevel="0" collapsed="false">
      <c r="A123" s="8" t="s">
        <v>23</v>
      </c>
      <c r="B123" s="8" t="s">
        <v>59</v>
      </c>
      <c r="C123" s="8" t="s">
        <v>530</v>
      </c>
      <c r="D123" s="8" t="s">
        <v>560</v>
      </c>
      <c r="E123" s="8" t="s">
        <v>513</v>
      </c>
      <c r="F123" s="56" t="n">
        <v>54532.77</v>
      </c>
      <c r="G123" s="56" t="n">
        <v>12874.63</v>
      </c>
      <c r="H123" s="43" t="n">
        <v>0.4168</v>
      </c>
      <c r="I123" s="56" t="n">
        <v>6487.32</v>
      </c>
      <c r="J123" s="8" t="s">
        <v>581</v>
      </c>
      <c r="K123" s="19" t="n">
        <f aca="false">IF(G123=0,"",F123/G123)</f>
        <v>4.2356766757569</v>
      </c>
      <c r="L123" s="27" t="n">
        <v>1.315</v>
      </c>
      <c r="M123" s="56" t="n">
        <v>12874.63</v>
      </c>
      <c r="N123" s="8" t="s">
        <v>549</v>
      </c>
    </row>
    <row r="124" customFormat="false" ht="15" hidden="false" customHeight="false" outlineLevel="0" collapsed="false">
      <c r="A124" s="8" t="s">
        <v>23</v>
      </c>
      <c r="B124" s="8" t="s">
        <v>59</v>
      </c>
      <c r="C124" s="8" t="s">
        <v>530</v>
      </c>
      <c r="D124" s="8" t="s">
        <v>560</v>
      </c>
      <c r="E124" s="8" t="s">
        <v>515</v>
      </c>
      <c r="F124" s="56" t="n">
        <v>37535.47</v>
      </c>
      <c r="G124" s="56" t="n">
        <v>9190.43</v>
      </c>
      <c r="H124" s="43" t="n">
        <v>0.5479</v>
      </c>
      <c r="I124" s="56" t="n">
        <v>500</v>
      </c>
      <c r="J124" s="8" t="s">
        <v>581</v>
      </c>
      <c r="K124" s="19" t="n">
        <f aca="false">IF(G124=0,"",F124/G124)</f>
        <v>4.08419083764307</v>
      </c>
      <c r="L124" s="27" t="n">
        <v>1.139</v>
      </c>
      <c r="M124" s="56" t="n">
        <v>6000</v>
      </c>
      <c r="N124" s="8" t="s">
        <v>549</v>
      </c>
    </row>
    <row r="125" customFormat="false" ht="15" hidden="false" customHeight="false" outlineLevel="0" collapsed="false">
      <c r="A125" s="51" t="s">
        <v>23</v>
      </c>
      <c r="B125" s="51" t="s">
        <v>59</v>
      </c>
      <c r="C125" s="51" t="s">
        <v>524</v>
      </c>
      <c r="D125" s="51" t="s">
        <v>561</v>
      </c>
      <c r="E125" s="51" t="s">
        <v>513</v>
      </c>
      <c r="F125" s="52" t="n">
        <v>-10163.08</v>
      </c>
      <c r="G125" s="52" t="n">
        <v>10741.21</v>
      </c>
      <c r="H125" s="53" t="n">
        <v>1.0154</v>
      </c>
      <c r="I125" s="52" t="n">
        <v>1425</v>
      </c>
      <c r="J125" s="51" t="s">
        <v>591</v>
      </c>
      <c r="K125" s="54" t="n">
        <f aca="false">IF(G125=0,"",F125/G125)</f>
        <v>-0.946176454980398</v>
      </c>
      <c r="L125" s="55" t="n">
        <v>0.761</v>
      </c>
      <c r="M125" s="52" t="n">
        <v>5750</v>
      </c>
      <c r="N125" s="51" t="s">
        <v>549</v>
      </c>
    </row>
    <row r="126" customFormat="false" ht="15" hidden="false" customHeight="false" outlineLevel="0" collapsed="false">
      <c r="A126" s="8" t="s">
        <v>23</v>
      </c>
      <c r="B126" s="8" t="s">
        <v>59</v>
      </c>
      <c r="C126" s="8" t="s">
        <v>524</v>
      </c>
      <c r="D126" s="8" t="s">
        <v>561</v>
      </c>
      <c r="E126" s="8" t="s">
        <v>515</v>
      </c>
      <c r="F126" s="56" t="n">
        <v>29752.23</v>
      </c>
      <c r="G126" s="56" t="n">
        <v>11401.67</v>
      </c>
      <c r="H126" s="43" t="n">
        <v>0.6853</v>
      </c>
      <c r="I126" s="56" t="n">
        <v>500</v>
      </c>
      <c r="J126" s="8" t="s">
        <v>581</v>
      </c>
      <c r="K126" s="19" t="n">
        <f aca="false">IF(G126=0,"",F126/G126)</f>
        <v>2.60946247347976</v>
      </c>
      <c r="L126" s="27" t="n">
        <v>1.087</v>
      </c>
      <c r="M126" s="56" t="n">
        <v>5300</v>
      </c>
      <c r="N126" s="8" t="s">
        <v>549</v>
      </c>
    </row>
    <row r="127" customFormat="false" ht="15" hidden="false" customHeight="false" outlineLevel="0" collapsed="false">
      <c r="A127" s="8" t="s">
        <v>23</v>
      </c>
      <c r="B127" s="8" t="s">
        <v>59</v>
      </c>
      <c r="C127" s="8" t="s">
        <v>533</v>
      </c>
      <c r="D127" s="8" t="s">
        <v>563</v>
      </c>
      <c r="E127" s="8" t="s">
        <v>513</v>
      </c>
      <c r="F127" s="56" t="n">
        <v>76864.45</v>
      </c>
      <c r="G127" s="56" t="n">
        <v>18800</v>
      </c>
      <c r="H127" s="43" t="n">
        <v>0.5069</v>
      </c>
      <c r="I127" s="56" t="n">
        <v>11650</v>
      </c>
      <c r="J127" s="8" t="s">
        <v>581</v>
      </c>
      <c r="K127" s="19" t="n">
        <f aca="false">IF(G127=0,"",F127/G127)</f>
        <v>4.08853457446809</v>
      </c>
      <c r="L127" s="27" t="n">
        <v>1.436</v>
      </c>
      <c r="M127" s="56" t="n">
        <v>18800</v>
      </c>
      <c r="N127" s="8" t="s">
        <v>549</v>
      </c>
    </row>
    <row r="128" customFormat="false" ht="15" hidden="false" customHeight="false" outlineLevel="0" collapsed="false">
      <c r="A128" s="8" t="s">
        <v>23</v>
      </c>
      <c r="B128" s="8" t="s">
        <v>59</v>
      </c>
      <c r="C128" s="8" t="s">
        <v>533</v>
      </c>
      <c r="D128" s="8" t="s">
        <v>563</v>
      </c>
      <c r="E128" s="8" t="s">
        <v>515</v>
      </c>
      <c r="F128" s="56" t="n">
        <v>44989.86</v>
      </c>
      <c r="G128" s="56" t="n">
        <v>9659.55</v>
      </c>
      <c r="H128" s="43" t="n">
        <v>0.5126</v>
      </c>
      <c r="I128" s="56" t="n">
        <v>500</v>
      </c>
      <c r="J128" s="8" t="s">
        <v>581</v>
      </c>
      <c r="K128" s="19" t="n">
        <f aca="false">IF(G128=0,"",F128/G128)</f>
        <v>4.65755237045204</v>
      </c>
      <c r="L128" s="27" t="n">
        <v>1.145</v>
      </c>
      <c r="M128" s="56" t="n">
        <v>6000</v>
      </c>
      <c r="N128" s="8" t="s">
        <v>549</v>
      </c>
    </row>
    <row r="129" customFormat="false" ht="15" hidden="false" customHeight="false" outlineLevel="0" collapsed="false">
      <c r="A129" s="51" t="s">
        <v>23</v>
      </c>
      <c r="B129" s="51" t="s">
        <v>59</v>
      </c>
      <c r="C129" s="51" t="s">
        <v>523</v>
      </c>
      <c r="D129" s="51" t="s">
        <v>566</v>
      </c>
      <c r="E129" s="51" t="s">
        <v>513</v>
      </c>
      <c r="F129" s="52" t="n">
        <v>-10604.16</v>
      </c>
      <c r="G129" s="52" t="n">
        <v>12021.17</v>
      </c>
      <c r="H129" s="53" t="n">
        <v>1.0529</v>
      </c>
      <c r="I129" s="52" t="n">
        <v>1700</v>
      </c>
      <c r="J129" s="51" t="s">
        <v>592</v>
      </c>
      <c r="K129" s="54" t="n">
        <f aca="false">IF(G129=0,"",F129/G129)</f>
        <v>-0.882123786619772</v>
      </c>
      <c r="L129" s="55" t="n">
        <v>0.789</v>
      </c>
      <c r="M129" s="52" t="n">
        <v>7000</v>
      </c>
      <c r="N129" s="51" t="s">
        <v>549</v>
      </c>
    </row>
    <row r="130" customFormat="false" ht="15" hidden="false" customHeight="false" outlineLevel="0" collapsed="false">
      <c r="A130" s="51" t="s">
        <v>23</v>
      </c>
      <c r="B130" s="51" t="s">
        <v>59</v>
      </c>
      <c r="C130" s="51" t="s">
        <v>523</v>
      </c>
      <c r="D130" s="51" t="s">
        <v>566</v>
      </c>
      <c r="E130" s="51" t="s">
        <v>515</v>
      </c>
      <c r="F130" s="52" t="n">
        <v>-10153.58</v>
      </c>
      <c r="G130" s="52" t="n">
        <v>11570.59</v>
      </c>
      <c r="H130" s="53" t="n">
        <v>1.0135</v>
      </c>
      <c r="I130" s="52" t="n">
        <v>500</v>
      </c>
      <c r="J130" s="51" t="s">
        <v>593</v>
      </c>
      <c r="K130" s="54" t="n">
        <f aca="false">IF(G130=0,"",F130/G130)</f>
        <v>-0.877533470635465</v>
      </c>
      <c r="L130" s="55" t="n">
        <v>0.863</v>
      </c>
      <c r="M130" s="52" t="n">
        <v>5000</v>
      </c>
      <c r="N130" s="51" t="s">
        <v>549</v>
      </c>
    </row>
    <row r="131" customFormat="false" ht="15" hidden="false" customHeight="false" outlineLevel="0" collapsed="false">
      <c r="A131" s="8" t="s">
        <v>23</v>
      </c>
      <c r="B131" s="8" t="s">
        <v>59</v>
      </c>
      <c r="C131" s="8" t="s">
        <v>519</v>
      </c>
      <c r="D131" s="8" t="s">
        <v>567</v>
      </c>
      <c r="E131" s="8" t="s">
        <v>513</v>
      </c>
      <c r="F131" s="56" t="n">
        <v>17270.82</v>
      </c>
      <c r="G131" s="56" t="n">
        <v>2922.89</v>
      </c>
      <c r="H131" s="43" t="n">
        <v>0.2395</v>
      </c>
      <c r="I131" s="56" t="n">
        <v>974.3</v>
      </c>
      <c r="J131" s="8" t="s">
        <v>581</v>
      </c>
      <c r="K131" s="19" t="n">
        <f aca="false">IF(G131=0,"",F131/G131)</f>
        <v>5.90881627430386</v>
      </c>
      <c r="L131" s="27" t="n">
        <v>1.201</v>
      </c>
      <c r="M131" s="56" t="n">
        <v>2858.3</v>
      </c>
      <c r="N131" s="8" t="s">
        <v>549</v>
      </c>
    </row>
    <row r="132" customFormat="false" ht="15" hidden="false" customHeight="false" outlineLevel="0" collapsed="false">
      <c r="A132" s="48" t="s">
        <v>23</v>
      </c>
      <c r="B132" s="48" t="s">
        <v>59</v>
      </c>
      <c r="C132" s="48" t="s">
        <v>519</v>
      </c>
      <c r="D132" s="48" t="s">
        <v>567</v>
      </c>
      <c r="E132" s="48" t="s">
        <v>515</v>
      </c>
      <c r="F132" s="57" t="n">
        <v>16914.3</v>
      </c>
      <c r="G132" s="57" t="n">
        <v>3178.25</v>
      </c>
      <c r="H132" s="58" t="n">
        <v>0.2698</v>
      </c>
      <c r="I132" s="57" t="n">
        <v>500</v>
      </c>
      <c r="J132" s="48" t="s">
        <v>581</v>
      </c>
      <c r="K132" s="59" t="n">
        <f aca="false">IF(G132=0,"",F132/G132)</f>
        <v>5.32189097773932</v>
      </c>
      <c r="L132" s="50" t="n">
        <v>1.193</v>
      </c>
      <c r="M132" s="57" t="n">
        <v>2579.53</v>
      </c>
      <c r="N132" s="48" t="n">
        <v>1</v>
      </c>
    </row>
    <row r="133" customFormat="false" ht="15" hidden="false" customHeight="false" outlineLevel="0" collapsed="false">
      <c r="A133" s="51" t="s">
        <v>23</v>
      </c>
      <c r="B133" s="51" t="s">
        <v>59</v>
      </c>
      <c r="C133" s="51" t="s">
        <v>528</v>
      </c>
      <c r="D133" s="51" t="s">
        <v>570</v>
      </c>
      <c r="E133" s="51" t="s">
        <v>513</v>
      </c>
      <c r="F133" s="52" t="n">
        <v>-11768.27</v>
      </c>
      <c r="G133" s="52" t="n">
        <v>16423.24</v>
      </c>
      <c r="H133" s="53" t="n">
        <v>1.1207</v>
      </c>
      <c r="I133" s="52" t="n">
        <v>4105.81</v>
      </c>
      <c r="J133" s="51" t="s">
        <v>594</v>
      </c>
      <c r="K133" s="54" t="n">
        <f aca="false">IF(G133=0,"",F133/G133)</f>
        <v>-0.716562018213215</v>
      </c>
      <c r="L133" s="55" t="n">
        <v>0.788</v>
      </c>
      <c r="M133" s="52" t="n">
        <v>15498.39</v>
      </c>
      <c r="N133" s="51" t="s">
        <v>549</v>
      </c>
    </row>
    <row r="134" customFormat="false" ht="15" hidden="false" customHeight="false" outlineLevel="0" collapsed="false">
      <c r="A134" s="8" t="s">
        <v>23</v>
      </c>
      <c r="B134" s="8" t="s">
        <v>59</v>
      </c>
      <c r="C134" s="8" t="s">
        <v>528</v>
      </c>
      <c r="D134" s="8" t="s">
        <v>570</v>
      </c>
      <c r="E134" s="8" t="s">
        <v>515</v>
      </c>
      <c r="F134" s="56" t="n">
        <v>50663.19</v>
      </c>
      <c r="G134" s="56" t="n">
        <v>14012.75</v>
      </c>
      <c r="H134" s="43" t="n">
        <v>0.671</v>
      </c>
      <c r="I134" s="56" t="n">
        <v>500</v>
      </c>
      <c r="J134" s="8" t="s">
        <v>581</v>
      </c>
      <c r="K134" s="19" t="n">
        <f aca="false">IF(G134=0,"",F134/G134)</f>
        <v>3.61550659221067</v>
      </c>
      <c r="L134" s="27" t="n">
        <v>1.105</v>
      </c>
      <c r="M134" s="56" t="n">
        <v>6000</v>
      </c>
      <c r="N134" s="8" t="s">
        <v>549</v>
      </c>
    </row>
    <row r="135" customFormat="false" ht="15" hidden="false" customHeight="false" outlineLevel="0" collapsed="false">
      <c r="A135" s="51" t="s">
        <v>23</v>
      </c>
      <c r="B135" s="51" t="s">
        <v>59</v>
      </c>
      <c r="C135" s="51" t="s">
        <v>531</v>
      </c>
      <c r="D135" s="51" t="s">
        <v>571</v>
      </c>
      <c r="E135" s="51" t="s">
        <v>513</v>
      </c>
      <c r="F135" s="52" t="n">
        <v>-10824.93</v>
      </c>
      <c r="G135" s="52" t="n">
        <v>14514.26</v>
      </c>
      <c r="H135" s="53" t="n">
        <v>1.0603</v>
      </c>
      <c r="I135" s="52" t="n">
        <v>6600</v>
      </c>
      <c r="J135" s="51" t="s">
        <v>554</v>
      </c>
      <c r="K135" s="54" t="n">
        <f aca="false">IF(G135=0,"",F135/G135)</f>
        <v>-0.745813427622214</v>
      </c>
      <c r="L135" s="55" t="n">
        <v>0.761</v>
      </c>
      <c r="M135" s="52" t="n">
        <v>12600</v>
      </c>
      <c r="N135" s="51" t="s">
        <v>549</v>
      </c>
    </row>
    <row r="136" customFormat="false" ht="15" hidden="false" customHeight="false" outlineLevel="0" collapsed="false">
      <c r="A136" s="51" t="s">
        <v>23</v>
      </c>
      <c r="B136" s="51" t="s">
        <v>59</v>
      </c>
      <c r="C136" s="51" t="s">
        <v>531</v>
      </c>
      <c r="D136" s="51" t="s">
        <v>571</v>
      </c>
      <c r="E136" s="51" t="s">
        <v>515</v>
      </c>
      <c r="F136" s="52" t="n">
        <v>-10391.26</v>
      </c>
      <c r="G136" s="52" t="n">
        <v>12194.91</v>
      </c>
      <c r="H136" s="53" t="n">
        <v>1.0331</v>
      </c>
      <c r="I136" s="52" t="n">
        <v>500</v>
      </c>
      <c r="J136" s="51" t="s">
        <v>595</v>
      </c>
      <c r="K136" s="54" t="n">
        <f aca="false">IF(G136=0,"",F136/G136)</f>
        <v>-0.85209812946549</v>
      </c>
      <c r="L136" s="55" t="n">
        <v>0.865</v>
      </c>
      <c r="M136" s="52" t="n">
        <v>5000</v>
      </c>
      <c r="N136" s="51" t="s">
        <v>549</v>
      </c>
    </row>
    <row r="137" customFormat="false" ht="15" hidden="false" customHeight="false" outlineLevel="0" collapsed="false">
      <c r="A137" s="51" t="s">
        <v>23</v>
      </c>
      <c r="B137" s="51" t="s">
        <v>59</v>
      </c>
      <c r="C137" s="51" t="s">
        <v>532</v>
      </c>
      <c r="D137" s="51" t="s">
        <v>573</v>
      </c>
      <c r="E137" s="51" t="s">
        <v>513</v>
      </c>
      <c r="F137" s="52" t="n">
        <v>-31774.6</v>
      </c>
      <c r="G137" s="52" t="n">
        <v>53400</v>
      </c>
      <c r="H137" s="53" t="n">
        <v>1.6885</v>
      </c>
      <c r="I137" s="52" t="n">
        <v>26050</v>
      </c>
      <c r="J137" s="51" t="s">
        <v>590</v>
      </c>
      <c r="K137" s="54" t="n">
        <f aca="false">IF(G137=0,"",F137/G137)</f>
        <v>-0.595029962546817</v>
      </c>
      <c r="L137" s="55" t="n">
        <v>0.585</v>
      </c>
      <c r="M137" s="52" t="n">
        <v>53400</v>
      </c>
      <c r="N137" s="51" t="s">
        <v>549</v>
      </c>
    </row>
    <row r="138" customFormat="false" ht="15" hidden="false" customHeight="false" outlineLevel="0" collapsed="false">
      <c r="A138" s="51" t="s">
        <v>23</v>
      </c>
      <c r="B138" s="51" t="s">
        <v>59</v>
      </c>
      <c r="C138" s="51" t="s">
        <v>532</v>
      </c>
      <c r="D138" s="51" t="s">
        <v>573</v>
      </c>
      <c r="E138" s="51" t="s">
        <v>515</v>
      </c>
      <c r="F138" s="52" t="n">
        <v>-10315.88</v>
      </c>
      <c r="G138" s="52" t="n">
        <v>12598.42</v>
      </c>
      <c r="H138" s="53" t="n">
        <v>1.0257</v>
      </c>
      <c r="I138" s="52" t="n">
        <v>500</v>
      </c>
      <c r="J138" s="51" t="s">
        <v>594</v>
      </c>
      <c r="K138" s="54" t="n">
        <f aca="false">IF(G138=0,"",F138/G138)</f>
        <v>-0.818823312764616</v>
      </c>
      <c r="L138" s="55" t="n">
        <v>0.9</v>
      </c>
      <c r="M138" s="52" t="n">
        <v>5000</v>
      </c>
      <c r="N138" s="51" t="s">
        <v>549</v>
      </c>
    </row>
    <row r="139" customFormat="false" ht="15" hidden="false" customHeight="false" outlineLevel="0" collapsed="false">
      <c r="A139" s="8" t="s">
        <v>23</v>
      </c>
      <c r="B139" s="8" t="s">
        <v>59</v>
      </c>
      <c r="C139" s="8" t="s">
        <v>518</v>
      </c>
      <c r="D139" s="8" t="s">
        <v>574</v>
      </c>
      <c r="E139" s="8" t="s">
        <v>513</v>
      </c>
      <c r="F139" s="56" t="n">
        <v>5027.13</v>
      </c>
      <c r="G139" s="56" t="n">
        <v>3489.39</v>
      </c>
      <c r="H139" s="43" t="n">
        <v>0.3412</v>
      </c>
      <c r="I139" s="56" t="n">
        <v>200</v>
      </c>
      <c r="J139" s="8" t="s">
        <v>581</v>
      </c>
      <c r="K139" s="19" t="n">
        <f aca="false">IF(G139=0,"",F139/G139)</f>
        <v>1.44069020659772</v>
      </c>
      <c r="L139" s="27" t="n">
        <v>1.057</v>
      </c>
      <c r="M139" s="56" t="n">
        <v>750</v>
      </c>
      <c r="N139" s="8" t="n">
        <v>5</v>
      </c>
    </row>
    <row r="140" customFormat="false" ht="15" hidden="false" customHeight="false" outlineLevel="0" collapsed="false">
      <c r="A140" s="8" t="s">
        <v>23</v>
      </c>
      <c r="B140" s="8" t="s">
        <v>59</v>
      </c>
      <c r="C140" s="8" t="s">
        <v>518</v>
      </c>
      <c r="D140" s="8" t="s">
        <v>574</v>
      </c>
      <c r="E140" s="8" t="s">
        <v>515</v>
      </c>
      <c r="F140" s="56" t="n">
        <v>5027.13</v>
      </c>
      <c r="G140" s="56" t="n">
        <v>3489.39</v>
      </c>
      <c r="H140" s="43" t="n">
        <v>0.3412</v>
      </c>
      <c r="I140" s="56" t="n">
        <v>200</v>
      </c>
      <c r="J140" s="8" t="s">
        <v>581</v>
      </c>
      <c r="K140" s="19" t="n">
        <f aca="false">IF(G140=0,"",F140/G140)</f>
        <v>1.44069020659772</v>
      </c>
      <c r="L140" s="27" t="n">
        <v>1.057</v>
      </c>
      <c r="M140" s="56" t="n">
        <v>750</v>
      </c>
      <c r="N140" s="8" t="n">
        <v>5</v>
      </c>
    </row>
    <row r="141" customFormat="false" ht="15" hidden="false" customHeight="false" outlineLevel="0" collapsed="false">
      <c r="A141" s="8" t="s">
        <v>23</v>
      </c>
      <c r="B141" s="8" t="s">
        <v>59</v>
      </c>
      <c r="C141" s="8" t="s">
        <v>522</v>
      </c>
      <c r="D141" s="8" t="s">
        <v>576</v>
      </c>
      <c r="E141" s="8" t="s">
        <v>513</v>
      </c>
      <c r="F141" s="56" t="n">
        <v>12991.95</v>
      </c>
      <c r="G141" s="56" t="n">
        <v>3996.72</v>
      </c>
      <c r="H141" s="43" t="n">
        <v>0.393</v>
      </c>
      <c r="I141" s="56" t="n">
        <v>500</v>
      </c>
      <c r="J141" s="8" t="s">
        <v>581</v>
      </c>
      <c r="K141" s="19" t="n">
        <f aca="false">IF(G141=0,"",F141/G141)</f>
        <v>3.2506530354891</v>
      </c>
      <c r="L141" s="27" t="n">
        <v>1.095</v>
      </c>
      <c r="M141" s="56" t="n">
        <v>1950</v>
      </c>
      <c r="N141" s="8" t="n">
        <v>2</v>
      </c>
    </row>
    <row r="142" customFormat="false" ht="15" hidden="false" customHeight="false" outlineLevel="0" collapsed="false">
      <c r="A142" s="8" t="s">
        <v>23</v>
      </c>
      <c r="B142" s="8" t="s">
        <v>59</v>
      </c>
      <c r="C142" s="8" t="s">
        <v>522</v>
      </c>
      <c r="D142" s="8" t="s">
        <v>576</v>
      </c>
      <c r="E142" s="8" t="s">
        <v>515</v>
      </c>
      <c r="F142" s="56" t="n">
        <v>12991.95</v>
      </c>
      <c r="G142" s="56" t="n">
        <v>3996.72</v>
      </c>
      <c r="H142" s="43" t="n">
        <v>0.393</v>
      </c>
      <c r="I142" s="56" t="n">
        <v>500</v>
      </c>
      <c r="J142" s="8" t="s">
        <v>581</v>
      </c>
      <c r="K142" s="19" t="n">
        <f aca="false">IF(G142=0,"",F142/G142)</f>
        <v>3.2506530354891</v>
      </c>
      <c r="L142" s="27" t="n">
        <v>1.095</v>
      </c>
      <c r="M142" s="56" t="n">
        <v>1950</v>
      </c>
      <c r="N142" s="8" t="n">
        <v>2</v>
      </c>
    </row>
    <row r="143" customFormat="false" ht="15" hidden="false" customHeight="false" outlineLevel="0" collapsed="false">
      <c r="A143" s="8" t="s">
        <v>23</v>
      </c>
      <c r="B143" s="8" t="s">
        <v>59</v>
      </c>
      <c r="C143" s="8" t="s">
        <v>525</v>
      </c>
      <c r="D143" s="8" t="s">
        <v>578</v>
      </c>
      <c r="E143" s="8" t="s">
        <v>513</v>
      </c>
      <c r="F143" s="56" t="n">
        <v>31079.46</v>
      </c>
      <c r="G143" s="56" t="n">
        <v>6132.11</v>
      </c>
      <c r="H143" s="43" t="n">
        <v>0.4347</v>
      </c>
      <c r="I143" s="56" t="n">
        <v>2094.04</v>
      </c>
      <c r="J143" s="8" t="s">
        <v>581</v>
      </c>
      <c r="K143" s="19" t="n">
        <f aca="false">IF(G143=0,"",F143/G143)</f>
        <v>5.06831416918483</v>
      </c>
      <c r="L143" s="27" t="n">
        <v>1.232</v>
      </c>
      <c r="M143" s="56" t="n">
        <v>5928.35</v>
      </c>
      <c r="N143" s="8" t="s">
        <v>549</v>
      </c>
    </row>
    <row r="144" customFormat="false" ht="15" hidden="false" customHeight="false" outlineLevel="0" collapsed="false">
      <c r="A144" s="8" t="s">
        <v>23</v>
      </c>
      <c r="B144" s="8" t="s">
        <v>59</v>
      </c>
      <c r="C144" s="8" t="s">
        <v>525</v>
      </c>
      <c r="D144" s="8" t="s">
        <v>578</v>
      </c>
      <c r="E144" s="8" t="s">
        <v>515</v>
      </c>
      <c r="F144" s="56" t="n">
        <v>28879.31</v>
      </c>
      <c r="G144" s="56" t="n">
        <v>6612.83</v>
      </c>
      <c r="H144" s="43" t="n">
        <v>0.4751</v>
      </c>
      <c r="I144" s="56" t="n">
        <v>500</v>
      </c>
      <c r="J144" s="8" t="s">
        <v>581</v>
      </c>
      <c r="K144" s="19" t="n">
        <f aca="false">IF(G144=0,"",F144/G144)</f>
        <v>4.36716352907908</v>
      </c>
      <c r="L144" s="27" t="n">
        <v>1.193</v>
      </c>
      <c r="M144" s="56" t="n">
        <v>4918.69</v>
      </c>
      <c r="N144" s="8" t="s">
        <v>549</v>
      </c>
    </row>
    <row r="145" customFormat="false" ht="15" hidden="false" customHeight="false" outlineLevel="0" collapsed="false">
      <c r="A145" s="8" t="s">
        <v>23</v>
      </c>
      <c r="B145" s="8" t="s">
        <v>59</v>
      </c>
      <c r="C145" s="8" t="s">
        <v>516</v>
      </c>
      <c r="D145" s="8" t="s">
        <v>580</v>
      </c>
      <c r="E145" s="8" t="s">
        <v>513</v>
      </c>
      <c r="F145" s="56" t="n">
        <v>10948.44</v>
      </c>
      <c r="G145" s="56" t="n">
        <v>4403.45</v>
      </c>
      <c r="H145" s="43" t="n">
        <v>0.2745</v>
      </c>
      <c r="I145" s="56" t="n">
        <v>221.03</v>
      </c>
      <c r="J145" s="8" t="s">
        <v>581</v>
      </c>
      <c r="K145" s="19" t="n">
        <f aca="false">IF(G145=0,"",F145/G145)</f>
        <v>2.48633230762243</v>
      </c>
      <c r="L145" s="27" t="n">
        <v>1.075</v>
      </c>
      <c r="M145" s="56" t="n">
        <v>2133.89</v>
      </c>
      <c r="N145" s="8" t="n">
        <v>4</v>
      </c>
    </row>
    <row r="146" customFormat="false" ht="15" hidden="false" customHeight="false" outlineLevel="0" collapsed="false">
      <c r="A146" s="8" t="s">
        <v>23</v>
      </c>
      <c r="B146" s="8" t="s">
        <v>59</v>
      </c>
      <c r="C146" s="8" t="s">
        <v>516</v>
      </c>
      <c r="D146" s="8" t="s">
        <v>580</v>
      </c>
      <c r="E146" s="8" t="s">
        <v>515</v>
      </c>
      <c r="F146" s="56" t="n">
        <v>10948.44</v>
      </c>
      <c r="G146" s="56" t="n">
        <v>4403.45</v>
      </c>
      <c r="H146" s="43" t="n">
        <v>0.2745</v>
      </c>
      <c r="I146" s="56" t="n">
        <v>221.03</v>
      </c>
      <c r="J146" s="8" t="s">
        <v>581</v>
      </c>
      <c r="K146" s="19" t="n">
        <f aca="false">IF(G146=0,"",F146/G146)</f>
        <v>2.48633230762243</v>
      </c>
      <c r="L146" s="27" t="n">
        <v>1.075</v>
      </c>
      <c r="M146" s="56" t="n">
        <v>2133.89</v>
      </c>
      <c r="N146" s="8" t="n">
        <v>4</v>
      </c>
    </row>
    <row r="147" customFormat="false" ht="15" hidden="false" customHeight="false" outlineLevel="0" collapsed="false">
      <c r="A147" s="8" t="s">
        <v>23</v>
      </c>
      <c r="B147" s="8" t="s">
        <v>59</v>
      </c>
      <c r="C147" s="8" t="s">
        <v>521</v>
      </c>
      <c r="D147" s="8" t="s">
        <v>582</v>
      </c>
      <c r="E147" s="8" t="s">
        <v>513</v>
      </c>
      <c r="F147" s="56" t="n">
        <v>23971.51</v>
      </c>
      <c r="G147" s="56" t="n">
        <v>8727.92</v>
      </c>
      <c r="H147" s="43" t="n">
        <v>0.8426</v>
      </c>
      <c r="I147" s="56" t="n">
        <v>1350</v>
      </c>
      <c r="J147" s="8" t="s">
        <v>581</v>
      </c>
      <c r="K147" s="19" t="n">
        <f aca="false">IF(G147=0,"",F147/G147)</f>
        <v>2.74653181972337</v>
      </c>
      <c r="L147" s="27" t="n">
        <v>1.123</v>
      </c>
      <c r="M147" s="56" t="n">
        <v>4500</v>
      </c>
      <c r="N147" s="8" t="s">
        <v>549</v>
      </c>
    </row>
    <row r="148" customFormat="false" ht="15" hidden="false" customHeight="false" outlineLevel="0" collapsed="false">
      <c r="A148" s="8" t="s">
        <v>23</v>
      </c>
      <c r="B148" s="8" t="s">
        <v>59</v>
      </c>
      <c r="C148" s="8" t="s">
        <v>521</v>
      </c>
      <c r="D148" s="8" t="s">
        <v>582</v>
      </c>
      <c r="E148" s="8" t="s">
        <v>515</v>
      </c>
      <c r="F148" s="56" t="n">
        <v>20550.96</v>
      </c>
      <c r="G148" s="56" t="n">
        <v>8539.85</v>
      </c>
      <c r="H148" s="43" t="n">
        <v>0.6879</v>
      </c>
      <c r="I148" s="56" t="n">
        <v>500</v>
      </c>
      <c r="J148" s="8" t="s">
        <v>581</v>
      </c>
      <c r="K148" s="19" t="n">
        <f aca="false">IF(G148=0,"",F148/G148)</f>
        <v>2.40647786553628</v>
      </c>
      <c r="L148" s="27" t="n">
        <v>1.088</v>
      </c>
      <c r="M148" s="56" t="n">
        <v>4500</v>
      </c>
      <c r="N148" s="8" t="s">
        <v>549</v>
      </c>
    </row>
    <row r="150" customFormat="false" ht="15" hidden="false" customHeight="false" outlineLevel="0" collapsed="false">
      <c r="A150" s="51" t="s">
        <v>62</v>
      </c>
      <c r="B150" s="51" t="s">
        <v>148</v>
      </c>
      <c r="C150" s="51" t="s">
        <v>47</v>
      </c>
      <c r="D150" s="51" t="s">
        <v>547</v>
      </c>
      <c r="E150" s="51" t="s">
        <v>513</v>
      </c>
      <c r="F150" s="52" t="n">
        <v>-10000.13</v>
      </c>
      <c r="G150" s="52" t="n">
        <v>10120.74</v>
      </c>
      <c r="H150" s="53" t="n">
        <v>1</v>
      </c>
      <c r="I150" s="52" t="n">
        <v>50</v>
      </c>
      <c r="J150" s="51" t="s">
        <v>596</v>
      </c>
      <c r="K150" s="54" t="n">
        <f aca="false">IF(G150=0,"",F150/G150)</f>
        <v>-0.988082887219709</v>
      </c>
      <c r="L150" s="55" t="n">
        <v>0.733</v>
      </c>
      <c r="M150" s="52" t="n">
        <v>650</v>
      </c>
      <c r="N150" s="51" t="s">
        <v>549</v>
      </c>
    </row>
    <row r="151" customFormat="false" ht="15" hidden="false" customHeight="false" outlineLevel="0" collapsed="false">
      <c r="A151" s="51" t="s">
        <v>62</v>
      </c>
      <c r="B151" s="51" t="s">
        <v>148</v>
      </c>
      <c r="C151" s="51" t="s">
        <v>47</v>
      </c>
      <c r="D151" s="51" t="s">
        <v>547</v>
      </c>
      <c r="E151" s="51" t="s">
        <v>515</v>
      </c>
      <c r="F151" s="52" t="n">
        <v>-10000.13</v>
      </c>
      <c r="G151" s="52" t="n">
        <v>10120.74</v>
      </c>
      <c r="H151" s="53" t="n">
        <v>1</v>
      </c>
      <c r="I151" s="52" t="n">
        <v>50</v>
      </c>
      <c r="J151" s="51" t="s">
        <v>596</v>
      </c>
      <c r="K151" s="54" t="n">
        <f aca="false">IF(G151=0,"",F151/G151)</f>
        <v>-0.988082887219709</v>
      </c>
      <c r="L151" s="55" t="n">
        <v>0.733</v>
      </c>
      <c r="M151" s="52" t="n">
        <v>650</v>
      </c>
      <c r="N151" s="51" t="s">
        <v>549</v>
      </c>
    </row>
    <row r="152" customFormat="false" ht="15" hidden="false" customHeight="false" outlineLevel="0" collapsed="false">
      <c r="A152" s="51" t="s">
        <v>62</v>
      </c>
      <c r="B152" s="51" t="s">
        <v>148</v>
      </c>
      <c r="C152" s="51" t="s">
        <v>535</v>
      </c>
      <c r="D152" s="51" t="s">
        <v>550</v>
      </c>
      <c r="E152" s="51" t="s">
        <v>513</v>
      </c>
      <c r="F152" s="52" t="n">
        <v>-22748.62</v>
      </c>
      <c r="G152" s="52" t="n">
        <v>25550</v>
      </c>
      <c r="H152" s="53" t="n">
        <v>1.9959</v>
      </c>
      <c r="I152" s="52" t="n">
        <v>12800</v>
      </c>
      <c r="J152" s="51" t="s">
        <v>597</v>
      </c>
      <c r="K152" s="54" t="n">
        <f aca="false">IF(G152=0,"",F152/G152)</f>
        <v>-0.890356947162427</v>
      </c>
      <c r="L152" s="55" t="n">
        <v>0.213</v>
      </c>
      <c r="M152" s="52" t="n">
        <v>25550</v>
      </c>
      <c r="N152" s="51" t="s">
        <v>549</v>
      </c>
    </row>
    <row r="153" customFormat="false" ht="15" hidden="false" customHeight="false" outlineLevel="0" collapsed="false">
      <c r="A153" s="51" t="s">
        <v>62</v>
      </c>
      <c r="B153" s="51" t="s">
        <v>148</v>
      </c>
      <c r="C153" s="51" t="s">
        <v>535</v>
      </c>
      <c r="D153" s="51" t="s">
        <v>550</v>
      </c>
      <c r="E153" s="51" t="s">
        <v>515</v>
      </c>
      <c r="F153" s="52" t="n">
        <v>-10127.22</v>
      </c>
      <c r="G153" s="52" t="n">
        <v>10512.5</v>
      </c>
      <c r="H153" s="53" t="n">
        <v>1.0122</v>
      </c>
      <c r="I153" s="52" t="n">
        <v>500</v>
      </c>
      <c r="J153" s="51" t="s">
        <v>598</v>
      </c>
      <c r="K153" s="54" t="n">
        <f aca="false">IF(G153=0,"",F153/G153)</f>
        <v>-0.96335029726516</v>
      </c>
      <c r="L153" s="55" t="n">
        <v>0.638</v>
      </c>
      <c r="M153" s="52" t="n">
        <v>5000</v>
      </c>
      <c r="N153" s="51" t="s">
        <v>549</v>
      </c>
    </row>
    <row r="154" customFormat="false" ht="15" hidden="false" customHeight="false" outlineLevel="0" collapsed="false">
      <c r="A154" s="51" t="s">
        <v>62</v>
      </c>
      <c r="B154" s="51" t="s">
        <v>148</v>
      </c>
      <c r="C154" s="51" t="s">
        <v>527</v>
      </c>
      <c r="D154" s="51" t="s">
        <v>553</v>
      </c>
      <c r="E154" s="51" t="s">
        <v>513</v>
      </c>
      <c r="F154" s="52" t="n">
        <v>-11833.03</v>
      </c>
      <c r="G154" s="52" t="n">
        <v>12562.43</v>
      </c>
      <c r="H154" s="53" t="n">
        <v>1.1708</v>
      </c>
      <c r="I154" s="52" t="n">
        <v>3178.11</v>
      </c>
      <c r="J154" s="51" t="s">
        <v>598</v>
      </c>
      <c r="K154" s="54" t="n">
        <f aca="false">IF(G154=0,"",F154/G154)</f>
        <v>-0.941937984928075</v>
      </c>
      <c r="L154" s="55" t="n">
        <v>0.529</v>
      </c>
      <c r="M154" s="52" t="n">
        <v>11015.52</v>
      </c>
      <c r="N154" s="51" t="s">
        <v>549</v>
      </c>
    </row>
    <row r="155" customFormat="false" ht="15" hidden="false" customHeight="false" outlineLevel="0" collapsed="false">
      <c r="A155" s="51" t="s">
        <v>62</v>
      </c>
      <c r="B155" s="51" t="s">
        <v>148</v>
      </c>
      <c r="C155" s="51" t="s">
        <v>527</v>
      </c>
      <c r="D155" s="51" t="s">
        <v>553</v>
      </c>
      <c r="E155" s="51" t="s">
        <v>515</v>
      </c>
      <c r="F155" s="52" t="n">
        <v>-10184.11</v>
      </c>
      <c r="G155" s="52" t="n">
        <v>10739.9</v>
      </c>
      <c r="H155" s="53" t="n">
        <v>1.0174</v>
      </c>
      <c r="I155" s="52" t="n">
        <v>500</v>
      </c>
      <c r="J155" s="51" t="s">
        <v>599</v>
      </c>
      <c r="K155" s="54" t="n">
        <f aca="false">IF(G155=0,"",F155/G155)</f>
        <v>-0.948249983705621</v>
      </c>
      <c r="L155" s="55" t="n">
        <v>0.557</v>
      </c>
      <c r="M155" s="52" t="n">
        <v>5000</v>
      </c>
      <c r="N155" s="51" t="s">
        <v>549</v>
      </c>
    </row>
    <row r="156" customFormat="false" ht="15" hidden="false" customHeight="false" outlineLevel="0" collapsed="false">
      <c r="A156" s="51" t="s">
        <v>62</v>
      </c>
      <c r="B156" s="51" t="s">
        <v>148</v>
      </c>
      <c r="C156" s="51" t="s">
        <v>529</v>
      </c>
      <c r="D156" s="51" t="s">
        <v>556</v>
      </c>
      <c r="E156" s="51" t="s">
        <v>513</v>
      </c>
      <c r="F156" s="52" t="n">
        <v>-15126.86</v>
      </c>
      <c r="G156" s="52" t="n">
        <v>16389.25</v>
      </c>
      <c r="H156" s="53" t="n">
        <v>1.4552</v>
      </c>
      <c r="I156" s="52" t="n">
        <v>5496.42</v>
      </c>
      <c r="J156" s="51" t="s">
        <v>600</v>
      </c>
      <c r="K156" s="54" t="n">
        <f aca="false">IF(G156=0,"",F156/G156)</f>
        <v>-0.92297451073112</v>
      </c>
      <c r="L156" s="55" t="n">
        <v>0.559</v>
      </c>
      <c r="M156" s="52" t="n">
        <v>16203.3</v>
      </c>
      <c r="N156" s="51" t="s">
        <v>549</v>
      </c>
    </row>
    <row r="157" customFormat="false" ht="15" hidden="false" customHeight="false" outlineLevel="0" collapsed="false">
      <c r="A157" s="51" t="s">
        <v>62</v>
      </c>
      <c r="B157" s="51" t="s">
        <v>148</v>
      </c>
      <c r="C157" s="51" t="s">
        <v>529</v>
      </c>
      <c r="D157" s="51" t="s">
        <v>556</v>
      </c>
      <c r="E157" s="51" t="s">
        <v>515</v>
      </c>
      <c r="F157" s="52" t="n">
        <v>-10350.86</v>
      </c>
      <c r="G157" s="52" t="n">
        <v>10989.18</v>
      </c>
      <c r="H157" s="53" t="n">
        <v>1.033</v>
      </c>
      <c r="I157" s="52" t="n">
        <v>500</v>
      </c>
      <c r="J157" s="51" t="s">
        <v>601</v>
      </c>
      <c r="K157" s="54" t="n">
        <f aca="false">IF(G157=0,"",F157/G157)</f>
        <v>-0.941913773366166</v>
      </c>
      <c r="L157" s="55" t="n">
        <v>0.606</v>
      </c>
      <c r="M157" s="52" t="n">
        <v>5000</v>
      </c>
      <c r="N157" s="51" t="s">
        <v>549</v>
      </c>
    </row>
    <row r="158" customFormat="false" ht="15" hidden="false" customHeight="false" outlineLevel="0" collapsed="false">
      <c r="A158" s="51" t="s">
        <v>62</v>
      </c>
      <c r="B158" s="51" t="s">
        <v>148</v>
      </c>
      <c r="C158" s="51" t="s">
        <v>534</v>
      </c>
      <c r="D158" s="51" t="s">
        <v>559</v>
      </c>
      <c r="E158" s="51" t="s">
        <v>513</v>
      </c>
      <c r="F158" s="52" t="n">
        <v>-22748.62</v>
      </c>
      <c r="G158" s="52" t="n">
        <v>25550</v>
      </c>
      <c r="H158" s="53" t="n">
        <v>1.9959</v>
      </c>
      <c r="I158" s="52" t="n">
        <v>12800</v>
      </c>
      <c r="J158" s="51" t="s">
        <v>597</v>
      </c>
      <c r="K158" s="54" t="n">
        <f aca="false">IF(G158=0,"",F158/G158)</f>
        <v>-0.890356947162427</v>
      </c>
      <c r="L158" s="55" t="n">
        <v>0.213</v>
      </c>
      <c r="M158" s="52" t="n">
        <v>25550</v>
      </c>
      <c r="N158" s="51" t="s">
        <v>549</v>
      </c>
    </row>
    <row r="159" customFormat="false" ht="15" hidden="false" customHeight="false" outlineLevel="0" collapsed="false">
      <c r="A159" s="51" t="s">
        <v>62</v>
      </c>
      <c r="B159" s="51" t="s">
        <v>148</v>
      </c>
      <c r="C159" s="51" t="s">
        <v>534</v>
      </c>
      <c r="D159" s="51" t="s">
        <v>559</v>
      </c>
      <c r="E159" s="51" t="s">
        <v>515</v>
      </c>
      <c r="F159" s="52" t="n">
        <v>-10127.22</v>
      </c>
      <c r="G159" s="52" t="n">
        <v>10512.5</v>
      </c>
      <c r="H159" s="53" t="n">
        <v>1.0122</v>
      </c>
      <c r="I159" s="52" t="n">
        <v>500</v>
      </c>
      <c r="J159" s="51" t="s">
        <v>598</v>
      </c>
      <c r="K159" s="54" t="n">
        <f aca="false">IF(G159=0,"",F159/G159)</f>
        <v>-0.96335029726516</v>
      </c>
      <c r="L159" s="55" t="n">
        <v>0.638</v>
      </c>
      <c r="M159" s="52" t="n">
        <v>5000</v>
      </c>
      <c r="N159" s="51" t="s">
        <v>549</v>
      </c>
    </row>
    <row r="160" customFormat="false" ht="15" hidden="false" customHeight="false" outlineLevel="0" collapsed="false">
      <c r="A160" s="51" t="s">
        <v>62</v>
      </c>
      <c r="B160" s="51" t="s">
        <v>148</v>
      </c>
      <c r="C160" s="51" t="s">
        <v>530</v>
      </c>
      <c r="D160" s="51" t="s">
        <v>560</v>
      </c>
      <c r="E160" s="51" t="s">
        <v>513</v>
      </c>
      <c r="F160" s="52" t="n">
        <v>-15126.86</v>
      </c>
      <c r="G160" s="52" t="n">
        <v>16389.25</v>
      </c>
      <c r="H160" s="53" t="n">
        <v>1.4552</v>
      </c>
      <c r="I160" s="52" t="n">
        <v>5496.42</v>
      </c>
      <c r="J160" s="51" t="s">
        <v>600</v>
      </c>
      <c r="K160" s="54" t="n">
        <f aca="false">IF(G160=0,"",F160/G160)</f>
        <v>-0.92297451073112</v>
      </c>
      <c r="L160" s="55" t="n">
        <v>0.559</v>
      </c>
      <c r="M160" s="52" t="n">
        <v>16203.3</v>
      </c>
      <c r="N160" s="51" t="s">
        <v>549</v>
      </c>
    </row>
    <row r="161" customFormat="false" ht="15" hidden="false" customHeight="false" outlineLevel="0" collapsed="false">
      <c r="A161" s="51" t="s">
        <v>62</v>
      </c>
      <c r="B161" s="51" t="s">
        <v>148</v>
      </c>
      <c r="C161" s="51" t="s">
        <v>530</v>
      </c>
      <c r="D161" s="51" t="s">
        <v>560</v>
      </c>
      <c r="E161" s="51" t="s">
        <v>515</v>
      </c>
      <c r="F161" s="52" t="n">
        <v>-10350.86</v>
      </c>
      <c r="G161" s="52" t="n">
        <v>10989.18</v>
      </c>
      <c r="H161" s="53" t="n">
        <v>1.033</v>
      </c>
      <c r="I161" s="52" t="n">
        <v>500</v>
      </c>
      <c r="J161" s="51" t="s">
        <v>601</v>
      </c>
      <c r="K161" s="54" t="n">
        <f aca="false">IF(G161=0,"",F161/G161)</f>
        <v>-0.941913773366166</v>
      </c>
      <c r="L161" s="55" t="n">
        <v>0.606</v>
      </c>
      <c r="M161" s="52" t="n">
        <v>5000</v>
      </c>
      <c r="N161" s="51" t="s">
        <v>549</v>
      </c>
    </row>
    <row r="162" customFormat="false" ht="15" hidden="false" customHeight="false" outlineLevel="0" collapsed="false">
      <c r="A162" s="51" t="s">
        <v>62</v>
      </c>
      <c r="B162" s="51" t="s">
        <v>148</v>
      </c>
      <c r="C162" s="51" t="s">
        <v>524</v>
      </c>
      <c r="D162" s="51" t="s">
        <v>561</v>
      </c>
      <c r="E162" s="51" t="s">
        <v>513</v>
      </c>
      <c r="F162" s="52" t="n">
        <v>-10813.27</v>
      </c>
      <c r="G162" s="52" t="n">
        <v>11921.07</v>
      </c>
      <c r="H162" s="53" t="n">
        <v>1.0732</v>
      </c>
      <c r="I162" s="52" t="n">
        <v>925</v>
      </c>
      <c r="J162" s="51" t="s">
        <v>601</v>
      </c>
      <c r="K162" s="54" t="n">
        <f aca="false">IF(G162=0,"",F162/G162)</f>
        <v>-0.907072100071554</v>
      </c>
      <c r="L162" s="55" t="n">
        <v>0.558</v>
      </c>
      <c r="M162" s="52" t="n">
        <v>5875</v>
      </c>
      <c r="N162" s="51" t="s">
        <v>549</v>
      </c>
    </row>
    <row r="163" customFormat="false" ht="15" hidden="false" customHeight="false" outlineLevel="0" collapsed="false">
      <c r="A163" s="51" t="s">
        <v>62</v>
      </c>
      <c r="B163" s="51" t="s">
        <v>148</v>
      </c>
      <c r="C163" s="51" t="s">
        <v>524</v>
      </c>
      <c r="D163" s="51" t="s">
        <v>561</v>
      </c>
      <c r="E163" s="51" t="s">
        <v>515</v>
      </c>
      <c r="F163" s="52" t="n">
        <v>-10361.23</v>
      </c>
      <c r="G163" s="52" t="n">
        <v>11424.66</v>
      </c>
      <c r="H163" s="53" t="n">
        <v>1.0327</v>
      </c>
      <c r="I163" s="52" t="n">
        <v>500</v>
      </c>
      <c r="J163" s="51" t="s">
        <v>602</v>
      </c>
      <c r="K163" s="54" t="n">
        <f aca="false">IF(G163=0,"",F163/G163)</f>
        <v>-0.906918017691555</v>
      </c>
      <c r="L163" s="55" t="n">
        <v>0.543</v>
      </c>
      <c r="M163" s="52" t="n">
        <v>5000</v>
      </c>
      <c r="N163" s="51" t="s">
        <v>549</v>
      </c>
    </row>
    <row r="164" customFormat="false" ht="15" hidden="false" customHeight="false" outlineLevel="0" collapsed="false">
      <c r="A164" s="51" t="s">
        <v>62</v>
      </c>
      <c r="B164" s="51" t="s">
        <v>148</v>
      </c>
      <c r="C164" s="51" t="s">
        <v>533</v>
      </c>
      <c r="D164" s="51" t="s">
        <v>563</v>
      </c>
      <c r="E164" s="51" t="s">
        <v>513</v>
      </c>
      <c r="F164" s="52" t="n">
        <v>-13283.16</v>
      </c>
      <c r="G164" s="52" t="n">
        <v>31365.26</v>
      </c>
      <c r="H164" s="53" t="n">
        <v>1.1169</v>
      </c>
      <c r="I164" s="52" t="n">
        <v>18850</v>
      </c>
      <c r="J164" s="51" t="s">
        <v>603</v>
      </c>
      <c r="K164" s="54" t="n">
        <f aca="false">IF(G164=0,"",F164/G164)</f>
        <v>-0.42349911972673</v>
      </c>
      <c r="L164" s="55" t="n">
        <v>0.873</v>
      </c>
      <c r="M164" s="52" t="n">
        <v>30500</v>
      </c>
      <c r="N164" s="51" t="s">
        <v>549</v>
      </c>
    </row>
    <row r="165" customFormat="false" ht="15" hidden="false" customHeight="false" outlineLevel="0" collapsed="false">
      <c r="A165" s="51" t="s">
        <v>62</v>
      </c>
      <c r="B165" s="51" t="s">
        <v>148</v>
      </c>
      <c r="C165" s="51" t="s">
        <v>533</v>
      </c>
      <c r="D165" s="51" t="s">
        <v>563</v>
      </c>
      <c r="E165" s="51" t="s">
        <v>515</v>
      </c>
      <c r="F165" s="52" t="n">
        <v>-10076.86</v>
      </c>
      <c r="G165" s="52" t="n">
        <v>10262.5</v>
      </c>
      <c r="H165" s="53" t="n">
        <v>1.0075</v>
      </c>
      <c r="I165" s="52" t="n">
        <v>500</v>
      </c>
      <c r="J165" s="51" t="s">
        <v>604</v>
      </c>
      <c r="K165" s="54" t="n">
        <f aca="false">IF(G165=0,"",F165/G165)</f>
        <v>-0.98191084043849</v>
      </c>
      <c r="L165" s="55" t="n">
        <v>0.636</v>
      </c>
      <c r="M165" s="52" t="n">
        <v>5000</v>
      </c>
      <c r="N165" s="51" t="s">
        <v>549</v>
      </c>
    </row>
    <row r="166" customFormat="false" ht="15" hidden="false" customHeight="false" outlineLevel="0" collapsed="false">
      <c r="A166" s="51" t="s">
        <v>62</v>
      </c>
      <c r="B166" s="51" t="s">
        <v>148</v>
      </c>
      <c r="C166" s="51" t="s">
        <v>523</v>
      </c>
      <c r="D166" s="51" t="s">
        <v>566</v>
      </c>
      <c r="E166" s="51" t="s">
        <v>513</v>
      </c>
      <c r="F166" s="52" t="n">
        <v>-11190.39</v>
      </c>
      <c r="G166" s="52" t="n">
        <v>14543.77</v>
      </c>
      <c r="H166" s="53" t="n">
        <v>1.0891</v>
      </c>
      <c r="I166" s="52" t="n">
        <v>1550</v>
      </c>
      <c r="J166" s="51" t="s">
        <v>605</v>
      </c>
      <c r="K166" s="54" t="n">
        <f aca="false">IF(G166=0,"",F166/G166)</f>
        <v>-0.769428421929115</v>
      </c>
      <c r="L166" s="55" t="n">
        <v>0.73</v>
      </c>
      <c r="M166" s="52" t="n">
        <v>9000</v>
      </c>
      <c r="N166" s="51" t="s">
        <v>549</v>
      </c>
    </row>
    <row r="167" customFormat="false" ht="15" hidden="false" customHeight="false" outlineLevel="0" collapsed="false">
      <c r="A167" s="51" t="s">
        <v>62</v>
      </c>
      <c r="B167" s="51" t="s">
        <v>148</v>
      </c>
      <c r="C167" s="51" t="s">
        <v>523</v>
      </c>
      <c r="D167" s="51" t="s">
        <v>566</v>
      </c>
      <c r="E167" s="51" t="s">
        <v>515</v>
      </c>
      <c r="F167" s="52" t="n">
        <v>-10183.67</v>
      </c>
      <c r="G167" s="52" t="n">
        <v>10486.44</v>
      </c>
      <c r="H167" s="53" t="n">
        <v>1.0178</v>
      </c>
      <c r="I167" s="52" t="n">
        <v>500</v>
      </c>
      <c r="J167" s="51" t="s">
        <v>604</v>
      </c>
      <c r="K167" s="54" t="n">
        <f aca="false">IF(G167=0,"",F167/G167)</f>
        <v>-0.971127475101178</v>
      </c>
      <c r="L167" s="55" t="n">
        <v>0.633</v>
      </c>
      <c r="M167" s="52" t="n">
        <v>4700</v>
      </c>
      <c r="N167" s="51" t="s">
        <v>549</v>
      </c>
    </row>
    <row r="168" customFormat="false" ht="15" hidden="false" customHeight="false" outlineLevel="0" collapsed="false">
      <c r="A168" s="51" t="s">
        <v>62</v>
      </c>
      <c r="B168" s="51" t="s">
        <v>148</v>
      </c>
      <c r="C168" s="51" t="s">
        <v>519</v>
      </c>
      <c r="D168" s="51" t="s">
        <v>567</v>
      </c>
      <c r="E168" s="51" t="s">
        <v>513</v>
      </c>
      <c r="F168" s="52" t="n">
        <v>-12395.05</v>
      </c>
      <c r="G168" s="52" t="n">
        <v>12712.43</v>
      </c>
      <c r="H168" s="53" t="n">
        <v>1.2321</v>
      </c>
      <c r="I168" s="52" t="n">
        <v>3178.11</v>
      </c>
      <c r="J168" s="51" t="s">
        <v>600</v>
      </c>
      <c r="K168" s="54" t="n">
        <f aca="false">IF(G168=0,"",F168/G168)</f>
        <v>-0.975033884159048</v>
      </c>
      <c r="L168" s="55" t="n">
        <v>0.341</v>
      </c>
      <c r="M168" s="52" t="n">
        <v>11996.55</v>
      </c>
      <c r="N168" s="51" t="s">
        <v>549</v>
      </c>
    </row>
    <row r="169" customFormat="false" ht="15" hidden="false" customHeight="false" outlineLevel="0" collapsed="false">
      <c r="A169" s="51" t="s">
        <v>62</v>
      </c>
      <c r="B169" s="51" t="s">
        <v>148</v>
      </c>
      <c r="C169" s="51" t="s">
        <v>519</v>
      </c>
      <c r="D169" s="51" t="s">
        <v>567</v>
      </c>
      <c r="E169" s="51" t="s">
        <v>515</v>
      </c>
      <c r="F169" s="52" t="n">
        <v>-10317.57</v>
      </c>
      <c r="G169" s="52" t="n">
        <v>10618.2</v>
      </c>
      <c r="H169" s="53" t="n">
        <v>1.0308</v>
      </c>
      <c r="I169" s="52" t="n">
        <v>500</v>
      </c>
      <c r="J169" s="51" t="s">
        <v>606</v>
      </c>
      <c r="K169" s="54" t="n">
        <f aca="false">IF(G169=0,"",F169/G169)</f>
        <v>-0.97168729163135</v>
      </c>
      <c r="L169" s="55" t="n">
        <v>0.454</v>
      </c>
      <c r="M169" s="52" t="n">
        <v>6000</v>
      </c>
      <c r="N169" s="51" t="s">
        <v>549</v>
      </c>
    </row>
    <row r="170" customFormat="false" ht="15" hidden="false" customHeight="false" outlineLevel="0" collapsed="false">
      <c r="A170" s="51" t="s">
        <v>62</v>
      </c>
      <c r="B170" s="51" t="s">
        <v>148</v>
      </c>
      <c r="C170" s="51" t="s">
        <v>528</v>
      </c>
      <c r="D170" s="51" t="s">
        <v>570</v>
      </c>
      <c r="E170" s="51" t="s">
        <v>513</v>
      </c>
      <c r="F170" s="52" t="n">
        <v>-11350.29</v>
      </c>
      <c r="G170" s="52" t="n">
        <v>11653.06</v>
      </c>
      <c r="H170" s="53" t="n">
        <v>1.1311</v>
      </c>
      <c r="I170" s="52" t="n">
        <v>2913.27</v>
      </c>
      <c r="J170" s="51" t="s">
        <v>592</v>
      </c>
      <c r="K170" s="54" t="n">
        <f aca="false">IF(G170=0,"",F170/G170)</f>
        <v>-0.974017983259333</v>
      </c>
      <c r="L170" s="55" t="n">
        <v>0.377</v>
      </c>
      <c r="M170" s="52" t="n">
        <v>10778.09</v>
      </c>
      <c r="N170" s="51" t="s">
        <v>549</v>
      </c>
    </row>
    <row r="171" customFormat="false" ht="15" hidden="false" customHeight="false" outlineLevel="0" collapsed="false">
      <c r="A171" s="51" t="s">
        <v>62</v>
      </c>
      <c r="B171" s="51" t="s">
        <v>148</v>
      </c>
      <c r="C171" s="51" t="s">
        <v>528</v>
      </c>
      <c r="D171" s="51" t="s">
        <v>570</v>
      </c>
      <c r="E171" s="51" t="s">
        <v>515</v>
      </c>
      <c r="F171" s="52" t="n">
        <v>-10393.06</v>
      </c>
      <c r="G171" s="52" t="n">
        <v>10662.18</v>
      </c>
      <c r="H171" s="53" t="n">
        <v>1.0383</v>
      </c>
      <c r="I171" s="52" t="n">
        <v>500</v>
      </c>
      <c r="J171" s="51" t="s">
        <v>607</v>
      </c>
      <c r="K171" s="54" t="n">
        <f aca="false">IF(G171=0,"",F171/G171)</f>
        <v>-0.974759383165544</v>
      </c>
      <c r="L171" s="55" t="n">
        <v>0.457</v>
      </c>
      <c r="M171" s="52" t="n">
        <v>5500</v>
      </c>
      <c r="N171" s="51" t="s">
        <v>549</v>
      </c>
    </row>
    <row r="172" customFormat="false" ht="15" hidden="false" customHeight="false" outlineLevel="0" collapsed="false">
      <c r="A172" s="51" t="s">
        <v>62</v>
      </c>
      <c r="B172" s="51" t="s">
        <v>148</v>
      </c>
      <c r="C172" s="51" t="s">
        <v>531</v>
      </c>
      <c r="D172" s="51" t="s">
        <v>571</v>
      </c>
      <c r="E172" s="51" t="s">
        <v>513</v>
      </c>
      <c r="F172" s="52" t="n">
        <v>-10206.99</v>
      </c>
      <c r="G172" s="52" t="n">
        <v>10834.54</v>
      </c>
      <c r="H172" s="53" t="n">
        <v>1.0195</v>
      </c>
      <c r="I172" s="52" t="n">
        <v>1750</v>
      </c>
      <c r="J172" s="51" t="s">
        <v>608</v>
      </c>
      <c r="K172" s="54" t="n">
        <f aca="false">IF(G172=0,"",F172/G172)</f>
        <v>-0.942078759227434</v>
      </c>
      <c r="L172" s="55" t="n">
        <v>0.212</v>
      </c>
      <c r="M172" s="52" t="n">
        <v>9100</v>
      </c>
      <c r="N172" s="51" t="s">
        <v>549</v>
      </c>
    </row>
    <row r="173" customFormat="false" ht="15" hidden="false" customHeight="false" outlineLevel="0" collapsed="false">
      <c r="A173" s="51" t="s">
        <v>62</v>
      </c>
      <c r="B173" s="51" t="s">
        <v>148</v>
      </c>
      <c r="C173" s="51" t="s">
        <v>531</v>
      </c>
      <c r="D173" s="51" t="s">
        <v>571</v>
      </c>
      <c r="E173" s="51" t="s">
        <v>515</v>
      </c>
      <c r="F173" s="52" t="n">
        <v>-10334.95</v>
      </c>
      <c r="G173" s="52" t="n">
        <v>10962.5</v>
      </c>
      <c r="H173" s="53" t="n">
        <v>1.0315</v>
      </c>
      <c r="I173" s="52" t="n">
        <v>500</v>
      </c>
      <c r="J173" s="51" t="s">
        <v>609</v>
      </c>
      <c r="K173" s="54" t="n">
        <f aca="false">IF(G173=0,"",F173/G173)</f>
        <v>-0.942754846066135</v>
      </c>
      <c r="L173" s="55" t="n">
        <v>0.641</v>
      </c>
      <c r="M173" s="52" t="n">
        <v>5000</v>
      </c>
      <c r="N173" s="51" t="s">
        <v>549</v>
      </c>
    </row>
    <row r="174" customFormat="false" ht="15" hidden="false" customHeight="false" outlineLevel="0" collapsed="false">
      <c r="A174" s="51" t="s">
        <v>62</v>
      </c>
      <c r="B174" s="51" t="s">
        <v>148</v>
      </c>
      <c r="C174" s="51" t="s">
        <v>532</v>
      </c>
      <c r="D174" s="51" t="s">
        <v>573</v>
      </c>
      <c r="E174" s="51" t="s">
        <v>513</v>
      </c>
      <c r="F174" s="52" t="n">
        <v>-11377.16</v>
      </c>
      <c r="G174" s="52" t="n">
        <v>14150</v>
      </c>
      <c r="H174" s="53" t="n">
        <v>1.1078</v>
      </c>
      <c r="I174" s="52" t="n">
        <v>6750</v>
      </c>
      <c r="J174" s="51" t="s">
        <v>610</v>
      </c>
      <c r="K174" s="54" t="n">
        <f aca="false">IF(G174=0,"",F174/G174)</f>
        <v>-0.804039575971732</v>
      </c>
      <c r="L174" s="55" t="n">
        <v>0.378</v>
      </c>
      <c r="M174" s="52" t="n">
        <v>14150</v>
      </c>
      <c r="N174" s="51" t="s">
        <v>549</v>
      </c>
    </row>
    <row r="175" customFormat="false" ht="15" hidden="false" customHeight="false" outlineLevel="0" collapsed="false">
      <c r="A175" s="51" t="s">
        <v>62</v>
      </c>
      <c r="B175" s="51" t="s">
        <v>148</v>
      </c>
      <c r="C175" s="51" t="s">
        <v>532</v>
      </c>
      <c r="D175" s="51" t="s">
        <v>573</v>
      </c>
      <c r="E175" s="51" t="s">
        <v>515</v>
      </c>
      <c r="F175" s="52" t="n">
        <v>-10177.58</v>
      </c>
      <c r="G175" s="52" t="n">
        <v>10762.5</v>
      </c>
      <c r="H175" s="53" t="n">
        <v>1.0168</v>
      </c>
      <c r="I175" s="52" t="n">
        <v>500</v>
      </c>
      <c r="J175" s="51" t="s">
        <v>598</v>
      </c>
      <c r="K175" s="54" t="n">
        <f aca="false">IF(G175=0,"",F175/G175)</f>
        <v>-0.945652032520325</v>
      </c>
      <c r="L175" s="55" t="n">
        <v>0.64</v>
      </c>
      <c r="M175" s="52" t="n">
        <v>5000</v>
      </c>
      <c r="N175" s="51" t="s">
        <v>549</v>
      </c>
    </row>
    <row r="176" customFormat="false" ht="15" hidden="false" customHeight="false" outlineLevel="0" collapsed="false">
      <c r="A176" s="51" t="s">
        <v>62</v>
      </c>
      <c r="B176" s="51" t="s">
        <v>148</v>
      </c>
      <c r="C176" s="51" t="s">
        <v>518</v>
      </c>
      <c r="D176" s="51" t="s">
        <v>574</v>
      </c>
      <c r="E176" s="51" t="s">
        <v>513</v>
      </c>
      <c r="F176" s="52" t="n">
        <v>-10047.1</v>
      </c>
      <c r="G176" s="52" t="n">
        <v>10133.1</v>
      </c>
      <c r="H176" s="53" t="n">
        <v>1.0047</v>
      </c>
      <c r="I176" s="52" t="n">
        <v>200</v>
      </c>
      <c r="J176" s="51" t="s">
        <v>611</v>
      </c>
      <c r="K176" s="54" t="n">
        <f aca="false">IF(G176=0,"",F176/G176)</f>
        <v>-0.991512962469531</v>
      </c>
      <c r="L176" s="55" t="n">
        <v>0.762</v>
      </c>
      <c r="M176" s="52" t="n">
        <v>750</v>
      </c>
      <c r="N176" s="51" t="s">
        <v>549</v>
      </c>
    </row>
    <row r="177" customFormat="false" ht="15" hidden="false" customHeight="false" outlineLevel="0" collapsed="false">
      <c r="A177" s="51" t="s">
        <v>62</v>
      </c>
      <c r="B177" s="51" t="s">
        <v>148</v>
      </c>
      <c r="C177" s="51" t="s">
        <v>518</v>
      </c>
      <c r="D177" s="51" t="s">
        <v>574</v>
      </c>
      <c r="E177" s="51" t="s">
        <v>515</v>
      </c>
      <c r="F177" s="52" t="n">
        <v>-10047.1</v>
      </c>
      <c r="G177" s="52" t="n">
        <v>10133.1</v>
      </c>
      <c r="H177" s="53" t="n">
        <v>1.0047</v>
      </c>
      <c r="I177" s="52" t="n">
        <v>200</v>
      </c>
      <c r="J177" s="51" t="s">
        <v>611</v>
      </c>
      <c r="K177" s="54" t="n">
        <f aca="false">IF(G177=0,"",F177/G177)</f>
        <v>-0.991512962469531</v>
      </c>
      <c r="L177" s="55" t="n">
        <v>0.762</v>
      </c>
      <c r="M177" s="52" t="n">
        <v>750</v>
      </c>
      <c r="N177" s="51" t="s">
        <v>549</v>
      </c>
    </row>
    <row r="178" customFormat="false" ht="15" hidden="false" customHeight="false" outlineLevel="0" collapsed="false">
      <c r="A178" s="51" t="s">
        <v>62</v>
      </c>
      <c r="B178" s="51" t="s">
        <v>148</v>
      </c>
      <c r="C178" s="51" t="s">
        <v>522</v>
      </c>
      <c r="D178" s="51" t="s">
        <v>576</v>
      </c>
      <c r="E178" s="51" t="s">
        <v>513</v>
      </c>
      <c r="F178" s="52" t="n">
        <v>-10000.01</v>
      </c>
      <c r="G178" s="52" t="n">
        <v>10086.01</v>
      </c>
      <c r="H178" s="53" t="n">
        <v>1</v>
      </c>
      <c r="I178" s="52" t="n">
        <v>400</v>
      </c>
      <c r="J178" s="51" t="s">
        <v>612</v>
      </c>
      <c r="K178" s="54" t="n">
        <f aca="false">IF(G178=0,"",F178/G178)</f>
        <v>-0.991473337821398</v>
      </c>
      <c r="L178" s="55" t="n">
        <v>0.776</v>
      </c>
      <c r="M178" s="52" t="n">
        <v>1400</v>
      </c>
      <c r="N178" s="51" t="s">
        <v>549</v>
      </c>
    </row>
    <row r="179" customFormat="false" ht="15" hidden="false" customHeight="false" outlineLevel="0" collapsed="false">
      <c r="A179" s="51" t="s">
        <v>62</v>
      </c>
      <c r="B179" s="51" t="s">
        <v>148</v>
      </c>
      <c r="C179" s="51" t="s">
        <v>522</v>
      </c>
      <c r="D179" s="51" t="s">
        <v>576</v>
      </c>
      <c r="E179" s="51" t="s">
        <v>515</v>
      </c>
      <c r="F179" s="52" t="n">
        <v>-10000.01</v>
      </c>
      <c r="G179" s="52" t="n">
        <v>10086.01</v>
      </c>
      <c r="H179" s="53" t="n">
        <v>1</v>
      </c>
      <c r="I179" s="52" t="n">
        <v>400</v>
      </c>
      <c r="J179" s="51" t="s">
        <v>612</v>
      </c>
      <c r="K179" s="54" t="n">
        <f aca="false">IF(G179=0,"",F179/G179)</f>
        <v>-0.991473337821398</v>
      </c>
      <c r="L179" s="55" t="n">
        <v>0.776</v>
      </c>
      <c r="M179" s="52" t="n">
        <v>1400</v>
      </c>
      <c r="N179" s="51" t="s">
        <v>549</v>
      </c>
    </row>
    <row r="180" customFormat="false" ht="15" hidden="false" customHeight="false" outlineLevel="0" collapsed="false">
      <c r="A180" s="51" t="s">
        <v>62</v>
      </c>
      <c r="B180" s="51" t="s">
        <v>148</v>
      </c>
      <c r="C180" s="51" t="s">
        <v>525</v>
      </c>
      <c r="D180" s="51" t="s">
        <v>578</v>
      </c>
      <c r="E180" s="51" t="s">
        <v>513</v>
      </c>
      <c r="F180" s="52" t="n">
        <v>-11146.06</v>
      </c>
      <c r="G180" s="52" t="n">
        <v>11767.9</v>
      </c>
      <c r="H180" s="53" t="n">
        <v>1.1079</v>
      </c>
      <c r="I180" s="52" t="n">
        <v>2979.48</v>
      </c>
      <c r="J180" s="51" t="s">
        <v>598</v>
      </c>
      <c r="K180" s="54" t="n">
        <f aca="false">IF(G180=0,"",F180/G180)</f>
        <v>-0.947157946617493</v>
      </c>
      <c r="L180" s="55" t="n">
        <v>0.526</v>
      </c>
      <c r="M180" s="52" t="n">
        <v>10327.05</v>
      </c>
      <c r="N180" s="51" t="s">
        <v>549</v>
      </c>
    </row>
    <row r="181" customFormat="false" ht="15" hidden="false" customHeight="false" outlineLevel="0" collapsed="false">
      <c r="A181" s="51" t="s">
        <v>62</v>
      </c>
      <c r="B181" s="51" t="s">
        <v>148</v>
      </c>
      <c r="C181" s="51" t="s">
        <v>525</v>
      </c>
      <c r="D181" s="51" t="s">
        <v>578</v>
      </c>
      <c r="E181" s="51" t="s">
        <v>515</v>
      </c>
      <c r="F181" s="52" t="n">
        <v>-10149.18</v>
      </c>
      <c r="G181" s="52" t="n">
        <v>10623.73</v>
      </c>
      <c r="H181" s="53" t="n">
        <v>1.0142</v>
      </c>
      <c r="I181" s="52" t="n">
        <v>500</v>
      </c>
      <c r="J181" s="51" t="s">
        <v>599</v>
      </c>
      <c r="K181" s="54" t="n">
        <f aca="false">IF(G181=0,"",F181/G181)</f>
        <v>-0.955331131344641</v>
      </c>
      <c r="L181" s="55" t="n">
        <v>0.546</v>
      </c>
      <c r="M181" s="52" t="n">
        <v>5000</v>
      </c>
      <c r="N181" s="51" t="s">
        <v>549</v>
      </c>
    </row>
    <row r="182" customFormat="false" ht="15" hidden="false" customHeight="false" outlineLevel="0" collapsed="false">
      <c r="A182" s="8" t="s">
        <v>62</v>
      </c>
      <c r="B182" s="8" t="s">
        <v>148</v>
      </c>
      <c r="C182" s="8" t="s">
        <v>516</v>
      </c>
      <c r="D182" s="8" t="s">
        <v>580</v>
      </c>
      <c r="E182" s="8" t="s">
        <v>513</v>
      </c>
      <c r="F182" s="56" t="n">
        <v>-9989.72</v>
      </c>
      <c r="G182" s="56" t="n">
        <v>10234.01</v>
      </c>
      <c r="H182" s="43" t="n">
        <v>0.9993</v>
      </c>
      <c r="I182" s="56" t="n">
        <v>102.41</v>
      </c>
      <c r="J182" s="8" t="s">
        <v>581</v>
      </c>
      <c r="K182" s="19" t="n">
        <f aca="false">IF(G182=0,"",F182/G182)</f>
        <v>-0.976129591430925</v>
      </c>
      <c r="L182" s="27" t="n">
        <v>0.727</v>
      </c>
      <c r="M182" s="56" t="n">
        <v>934.43</v>
      </c>
      <c r="N182" s="8" t="s">
        <v>549</v>
      </c>
    </row>
    <row r="183" customFormat="false" ht="15" hidden="false" customHeight="false" outlineLevel="0" collapsed="false">
      <c r="A183" s="8" t="s">
        <v>62</v>
      </c>
      <c r="B183" s="8" t="s">
        <v>148</v>
      </c>
      <c r="C183" s="8" t="s">
        <v>516</v>
      </c>
      <c r="D183" s="8" t="s">
        <v>580</v>
      </c>
      <c r="E183" s="8" t="s">
        <v>515</v>
      </c>
      <c r="F183" s="56" t="n">
        <v>-9989.72</v>
      </c>
      <c r="G183" s="56" t="n">
        <v>10234.01</v>
      </c>
      <c r="H183" s="43" t="n">
        <v>0.9993</v>
      </c>
      <c r="I183" s="56" t="n">
        <v>102.41</v>
      </c>
      <c r="J183" s="8" t="s">
        <v>581</v>
      </c>
      <c r="K183" s="19" t="n">
        <f aca="false">IF(G183=0,"",F183/G183)</f>
        <v>-0.976129591430925</v>
      </c>
      <c r="L183" s="27" t="n">
        <v>0.727</v>
      </c>
      <c r="M183" s="56" t="n">
        <v>934.43</v>
      </c>
      <c r="N183" s="8" t="s">
        <v>549</v>
      </c>
    </row>
    <row r="184" customFormat="false" ht="15" hidden="false" customHeight="false" outlineLevel="0" collapsed="false">
      <c r="A184" s="51" t="s">
        <v>62</v>
      </c>
      <c r="B184" s="51" t="s">
        <v>148</v>
      </c>
      <c r="C184" s="51" t="s">
        <v>521</v>
      </c>
      <c r="D184" s="51" t="s">
        <v>582</v>
      </c>
      <c r="E184" s="51" t="s">
        <v>513</v>
      </c>
      <c r="F184" s="52" t="n">
        <v>-10305.09</v>
      </c>
      <c r="G184" s="52" t="n">
        <v>10956.92</v>
      </c>
      <c r="H184" s="53" t="n">
        <v>1.0286</v>
      </c>
      <c r="I184" s="52" t="n">
        <v>750</v>
      </c>
      <c r="J184" s="51" t="s">
        <v>613</v>
      </c>
      <c r="K184" s="54" t="n">
        <f aca="false">IF(G184=0,"",F184/G184)</f>
        <v>-0.940509741788751</v>
      </c>
      <c r="L184" s="55" t="n">
        <v>0.553</v>
      </c>
      <c r="M184" s="52" t="n">
        <v>6000</v>
      </c>
      <c r="N184" s="51" t="s">
        <v>549</v>
      </c>
    </row>
    <row r="185" customFormat="false" ht="15" hidden="false" customHeight="false" outlineLevel="0" collapsed="false">
      <c r="A185" s="51" t="s">
        <v>62</v>
      </c>
      <c r="B185" s="51" t="s">
        <v>148</v>
      </c>
      <c r="C185" s="51" t="s">
        <v>521</v>
      </c>
      <c r="D185" s="51" t="s">
        <v>582</v>
      </c>
      <c r="E185" s="51" t="s">
        <v>515</v>
      </c>
      <c r="F185" s="52" t="n">
        <v>-10140.48</v>
      </c>
      <c r="G185" s="52" t="n">
        <v>10792.32</v>
      </c>
      <c r="H185" s="53" t="n">
        <v>1.0132</v>
      </c>
      <c r="I185" s="52" t="n">
        <v>500</v>
      </c>
      <c r="J185" s="51" t="s">
        <v>614</v>
      </c>
      <c r="K185" s="54" t="n">
        <f aca="false">IF(G185=0,"",F185/G185)</f>
        <v>-0.939601494396015</v>
      </c>
      <c r="L185" s="55" t="n">
        <v>0.664</v>
      </c>
      <c r="M185" s="52" t="n">
        <v>5000</v>
      </c>
      <c r="N185" s="51" t="s">
        <v>549</v>
      </c>
    </row>
    <row r="187" customFormat="false" ht="15" hidden="false" customHeight="false" outlineLevel="0" collapsed="false">
      <c r="A187" s="48" t="s">
        <v>62</v>
      </c>
      <c r="B187" s="48" t="s">
        <v>24</v>
      </c>
      <c r="C187" s="48" t="s">
        <v>47</v>
      </c>
      <c r="D187" s="48" t="s">
        <v>547</v>
      </c>
      <c r="E187" s="48" t="s">
        <v>513</v>
      </c>
      <c r="F187" s="57" t="n">
        <v>6136.32</v>
      </c>
      <c r="G187" s="57" t="n">
        <v>1830.99</v>
      </c>
      <c r="H187" s="58" t="n">
        <v>0.1725</v>
      </c>
      <c r="I187" s="57" t="n">
        <v>50</v>
      </c>
      <c r="J187" s="48" t="s">
        <v>581</v>
      </c>
      <c r="K187" s="59" t="n">
        <f aca="false">IF(G187=0,"",F187/G187)</f>
        <v>3.35136729310373</v>
      </c>
      <c r="L187" s="50" t="n">
        <v>1.123</v>
      </c>
      <c r="M187" s="57" t="n">
        <v>1050</v>
      </c>
      <c r="N187" s="48" t="n">
        <v>1</v>
      </c>
    </row>
    <row r="188" customFormat="false" ht="15" hidden="false" customHeight="false" outlineLevel="0" collapsed="false">
      <c r="A188" s="48" t="s">
        <v>62</v>
      </c>
      <c r="B188" s="48" t="s">
        <v>24</v>
      </c>
      <c r="C188" s="48" t="s">
        <v>47</v>
      </c>
      <c r="D188" s="48" t="s">
        <v>547</v>
      </c>
      <c r="E188" s="48" t="s">
        <v>515</v>
      </c>
      <c r="F188" s="57" t="n">
        <v>6136.32</v>
      </c>
      <c r="G188" s="57" t="n">
        <v>1830.99</v>
      </c>
      <c r="H188" s="58" t="n">
        <v>0.1725</v>
      </c>
      <c r="I188" s="57" t="n">
        <v>50</v>
      </c>
      <c r="J188" s="48" t="s">
        <v>581</v>
      </c>
      <c r="K188" s="59" t="n">
        <f aca="false">IF(G188=0,"",F188/G188)</f>
        <v>3.35136729310373</v>
      </c>
      <c r="L188" s="50" t="n">
        <v>1.123</v>
      </c>
      <c r="M188" s="57" t="n">
        <v>1050</v>
      </c>
      <c r="N188" s="48" t="n">
        <v>1</v>
      </c>
    </row>
    <row r="189" customFormat="false" ht="15" hidden="false" customHeight="false" outlineLevel="0" collapsed="false">
      <c r="A189" s="51" t="s">
        <v>62</v>
      </c>
      <c r="B189" s="51" t="s">
        <v>24</v>
      </c>
      <c r="C189" s="51" t="s">
        <v>535</v>
      </c>
      <c r="D189" s="51" t="s">
        <v>550</v>
      </c>
      <c r="E189" s="51" t="s">
        <v>513</v>
      </c>
      <c r="F189" s="52" t="n">
        <v>-11525.99</v>
      </c>
      <c r="G189" s="52" t="n">
        <v>51150</v>
      </c>
      <c r="H189" s="53" t="n">
        <v>1.0308</v>
      </c>
      <c r="I189" s="52" t="n">
        <v>25600</v>
      </c>
      <c r="J189" s="51" t="s">
        <v>615</v>
      </c>
      <c r="K189" s="54" t="n">
        <f aca="false">IF(G189=0,"",F189/G189)</f>
        <v>-0.225337047898338</v>
      </c>
      <c r="L189" s="55" t="n">
        <v>0.851</v>
      </c>
      <c r="M189" s="52" t="n">
        <v>51150</v>
      </c>
      <c r="N189" s="51" t="s">
        <v>549</v>
      </c>
    </row>
    <row r="190" customFormat="false" ht="15" hidden="false" customHeight="false" outlineLevel="0" collapsed="false">
      <c r="A190" s="8" t="s">
        <v>62</v>
      </c>
      <c r="B190" s="8" t="s">
        <v>24</v>
      </c>
      <c r="C190" s="8" t="s">
        <v>535</v>
      </c>
      <c r="D190" s="8" t="s">
        <v>550</v>
      </c>
      <c r="E190" s="8" t="s">
        <v>515</v>
      </c>
      <c r="F190" s="56" t="n">
        <v>35262.19</v>
      </c>
      <c r="G190" s="56" t="n">
        <v>17059.9</v>
      </c>
      <c r="H190" s="43" t="n">
        <v>0.861</v>
      </c>
      <c r="I190" s="56" t="n">
        <v>500</v>
      </c>
      <c r="J190" s="8" t="s">
        <v>581</v>
      </c>
      <c r="K190" s="19" t="n">
        <f aca="false">IF(G190=0,"",F190/G190)</f>
        <v>2.06696346402968</v>
      </c>
      <c r="L190" s="27" t="n">
        <v>1.09</v>
      </c>
      <c r="M190" s="56" t="n">
        <v>9250</v>
      </c>
      <c r="N190" s="8" t="s">
        <v>549</v>
      </c>
    </row>
    <row r="191" customFormat="false" ht="15" hidden="false" customHeight="false" outlineLevel="0" collapsed="false">
      <c r="A191" s="51" t="s">
        <v>62</v>
      </c>
      <c r="B191" s="51" t="s">
        <v>24</v>
      </c>
      <c r="C191" s="51" t="s">
        <v>527</v>
      </c>
      <c r="D191" s="51" t="s">
        <v>553</v>
      </c>
      <c r="E191" s="51" t="s">
        <v>513</v>
      </c>
      <c r="F191" s="52" t="n">
        <v>-12100.51</v>
      </c>
      <c r="G191" s="52" t="n">
        <v>14816.18</v>
      </c>
      <c r="H191" s="53" t="n">
        <v>1.1652</v>
      </c>
      <c r="I191" s="52" t="n">
        <v>3741.55</v>
      </c>
      <c r="J191" s="51" t="s">
        <v>616</v>
      </c>
      <c r="K191" s="54" t="n">
        <f aca="false">IF(G191=0,"",F191/G191)</f>
        <v>-0.816709165250422</v>
      </c>
      <c r="L191" s="55" t="n">
        <v>0.439</v>
      </c>
      <c r="M191" s="52" t="n">
        <v>14816.18</v>
      </c>
      <c r="N191" s="51" t="s">
        <v>549</v>
      </c>
    </row>
    <row r="192" customFormat="false" ht="15" hidden="false" customHeight="false" outlineLevel="0" collapsed="false">
      <c r="A192" s="51" t="s">
        <v>62</v>
      </c>
      <c r="B192" s="51" t="s">
        <v>24</v>
      </c>
      <c r="C192" s="51" t="s">
        <v>527</v>
      </c>
      <c r="D192" s="51" t="s">
        <v>553</v>
      </c>
      <c r="E192" s="51" t="s">
        <v>515</v>
      </c>
      <c r="F192" s="52" t="n">
        <v>-10072.89</v>
      </c>
      <c r="G192" s="52" t="n">
        <v>12788.56</v>
      </c>
      <c r="H192" s="53" t="n">
        <v>1.0057</v>
      </c>
      <c r="I192" s="52" t="n">
        <v>500</v>
      </c>
      <c r="J192" s="51" t="s">
        <v>617</v>
      </c>
      <c r="K192" s="54" t="n">
        <f aca="false">IF(G192=0,"",F192/G192)</f>
        <v>-0.787648492089805</v>
      </c>
      <c r="L192" s="55" t="n">
        <v>0.752</v>
      </c>
      <c r="M192" s="52" t="n">
        <v>7847.74</v>
      </c>
      <c r="N192" s="51" t="s">
        <v>549</v>
      </c>
    </row>
    <row r="193" customFormat="false" ht="15" hidden="false" customHeight="false" outlineLevel="0" collapsed="false">
      <c r="A193" s="51" t="s">
        <v>62</v>
      </c>
      <c r="B193" s="51" t="s">
        <v>24</v>
      </c>
      <c r="C193" s="51" t="s">
        <v>529</v>
      </c>
      <c r="D193" s="51" t="s">
        <v>556</v>
      </c>
      <c r="E193" s="51" t="s">
        <v>513</v>
      </c>
      <c r="F193" s="52" t="n">
        <v>-13758.7</v>
      </c>
      <c r="G193" s="52" t="n">
        <v>19361.95</v>
      </c>
      <c r="H193" s="53" t="n">
        <v>1.2409</v>
      </c>
      <c r="I193" s="52" t="n">
        <v>6487.32</v>
      </c>
      <c r="J193" s="51" t="s">
        <v>618</v>
      </c>
      <c r="K193" s="54" t="n">
        <f aca="false">IF(G193=0,"",F193/G193)</f>
        <v>-0.710605078517401</v>
      </c>
      <c r="L193" s="55" t="n">
        <v>0.516</v>
      </c>
      <c r="M193" s="52" t="n">
        <v>19361.95</v>
      </c>
      <c r="N193" s="51" t="s">
        <v>549</v>
      </c>
    </row>
    <row r="194" customFormat="false" ht="15" hidden="false" customHeight="false" outlineLevel="0" collapsed="false">
      <c r="A194" s="51" t="s">
        <v>62</v>
      </c>
      <c r="B194" s="51" t="s">
        <v>24</v>
      </c>
      <c r="C194" s="51" t="s">
        <v>529</v>
      </c>
      <c r="D194" s="51" t="s">
        <v>556</v>
      </c>
      <c r="E194" s="51" t="s">
        <v>515</v>
      </c>
      <c r="F194" s="52" t="n">
        <v>-10134.17</v>
      </c>
      <c r="G194" s="52" t="n">
        <v>14479.88</v>
      </c>
      <c r="H194" s="53" t="n">
        <v>1.0094</v>
      </c>
      <c r="I194" s="52" t="n">
        <v>500</v>
      </c>
      <c r="J194" s="51" t="s">
        <v>619</v>
      </c>
      <c r="K194" s="54" t="n">
        <f aca="false">IF(G194=0,"",F194/G194)</f>
        <v>-0.699879418890212</v>
      </c>
      <c r="L194" s="55" t="n">
        <v>0.783</v>
      </c>
      <c r="M194" s="52" t="n">
        <v>8539.06</v>
      </c>
      <c r="N194" s="51" t="s">
        <v>549</v>
      </c>
    </row>
    <row r="195" customFormat="false" ht="15" hidden="false" customHeight="false" outlineLevel="0" collapsed="false">
      <c r="A195" s="51" t="s">
        <v>62</v>
      </c>
      <c r="B195" s="51" t="s">
        <v>24</v>
      </c>
      <c r="C195" s="51" t="s">
        <v>534</v>
      </c>
      <c r="D195" s="51" t="s">
        <v>559</v>
      </c>
      <c r="E195" s="51" t="s">
        <v>513</v>
      </c>
      <c r="F195" s="52" t="n">
        <v>-11525.99</v>
      </c>
      <c r="G195" s="52" t="n">
        <v>51150</v>
      </c>
      <c r="H195" s="53" t="n">
        <v>1.0308</v>
      </c>
      <c r="I195" s="52" t="n">
        <v>25600</v>
      </c>
      <c r="J195" s="51" t="s">
        <v>615</v>
      </c>
      <c r="K195" s="54" t="n">
        <f aca="false">IF(G195=0,"",F195/G195)</f>
        <v>-0.225337047898338</v>
      </c>
      <c r="L195" s="55" t="n">
        <v>0.851</v>
      </c>
      <c r="M195" s="52" t="n">
        <v>51150</v>
      </c>
      <c r="N195" s="51" t="s">
        <v>549</v>
      </c>
    </row>
    <row r="196" customFormat="false" ht="15" hidden="false" customHeight="false" outlineLevel="0" collapsed="false">
      <c r="A196" s="8" t="s">
        <v>62</v>
      </c>
      <c r="B196" s="8" t="s">
        <v>24</v>
      </c>
      <c r="C196" s="8" t="s">
        <v>534</v>
      </c>
      <c r="D196" s="8" t="s">
        <v>559</v>
      </c>
      <c r="E196" s="8" t="s">
        <v>515</v>
      </c>
      <c r="F196" s="56" t="n">
        <v>37455.17</v>
      </c>
      <c r="G196" s="56" t="n">
        <v>17059.9</v>
      </c>
      <c r="H196" s="43" t="n">
        <v>0.8563</v>
      </c>
      <c r="I196" s="56" t="n">
        <v>500</v>
      </c>
      <c r="J196" s="8" t="s">
        <v>581</v>
      </c>
      <c r="K196" s="19" t="n">
        <f aca="false">IF(G196=0,"",F196/G196)</f>
        <v>2.19550935234087</v>
      </c>
      <c r="L196" s="27" t="n">
        <v>1.094</v>
      </c>
      <c r="M196" s="56" t="n">
        <v>9250</v>
      </c>
      <c r="N196" s="8" t="s">
        <v>549</v>
      </c>
    </row>
    <row r="197" customFormat="false" ht="15" hidden="false" customHeight="false" outlineLevel="0" collapsed="false">
      <c r="A197" s="51" t="s">
        <v>62</v>
      </c>
      <c r="B197" s="51" t="s">
        <v>24</v>
      </c>
      <c r="C197" s="51" t="s">
        <v>530</v>
      </c>
      <c r="D197" s="51" t="s">
        <v>560</v>
      </c>
      <c r="E197" s="51" t="s">
        <v>513</v>
      </c>
      <c r="F197" s="52" t="n">
        <v>-10207.27</v>
      </c>
      <c r="G197" s="52" t="n">
        <v>13765.01</v>
      </c>
      <c r="H197" s="53" t="n">
        <v>1.0153</v>
      </c>
      <c r="I197" s="52" t="n">
        <v>3968.57</v>
      </c>
      <c r="J197" s="51" t="s">
        <v>620</v>
      </c>
      <c r="K197" s="54" t="n">
        <f aca="false">IF(G197=0,"",F197/G197)</f>
        <v>-0.741537419878373</v>
      </c>
      <c r="L197" s="55" t="n">
        <v>0.519</v>
      </c>
      <c r="M197" s="52" t="n">
        <v>13765.01</v>
      </c>
      <c r="N197" s="51" t="s">
        <v>549</v>
      </c>
    </row>
    <row r="198" customFormat="false" ht="15" hidden="false" customHeight="false" outlineLevel="0" collapsed="false">
      <c r="A198" s="51" t="s">
        <v>62</v>
      </c>
      <c r="B198" s="51" t="s">
        <v>24</v>
      </c>
      <c r="C198" s="51" t="s">
        <v>530</v>
      </c>
      <c r="D198" s="51" t="s">
        <v>560</v>
      </c>
      <c r="E198" s="51" t="s">
        <v>515</v>
      </c>
      <c r="F198" s="52" t="n">
        <v>-10161.1</v>
      </c>
      <c r="G198" s="52" t="n">
        <v>13633.48</v>
      </c>
      <c r="H198" s="53" t="n">
        <v>1.012</v>
      </c>
      <c r="I198" s="52" t="n">
        <v>500</v>
      </c>
      <c r="J198" s="51" t="s">
        <v>621</v>
      </c>
      <c r="K198" s="54" t="n">
        <f aca="false">IF(G198=0,"",F198/G198)</f>
        <v>-0.745304940484748</v>
      </c>
      <c r="L198" s="55" t="n">
        <v>0.762</v>
      </c>
      <c r="M198" s="52" t="n">
        <v>8192.67</v>
      </c>
      <c r="N198" s="51" t="s">
        <v>549</v>
      </c>
    </row>
    <row r="199" customFormat="false" ht="15" hidden="false" customHeight="false" outlineLevel="0" collapsed="false">
      <c r="A199" s="8" t="s">
        <v>62</v>
      </c>
      <c r="B199" s="8" t="s">
        <v>24</v>
      </c>
      <c r="C199" s="8" t="s">
        <v>524</v>
      </c>
      <c r="D199" s="8" t="s">
        <v>561</v>
      </c>
      <c r="E199" s="8" t="s">
        <v>513</v>
      </c>
      <c r="F199" s="56" t="n">
        <v>45798.24</v>
      </c>
      <c r="G199" s="56" t="n">
        <v>24199.15</v>
      </c>
      <c r="H199" s="43" t="n">
        <v>0.7591</v>
      </c>
      <c r="I199" s="56" t="n">
        <v>1825</v>
      </c>
      <c r="J199" s="8" t="s">
        <v>581</v>
      </c>
      <c r="K199" s="19" t="n">
        <f aca="false">IF(G199=0,"",F199/G199)</f>
        <v>1.89255573026325</v>
      </c>
      <c r="L199" s="27" t="n">
        <v>1.18</v>
      </c>
      <c r="M199" s="56" t="n">
        <v>11025</v>
      </c>
      <c r="N199" s="8" t="s">
        <v>549</v>
      </c>
    </row>
    <row r="200" customFormat="false" ht="15" hidden="false" customHeight="false" outlineLevel="0" collapsed="false">
      <c r="A200" s="51" t="s">
        <v>62</v>
      </c>
      <c r="B200" s="51" t="s">
        <v>24</v>
      </c>
      <c r="C200" s="51" t="s">
        <v>524</v>
      </c>
      <c r="D200" s="51" t="s">
        <v>561</v>
      </c>
      <c r="E200" s="51" t="s">
        <v>515</v>
      </c>
      <c r="F200" s="52" t="n">
        <v>-10097.78</v>
      </c>
      <c r="G200" s="52" t="n">
        <v>13162.06</v>
      </c>
      <c r="H200" s="53" t="n">
        <v>1.0075</v>
      </c>
      <c r="I200" s="52" t="n">
        <v>500</v>
      </c>
      <c r="J200" s="51" t="s">
        <v>622</v>
      </c>
      <c r="K200" s="54" t="n">
        <f aca="false">IF(G200=0,"",F200/G200)</f>
        <v>-0.767188418834134</v>
      </c>
      <c r="L200" s="55" t="n">
        <v>0.887</v>
      </c>
      <c r="M200" s="52" t="n">
        <v>6225</v>
      </c>
      <c r="N200" s="51" t="s">
        <v>549</v>
      </c>
    </row>
    <row r="201" customFormat="false" ht="15" hidden="false" customHeight="false" outlineLevel="0" collapsed="false">
      <c r="A201" s="51" t="s">
        <v>62</v>
      </c>
      <c r="B201" s="51" t="s">
        <v>24</v>
      </c>
      <c r="C201" s="51" t="s">
        <v>533</v>
      </c>
      <c r="D201" s="51" t="s">
        <v>563</v>
      </c>
      <c r="E201" s="51" t="s">
        <v>513</v>
      </c>
      <c r="F201" s="52" t="n">
        <v>-12215.07</v>
      </c>
      <c r="G201" s="52" t="n">
        <v>18800</v>
      </c>
      <c r="H201" s="53" t="n">
        <v>1.1336</v>
      </c>
      <c r="I201" s="52" t="n">
        <v>7200</v>
      </c>
      <c r="J201" s="51" t="s">
        <v>623</v>
      </c>
      <c r="K201" s="54" t="n">
        <f aca="false">IF(G201=0,"",F201/G201)</f>
        <v>-0.649737765957447</v>
      </c>
      <c r="L201" s="55" t="n">
        <v>0.554</v>
      </c>
      <c r="M201" s="52" t="n">
        <v>18800</v>
      </c>
      <c r="N201" s="51" t="s">
        <v>549</v>
      </c>
    </row>
    <row r="202" customFormat="false" ht="15" hidden="false" customHeight="false" outlineLevel="0" collapsed="false">
      <c r="A202" s="51" t="s">
        <v>62</v>
      </c>
      <c r="B202" s="51" t="s">
        <v>24</v>
      </c>
      <c r="C202" s="51" t="s">
        <v>533</v>
      </c>
      <c r="D202" s="51" t="s">
        <v>563</v>
      </c>
      <c r="E202" s="51" t="s">
        <v>515</v>
      </c>
      <c r="F202" s="52" t="n">
        <v>-10340.73</v>
      </c>
      <c r="G202" s="52" t="n">
        <v>14828.75</v>
      </c>
      <c r="H202" s="53" t="n">
        <v>1.0235</v>
      </c>
      <c r="I202" s="52" t="n">
        <v>500</v>
      </c>
      <c r="J202" s="51" t="s">
        <v>624</v>
      </c>
      <c r="K202" s="54" t="n">
        <f aca="false">IF(G202=0,"",F202/G202)</f>
        <v>-0.697343336424176</v>
      </c>
      <c r="L202" s="55" t="n">
        <v>0.876</v>
      </c>
      <c r="M202" s="52" t="n">
        <v>8500</v>
      </c>
      <c r="N202" s="51" t="s">
        <v>549</v>
      </c>
    </row>
    <row r="203" customFormat="false" ht="15" hidden="false" customHeight="false" outlineLevel="0" collapsed="false">
      <c r="A203" s="51" t="s">
        <v>62</v>
      </c>
      <c r="B203" s="51" t="s">
        <v>24</v>
      </c>
      <c r="C203" s="51" t="s">
        <v>523</v>
      </c>
      <c r="D203" s="51" t="s">
        <v>566</v>
      </c>
      <c r="E203" s="51" t="s">
        <v>513</v>
      </c>
      <c r="F203" s="52" t="n">
        <v>-10554.52</v>
      </c>
      <c r="G203" s="52" t="n">
        <v>15322.14</v>
      </c>
      <c r="H203" s="53" t="n">
        <v>1.0375</v>
      </c>
      <c r="I203" s="52" t="n">
        <v>1750</v>
      </c>
      <c r="J203" s="51" t="s">
        <v>625</v>
      </c>
      <c r="K203" s="54" t="n">
        <f aca="false">IF(G203=0,"",F203/G203)</f>
        <v>-0.68884111488343</v>
      </c>
      <c r="L203" s="55" t="n">
        <v>0.767</v>
      </c>
      <c r="M203" s="52" t="n">
        <v>12600</v>
      </c>
      <c r="N203" s="51" t="s">
        <v>549</v>
      </c>
    </row>
    <row r="204" customFormat="false" ht="15" hidden="false" customHeight="false" outlineLevel="0" collapsed="false">
      <c r="A204" s="51" t="s">
        <v>62</v>
      </c>
      <c r="B204" s="51" t="s">
        <v>24</v>
      </c>
      <c r="C204" s="51" t="s">
        <v>523</v>
      </c>
      <c r="D204" s="51" t="s">
        <v>566</v>
      </c>
      <c r="E204" s="51" t="s">
        <v>515</v>
      </c>
      <c r="F204" s="52" t="n">
        <v>-10205.12</v>
      </c>
      <c r="G204" s="52" t="n">
        <v>12857.15</v>
      </c>
      <c r="H204" s="53" t="n">
        <v>1.0162</v>
      </c>
      <c r="I204" s="52" t="n">
        <v>500</v>
      </c>
      <c r="J204" s="51" t="s">
        <v>626</v>
      </c>
      <c r="K204" s="54" t="n">
        <f aca="false">IF(G204=0,"",F204/G204)</f>
        <v>-0.793731114593825</v>
      </c>
      <c r="L204" s="55" t="n">
        <v>0.835</v>
      </c>
      <c r="M204" s="52" t="n">
        <v>10500</v>
      </c>
      <c r="N204" s="51" t="s">
        <v>549</v>
      </c>
    </row>
    <row r="205" customFormat="false" ht="15" hidden="false" customHeight="false" outlineLevel="0" collapsed="false">
      <c r="A205" s="51" t="s">
        <v>62</v>
      </c>
      <c r="B205" s="51" t="s">
        <v>24</v>
      </c>
      <c r="C205" s="51" t="s">
        <v>519</v>
      </c>
      <c r="D205" s="51" t="s">
        <v>567</v>
      </c>
      <c r="E205" s="51" t="s">
        <v>513</v>
      </c>
      <c r="F205" s="52" t="n">
        <v>-10232.3</v>
      </c>
      <c r="G205" s="52" t="n">
        <v>11224.64</v>
      </c>
      <c r="H205" s="53" t="n">
        <v>1.0211</v>
      </c>
      <c r="I205" s="52" t="n">
        <v>2806.16</v>
      </c>
      <c r="J205" s="51" t="s">
        <v>627</v>
      </c>
      <c r="K205" s="54" t="n">
        <f aca="false">IF(G205=0,"",F205/G205)</f>
        <v>-0.911592710323004</v>
      </c>
      <c r="L205" s="55" t="n">
        <v>0.337</v>
      </c>
      <c r="M205" s="52" t="n">
        <v>11224.64</v>
      </c>
      <c r="N205" s="51" t="s">
        <v>549</v>
      </c>
    </row>
    <row r="206" customFormat="false" ht="15" hidden="false" customHeight="false" outlineLevel="0" collapsed="false">
      <c r="A206" s="51" t="s">
        <v>62</v>
      </c>
      <c r="B206" s="51" t="s">
        <v>24</v>
      </c>
      <c r="C206" s="51" t="s">
        <v>519</v>
      </c>
      <c r="D206" s="51" t="s">
        <v>567</v>
      </c>
      <c r="E206" s="51" t="s">
        <v>515</v>
      </c>
      <c r="F206" s="52" t="n">
        <v>-10446.22</v>
      </c>
      <c r="G206" s="52" t="n">
        <v>11438.56</v>
      </c>
      <c r="H206" s="53" t="n">
        <v>1.0406</v>
      </c>
      <c r="I206" s="52" t="n">
        <v>500</v>
      </c>
      <c r="J206" s="51" t="s">
        <v>617</v>
      </c>
      <c r="K206" s="54" t="n">
        <f aca="false">IF(G206=0,"",F206/G206)</f>
        <v>-0.913246072932257</v>
      </c>
      <c r="L206" s="55" t="n">
        <v>0.715</v>
      </c>
      <c r="M206" s="52" t="n">
        <v>6497.74</v>
      </c>
      <c r="N206" s="51" t="s">
        <v>549</v>
      </c>
    </row>
    <row r="207" customFormat="false" ht="15" hidden="false" customHeight="false" outlineLevel="0" collapsed="false">
      <c r="A207" s="51" t="s">
        <v>62</v>
      </c>
      <c r="B207" s="51" t="s">
        <v>24</v>
      </c>
      <c r="C207" s="51" t="s">
        <v>528</v>
      </c>
      <c r="D207" s="51" t="s">
        <v>570</v>
      </c>
      <c r="E207" s="51" t="s">
        <v>513</v>
      </c>
      <c r="F207" s="52" t="n">
        <v>-11644.38</v>
      </c>
      <c r="G207" s="52" t="n">
        <v>13153.87</v>
      </c>
      <c r="H207" s="53" t="n">
        <v>1.1429</v>
      </c>
      <c r="I207" s="52" t="n">
        <v>3288.47</v>
      </c>
      <c r="J207" s="51" t="s">
        <v>628</v>
      </c>
      <c r="K207" s="54" t="n">
        <f aca="false">IF(G207=0,"",F207/G207)</f>
        <v>-0.88524365833021</v>
      </c>
      <c r="L207" s="55" t="n">
        <v>0.386</v>
      </c>
      <c r="M207" s="52" t="n">
        <v>13153.87</v>
      </c>
      <c r="N207" s="51" t="s">
        <v>549</v>
      </c>
    </row>
    <row r="208" customFormat="false" ht="15" hidden="false" customHeight="false" outlineLevel="0" collapsed="false">
      <c r="A208" s="51" t="s">
        <v>62</v>
      </c>
      <c r="B208" s="51" t="s">
        <v>24</v>
      </c>
      <c r="C208" s="51" t="s">
        <v>528</v>
      </c>
      <c r="D208" s="51" t="s">
        <v>570</v>
      </c>
      <c r="E208" s="51" t="s">
        <v>515</v>
      </c>
      <c r="F208" s="52" t="n">
        <v>-10261.92</v>
      </c>
      <c r="G208" s="52" t="n">
        <v>11771.41</v>
      </c>
      <c r="H208" s="53" t="n">
        <v>1.0228</v>
      </c>
      <c r="I208" s="52" t="n">
        <v>500</v>
      </c>
      <c r="J208" s="51" t="s">
        <v>629</v>
      </c>
      <c r="K208" s="54" t="n">
        <f aca="false">IF(G208=0,"",F208/G208)</f>
        <v>-0.871766423903339</v>
      </c>
      <c r="L208" s="55" t="n">
        <v>0.699</v>
      </c>
      <c r="M208" s="52" t="n">
        <v>8255.83</v>
      </c>
      <c r="N208" s="51" t="s">
        <v>549</v>
      </c>
    </row>
    <row r="209" customFormat="false" ht="15" hidden="false" customHeight="false" outlineLevel="0" collapsed="false">
      <c r="A209" s="51" t="s">
        <v>62</v>
      </c>
      <c r="B209" s="51" t="s">
        <v>24</v>
      </c>
      <c r="C209" s="51" t="s">
        <v>531</v>
      </c>
      <c r="D209" s="51" t="s">
        <v>571</v>
      </c>
      <c r="E209" s="51" t="s">
        <v>513</v>
      </c>
      <c r="F209" s="52" t="n">
        <v>-14200.71</v>
      </c>
      <c r="G209" s="52" t="n">
        <v>22000</v>
      </c>
      <c r="H209" s="53" t="n">
        <v>1.236</v>
      </c>
      <c r="I209" s="52" t="n">
        <v>7000</v>
      </c>
      <c r="J209" s="51" t="s">
        <v>630</v>
      </c>
      <c r="K209" s="54" t="n">
        <f aca="false">IF(G209=0,"",F209/G209)</f>
        <v>-0.645486818181818</v>
      </c>
      <c r="L209" s="55" t="n">
        <v>0.649</v>
      </c>
      <c r="M209" s="52" t="n">
        <v>22000</v>
      </c>
      <c r="N209" s="51" t="s">
        <v>549</v>
      </c>
    </row>
    <row r="210" customFormat="false" ht="15" hidden="false" customHeight="false" outlineLevel="0" collapsed="false">
      <c r="A210" s="51" t="s">
        <v>62</v>
      </c>
      <c r="B210" s="51" t="s">
        <v>24</v>
      </c>
      <c r="C210" s="51" t="s">
        <v>531</v>
      </c>
      <c r="D210" s="51" t="s">
        <v>571</v>
      </c>
      <c r="E210" s="51" t="s">
        <v>515</v>
      </c>
      <c r="F210" s="52" t="n">
        <v>-10302.11</v>
      </c>
      <c r="G210" s="52" t="n">
        <v>12857.15</v>
      </c>
      <c r="H210" s="53" t="n">
        <v>1.0241</v>
      </c>
      <c r="I210" s="52" t="n">
        <v>500</v>
      </c>
      <c r="J210" s="51" t="s">
        <v>626</v>
      </c>
      <c r="K210" s="54" t="n">
        <f aca="false">IF(G210=0,"",F210/G210)</f>
        <v>-0.801274777069568</v>
      </c>
      <c r="L210" s="55" t="n">
        <v>0.842</v>
      </c>
      <c r="M210" s="52" t="n">
        <v>10500</v>
      </c>
      <c r="N210" s="51" t="s">
        <v>549</v>
      </c>
    </row>
    <row r="211" customFormat="false" ht="15" hidden="false" customHeight="false" outlineLevel="0" collapsed="false">
      <c r="A211" s="51" t="s">
        <v>62</v>
      </c>
      <c r="B211" s="51" t="s">
        <v>24</v>
      </c>
      <c r="C211" s="51" t="s">
        <v>532</v>
      </c>
      <c r="D211" s="51" t="s">
        <v>573</v>
      </c>
      <c r="E211" s="51" t="s">
        <v>513</v>
      </c>
      <c r="F211" s="52" t="n">
        <v>-10443.72</v>
      </c>
      <c r="G211" s="52" t="n">
        <v>53400</v>
      </c>
      <c r="H211" s="53" t="n">
        <v>1.0084</v>
      </c>
      <c r="I211" s="52" t="n">
        <v>26050</v>
      </c>
      <c r="J211" s="51" t="s">
        <v>615</v>
      </c>
      <c r="K211" s="54" t="n">
        <f aca="false">IF(G211=0,"",F211/G211)</f>
        <v>-0.195575280898876</v>
      </c>
      <c r="L211" s="55" t="n">
        <v>0.877</v>
      </c>
      <c r="M211" s="52" t="n">
        <v>53400</v>
      </c>
      <c r="N211" s="51" t="s">
        <v>549</v>
      </c>
    </row>
    <row r="212" customFormat="false" ht="15" hidden="false" customHeight="false" outlineLevel="0" collapsed="false">
      <c r="A212" s="8" t="s">
        <v>62</v>
      </c>
      <c r="B212" s="8" t="s">
        <v>24</v>
      </c>
      <c r="C212" s="8" t="s">
        <v>532</v>
      </c>
      <c r="D212" s="8" t="s">
        <v>573</v>
      </c>
      <c r="E212" s="8" t="s">
        <v>515</v>
      </c>
      <c r="F212" s="56" t="n">
        <v>41324.4</v>
      </c>
      <c r="G212" s="56" t="n">
        <v>17309.9</v>
      </c>
      <c r="H212" s="43" t="n">
        <v>0.9549</v>
      </c>
      <c r="I212" s="56" t="n">
        <v>500</v>
      </c>
      <c r="J212" s="8" t="s">
        <v>581</v>
      </c>
      <c r="K212" s="19" t="n">
        <f aca="false">IF(G212=0,"",F212/G212)</f>
        <v>2.3873274831166</v>
      </c>
      <c r="L212" s="27" t="n">
        <v>1.099</v>
      </c>
      <c r="M212" s="56" t="n">
        <v>9500</v>
      </c>
      <c r="N212" s="8" t="s">
        <v>549</v>
      </c>
    </row>
    <row r="213" customFormat="false" ht="15" hidden="false" customHeight="false" outlineLevel="0" collapsed="false">
      <c r="A213" s="8" t="s">
        <v>62</v>
      </c>
      <c r="B213" s="8" t="s">
        <v>24</v>
      </c>
      <c r="C213" s="8" t="s">
        <v>518</v>
      </c>
      <c r="D213" s="8" t="s">
        <v>574</v>
      </c>
      <c r="E213" s="8" t="s">
        <v>513</v>
      </c>
      <c r="F213" s="56" t="n">
        <v>12560.81</v>
      </c>
      <c r="G213" s="56" t="n">
        <v>4032.04</v>
      </c>
      <c r="H213" s="43" t="n">
        <v>0.394</v>
      </c>
      <c r="I213" s="56" t="n">
        <v>200</v>
      </c>
      <c r="J213" s="8" t="s">
        <v>581</v>
      </c>
      <c r="K213" s="19" t="n">
        <f aca="false">IF(G213=0,"",F213/G213)</f>
        <v>3.11524935268499</v>
      </c>
      <c r="L213" s="27" t="n">
        <v>1.177</v>
      </c>
      <c r="M213" s="56" t="n">
        <v>1100</v>
      </c>
      <c r="N213" s="8" t="n">
        <v>2</v>
      </c>
    </row>
    <row r="214" customFormat="false" ht="15" hidden="false" customHeight="false" outlineLevel="0" collapsed="false">
      <c r="A214" s="8" t="s">
        <v>62</v>
      </c>
      <c r="B214" s="8" t="s">
        <v>24</v>
      </c>
      <c r="C214" s="8" t="s">
        <v>518</v>
      </c>
      <c r="D214" s="8" t="s">
        <v>574</v>
      </c>
      <c r="E214" s="8" t="s">
        <v>515</v>
      </c>
      <c r="F214" s="56" t="n">
        <v>12560.81</v>
      </c>
      <c r="G214" s="56" t="n">
        <v>4032.04</v>
      </c>
      <c r="H214" s="43" t="n">
        <v>0.394</v>
      </c>
      <c r="I214" s="56" t="n">
        <v>200</v>
      </c>
      <c r="J214" s="8" t="s">
        <v>581</v>
      </c>
      <c r="K214" s="19" t="n">
        <f aca="false">IF(G214=0,"",F214/G214)</f>
        <v>3.11524935268499</v>
      </c>
      <c r="L214" s="27" t="n">
        <v>1.177</v>
      </c>
      <c r="M214" s="56" t="n">
        <v>1100</v>
      </c>
      <c r="N214" s="8" t="n">
        <v>2</v>
      </c>
    </row>
    <row r="215" customFormat="false" ht="15" hidden="false" customHeight="false" outlineLevel="0" collapsed="false">
      <c r="A215" s="8" t="s">
        <v>62</v>
      </c>
      <c r="B215" s="8" t="s">
        <v>24</v>
      </c>
      <c r="C215" s="8" t="s">
        <v>522</v>
      </c>
      <c r="D215" s="8" t="s">
        <v>576</v>
      </c>
      <c r="E215" s="8" t="s">
        <v>513</v>
      </c>
      <c r="F215" s="56" t="n">
        <v>14025.73</v>
      </c>
      <c r="G215" s="56" t="n">
        <v>4601.23</v>
      </c>
      <c r="H215" s="43" t="n">
        <v>0.4496</v>
      </c>
      <c r="I215" s="56" t="n">
        <v>400</v>
      </c>
      <c r="J215" s="8" t="s">
        <v>581</v>
      </c>
      <c r="K215" s="19" t="n">
        <f aca="false">IF(G215=0,"",F215/G215)</f>
        <v>3.04825666180565</v>
      </c>
      <c r="L215" s="27" t="n">
        <v>1.146</v>
      </c>
      <c r="M215" s="56" t="n">
        <v>1350</v>
      </c>
      <c r="N215" s="8" t="s">
        <v>549</v>
      </c>
    </row>
    <row r="216" customFormat="false" ht="15" hidden="false" customHeight="false" outlineLevel="0" collapsed="false">
      <c r="A216" s="8" t="s">
        <v>62</v>
      </c>
      <c r="B216" s="8" t="s">
        <v>24</v>
      </c>
      <c r="C216" s="8" t="s">
        <v>522</v>
      </c>
      <c r="D216" s="8" t="s">
        <v>576</v>
      </c>
      <c r="E216" s="8" t="s">
        <v>515</v>
      </c>
      <c r="F216" s="56" t="n">
        <v>14025.73</v>
      </c>
      <c r="G216" s="56" t="n">
        <v>4601.23</v>
      </c>
      <c r="H216" s="43" t="n">
        <v>0.4496</v>
      </c>
      <c r="I216" s="56" t="n">
        <v>400</v>
      </c>
      <c r="J216" s="8" t="s">
        <v>581</v>
      </c>
      <c r="K216" s="19" t="n">
        <f aca="false">IF(G216=0,"",F216/G216)</f>
        <v>3.04825666180565</v>
      </c>
      <c r="L216" s="27" t="n">
        <v>1.146</v>
      </c>
      <c r="M216" s="56" t="n">
        <v>1350</v>
      </c>
      <c r="N216" s="8" t="s">
        <v>549</v>
      </c>
    </row>
    <row r="217" customFormat="false" ht="15" hidden="false" customHeight="false" outlineLevel="0" collapsed="false">
      <c r="A217" s="51" t="s">
        <v>62</v>
      </c>
      <c r="B217" s="51" t="s">
        <v>24</v>
      </c>
      <c r="C217" s="51" t="s">
        <v>525</v>
      </c>
      <c r="D217" s="51" t="s">
        <v>578</v>
      </c>
      <c r="E217" s="51" t="s">
        <v>513</v>
      </c>
      <c r="F217" s="52" t="n">
        <v>-11348.3</v>
      </c>
      <c r="G217" s="52" t="n">
        <v>13880.8</v>
      </c>
      <c r="H217" s="53" t="n">
        <v>1.1076</v>
      </c>
      <c r="I217" s="52" t="n">
        <v>3507.7</v>
      </c>
      <c r="J217" s="51" t="s">
        <v>616</v>
      </c>
      <c r="K217" s="54" t="n">
        <f aca="false">IF(G217=0,"",F217/G217)</f>
        <v>-0.817553743300098</v>
      </c>
      <c r="L217" s="55" t="n">
        <v>0.434</v>
      </c>
      <c r="M217" s="52" t="n">
        <v>13880.8</v>
      </c>
      <c r="N217" s="51" t="s">
        <v>549</v>
      </c>
    </row>
    <row r="218" customFormat="false" ht="15" hidden="false" customHeight="false" outlineLevel="0" collapsed="false">
      <c r="A218" s="51" t="s">
        <v>62</v>
      </c>
      <c r="B218" s="51" t="s">
        <v>24</v>
      </c>
      <c r="C218" s="51" t="s">
        <v>525</v>
      </c>
      <c r="D218" s="51" t="s">
        <v>578</v>
      </c>
      <c r="E218" s="51" t="s">
        <v>515</v>
      </c>
      <c r="F218" s="52" t="n">
        <v>-10131.21</v>
      </c>
      <c r="G218" s="52" t="n">
        <v>12663.7</v>
      </c>
      <c r="H218" s="53" t="n">
        <v>1.0105</v>
      </c>
      <c r="I218" s="52" t="n">
        <v>500</v>
      </c>
      <c r="J218" s="51" t="s">
        <v>617</v>
      </c>
      <c r="K218" s="54" t="n">
        <f aca="false">IF(G218=0,"",F218/G218)</f>
        <v>-0.800019741465764</v>
      </c>
      <c r="L218" s="55" t="n">
        <v>0.746</v>
      </c>
      <c r="M218" s="52" t="n">
        <v>7722.89</v>
      </c>
      <c r="N218" s="51" t="s">
        <v>549</v>
      </c>
    </row>
    <row r="219" customFormat="false" ht="15" hidden="false" customHeight="false" outlineLevel="0" collapsed="false">
      <c r="A219" s="8" t="s">
        <v>62</v>
      </c>
      <c r="B219" s="8" t="s">
        <v>24</v>
      </c>
      <c r="C219" s="8" t="s">
        <v>516</v>
      </c>
      <c r="D219" s="8" t="s">
        <v>580</v>
      </c>
      <c r="E219" s="8" t="s">
        <v>513</v>
      </c>
      <c r="F219" s="56" t="n">
        <v>18441.58</v>
      </c>
      <c r="G219" s="56" t="n">
        <v>9254.58</v>
      </c>
      <c r="H219" s="43" t="n">
        <v>0.3159</v>
      </c>
      <c r="I219" s="56" t="n">
        <v>376.96</v>
      </c>
      <c r="J219" s="8" t="s">
        <v>581</v>
      </c>
      <c r="K219" s="19" t="n">
        <f aca="false">IF(G219=0,"",F219/G219)</f>
        <v>1.99269766969436</v>
      </c>
      <c r="L219" s="27" t="n">
        <v>1.105</v>
      </c>
      <c r="M219" s="56" t="n">
        <v>4616.99</v>
      </c>
      <c r="N219" s="8" t="n">
        <v>3</v>
      </c>
    </row>
    <row r="220" customFormat="false" ht="15" hidden="false" customHeight="false" outlineLevel="0" collapsed="false">
      <c r="A220" s="8" t="s">
        <v>62</v>
      </c>
      <c r="B220" s="8" t="s">
        <v>24</v>
      </c>
      <c r="C220" s="8" t="s">
        <v>516</v>
      </c>
      <c r="D220" s="8" t="s">
        <v>580</v>
      </c>
      <c r="E220" s="8" t="s">
        <v>515</v>
      </c>
      <c r="F220" s="56" t="n">
        <v>18441.58</v>
      </c>
      <c r="G220" s="56" t="n">
        <v>9254.58</v>
      </c>
      <c r="H220" s="43" t="n">
        <v>0.3159</v>
      </c>
      <c r="I220" s="56" t="n">
        <v>376.96</v>
      </c>
      <c r="J220" s="8" t="s">
        <v>581</v>
      </c>
      <c r="K220" s="19" t="n">
        <f aca="false">IF(G220=0,"",F220/G220)</f>
        <v>1.99269766969436</v>
      </c>
      <c r="L220" s="27" t="n">
        <v>1.105</v>
      </c>
      <c r="M220" s="56" t="n">
        <v>4616.99</v>
      </c>
      <c r="N220" s="8" t="n">
        <v>3</v>
      </c>
    </row>
    <row r="221" customFormat="false" ht="15" hidden="false" customHeight="false" outlineLevel="0" collapsed="false">
      <c r="A221" s="8" t="s">
        <v>62</v>
      </c>
      <c r="B221" s="8" t="s">
        <v>24</v>
      </c>
      <c r="C221" s="8" t="s">
        <v>521</v>
      </c>
      <c r="D221" s="8" t="s">
        <v>582</v>
      </c>
      <c r="E221" s="8" t="s">
        <v>513</v>
      </c>
      <c r="F221" s="56" t="n">
        <v>20176.45</v>
      </c>
      <c r="G221" s="56" t="n">
        <v>11470.49</v>
      </c>
      <c r="H221" s="43" t="n">
        <v>0.4517</v>
      </c>
      <c r="I221" s="56" t="n">
        <v>1050</v>
      </c>
      <c r="J221" s="8" t="s">
        <v>581</v>
      </c>
      <c r="K221" s="19" t="n">
        <f aca="false">IF(G221=0,"",F221/G221)</f>
        <v>1.75898762825302</v>
      </c>
      <c r="L221" s="27" t="n">
        <v>1.159</v>
      </c>
      <c r="M221" s="56" t="n">
        <v>5600</v>
      </c>
      <c r="N221" s="8" t="s">
        <v>549</v>
      </c>
    </row>
    <row r="222" customFormat="false" ht="15" hidden="false" customHeight="false" outlineLevel="0" collapsed="false">
      <c r="A222" s="8" t="s">
        <v>62</v>
      </c>
      <c r="B222" s="8" t="s">
        <v>24</v>
      </c>
      <c r="C222" s="8" t="s">
        <v>521</v>
      </c>
      <c r="D222" s="8" t="s">
        <v>582</v>
      </c>
      <c r="E222" s="8" t="s">
        <v>515</v>
      </c>
      <c r="F222" s="56" t="n">
        <v>19667.47</v>
      </c>
      <c r="G222" s="56" t="n">
        <v>9358.83</v>
      </c>
      <c r="H222" s="43" t="n">
        <v>0.4</v>
      </c>
      <c r="I222" s="56" t="n">
        <v>500</v>
      </c>
      <c r="J222" s="8" t="s">
        <v>581</v>
      </c>
      <c r="K222" s="19" t="n">
        <f aca="false">IF(G222=0,"",F222/G222)</f>
        <v>2.1014881133646</v>
      </c>
      <c r="L222" s="27" t="n">
        <v>1.154</v>
      </c>
      <c r="M222" s="56" t="n">
        <v>3600</v>
      </c>
      <c r="N222" s="8" t="s">
        <v>549</v>
      </c>
    </row>
    <row r="224" customFormat="false" ht="15" hidden="false" customHeight="false" outlineLevel="0" collapsed="false">
      <c r="A224" s="48" t="s">
        <v>62</v>
      </c>
      <c r="B224" s="48" t="s">
        <v>59</v>
      </c>
      <c r="C224" s="48" t="s">
        <v>47</v>
      </c>
      <c r="D224" s="48" t="s">
        <v>547</v>
      </c>
      <c r="E224" s="48" t="s">
        <v>513</v>
      </c>
      <c r="F224" s="57" t="n">
        <v>3667.19</v>
      </c>
      <c r="G224" s="57" t="n">
        <v>1261.28</v>
      </c>
      <c r="H224" s="58" t="n">
        <v>0.0948</v>
      </c>
      <c r="I224" s="57" t="n">
        <v>50</v>
      </c>
      <c r="J224" s="48" t="s">
        <v>581</v>
      </c>
      <c r="K224" s="59" t="n">
        <f aca="false">IF(G224=0,"",F224/G224)</f>
        <v>2.90751458835469</v>
      </c>
      <c r="L224" s="50" t="n">
        <v>1.091</v>
      </c>
      <c r="M224" s="57" t="n">
        <v>450</v>
      </c>
      <c r="N224" s="48" t="n">
        <v>1</v>
      </c>
    </row>
    <row r="225" customFormat="false" ht="15" hidden="false" customHeight="false" outlineLevel="0" collapsed="false">
      <c r="A225" s="48" t="s">
        <v>62</v>
      </c>
      <c r="B225" s="48" t="s">
        <v>59</v>
      </c>
      <c r="C225" s="48" t="s">
        <v>47</v>
      </c>
      <c r="D225" s="48" t="s">
        <v>547</v>
      </c>
      <c r="E225" s="48" t="s">
        <v>515</v>
      </c>
      <c r="F225" s="57" t="n">
        <v>3667.19</v>
      </c>
      <c r="G225" s="57" t="n">
        <v>1261.28</v>
      </c>
      <c r="H225" s="58" t="n">
        <v>0.0948</v>
      </c>
      <c r="I225" s="57" t="n">
        <v>50</v>
      </c>
      <c r="J225" s="48" t="s">
        <v>581</v>
      </c>
      <c r="K225" s="59" t="n">
        <f aca="false">IF(G225=0,"",F225/G225)</f>
        <v>2.90751458835469</v>
      </c>
      <c r="L225" s="50" t="n">
        <v>1.091</v>
      </c>
      <c r="M225" s="57" t="n">
        <v>450</v>
      </c>
      <c r="N225" s="48" t="n">
        <v>1</v>
      </c>
    </row>
    <row r="226" customFormat="false" ht="15" hidden="false" customHeight="false" outlineLevel="0" collapsed="false">
      <c r="A226" s="51" t="s">
        <v>62</v>
      </c>
      <c r="B226" s="51" t="s">
        <v>59</v>
      </c>
      <c r="C226" s="51" t="s">
        <v>535</v>
      </c>
      <c r="D226" s="51" t="s">
        <v>550</v>
      </c>
      <c r="E226" s="51" t="s">
        <v>513</v>
      </c>
      <c r="F226" s="52" t="n">
        <v>-13018.08</v>
      </c>
      <c r="G226" s="52" t="n">
        <v>20624.41</v>
      </c>
      <c r="H226" s="53" t="n">
        <v>1.1714</v>
      </c>
      <c r="I226" s="52" t="n">
        <v>10827.69</v>
      </c>
      <c r="J226" s="51" t="s">
        <v>631</v>
      </c>
      <c r="K226" s="54" t="n">
        <f aca="false">IF(G226=0,"",F226/G226)</f>
        <v>-0.631197692443081</v>
      </c>
      <c r="L226" s="55" t="n">
        <v>0.722</v>
      </c>
      <c r="M226" s="52" t="n">
        <v>15505.8</v>
      </c>
      <c r="N226" s="51" t="s">
        <v>549</v>
      </c>
    </row>
    <row r="227" customFormat="false" ht="15" hidden="false" customHeight="false" outlineLevel="0" collapsed="false">
      <c r="A227" s="8" t="s">
        <v>62</v>
      </c>
      <c r="B227" s="8" t="s">
        <v>59</v>
      </c>
      <c r="C227" s="8" t="s">
        <v>535</v>
      </c>
      <c r="D227" s="8" t="s">
        <v>550</v>
      </c>
      <c r="E227" s="8" t="s">
        <v>515</v>
      </c>
      <c r="F227" s="56" t="n">
        <v>25336.34</v>
      </c>
      <c r="G227" s="56" t="n">
        <v>10816.91</v>
      </c>
      <c r="H227" s="43" t="n">
        <v>0.6168</v>
      </c>
      <c r="I227" s="56" t="n">
        <v>500</v>
      </c>
      <c r="J227" s="8" t="s">
        <v>581</v>
      </c>
      <c r="K227" s="19" t="n">
        <f aca="false">IF(G227=0,"",F227/G227)</f>
        <v>2.34228998854571</v>
      </c>
      <c r="L227" s="27" t="n">
        <v>1.089</v>
      </c>
      <c r="M227" s="56" t="n">
        <v>3500</v>
      </c>
      <c r="N227" s="8" t="s">
        <v>549</v>
      </c>
    </row>
    <row r="228" customFormat="false" ht="15" hidden="false" customHeight="false" outlineLevel="0" collapsed="false">
      <c r="A228" s="8" t="s">
        <v>62</v>
      </c>
      <c r="B228" s="8" t="s">
        <v>59</v>
      </c>
      <c r="C228" s="8" t="s">
        <v>527</v>
      </c>
      <c r="D228" s="8" t="s">
        <v>553</v>
      </c>
      <c r="E228" s="8" t="s">
        <v>513</v>
      </c>
      <c r="F228" s="56" t="n">
        <v>19588.65</v>
      </c>
      <c r="G228" s="56" t="n">
        <v>12549.11</v>
      </c>
      <c r="H228" s="43" t="n">
        <v>0.4491</v>
      </c>
      <c r="I228" s="56" t="n">
        <v>4233.04</v>
      </c>
      <c r="J228" s="8" t="s">
        <v>581</v>
      </c>
      <c r="K228" s="19" t="n">
        <f aca="false">IF(G228=0,"",F228/G228)</f>
        <v>1.56095930309002</v>
      </c>
      <c r="L228" s="27" t="n">
        <v>1.163</v>
      </c>
      <c r="M228" s="56" t="n">
        <v>7341.67</v>
      </c>
      <c r="N228" s="8" t="s">
        <v>549</v>
      </c>
    </row>
    <row r="229" customFormat="false" ht="15" hidden="false" customHeight="false" outlineLevel="0" collapsed="false">
      <c r="A229" s="8" t="s">
        <v>62</v>
      </c>
      <c r="B229" s="8" t="s">
        <v>59</v>
      </c>
      <c r="C229" s="8" t="s">
        <v>527</v>
      </c>
      <c r="D229" s="8" t="s">
        <v>553</v>
      </c>
      <c r="E229" s="8" t="s">
        <v>515</v>
      </c>
      <c r="F229" s="56" t="n">
        <v>16108.67</v>
      </c>
      <c r="G229" s="56" t="n">
        <v>6894.37</v>
      </c>
      <c r="H229" s="43" t="n">
        <v>0.5639</v>
      </c>
      <c r="I229" s="56" t="n">
        <v>500</v>
      </c>
      <c r="J229" s="8" t="s">
        <v>581</v>
      </c>
      <c r="K229" s="19" t="n">
        <f aca="false">IF(G229=0,"",F229/G229)</f>
        <v>2.3364963006047</v>
      </c>
      <c r="L229" s="27" t="n">
        <v>1.103</v>
      </c>
      <c r="M229" s="56" t="n">
        <v>2500</v>
      </c>
      <c r="N229" s="8" t="s">
        <v>549</v>
      </c>
    </row>
    <row r="230" customFormat="false" ht="15" hidden="false" customHeight="false" outlineLevel="0" collapsed="false">
      <c r="A230" s="51" t="s">
        <v>62</v>
      </c>
      <c r="B230" s="51" t="s">
        <v>59</v>
      </c>
      <c r="C230" s="51" t="s">
        <v>529</v>
      </c>
      <c r="D230" s="51" t="s">
        <v>556</v>
      </c>
      <c r="E230" s="51" t="s">
        <v>513</v>
      </c>
      <c r="F230" s="52" t="n">
        <v>-13266.2</v>
      </c>
      <c r="G230" s="52" t="n">
        <v>40652.73</v>
      </c>
      <c r="H230" s="53" t="n">
        <v>1.0874</v>
      </c>
      <c r="I230" s="52" t="n">
        <v>13584.24</v>
      </c>
      <c r="J230" s="51" t="s">
        <v>632</v>
      </c>
      <c r="K230" s="54" t="n">
        <f aca="false">IF(G230=0,"",F230/G230)</f>
        <v>-0.326329867637426</v>
      </c>
      <c r="L230" s="55" t="n">
        <v>0.923</v>
      </c>
      <c r="M230" s="52" t="n">
        <v>28677.85</v>
      </c>
      <c r="N230" s="51" t="s">
        <v>549</v>
      </c>
    </row>
    <row r="231" customFormat="false" ht="15" hidden="false" customHeight="false" outlineLevel="0" collapsed="false">
      <c r="A231" s="8" t="s">
        <v>62</v>
      </c>
      <c r="B231" s="8" t="s">
        <v>59</v>
      </c>
      <c r="C231" s="8" t="s">
        <v>529</v>
      </c>
      <c r="D231" s="8" t="s">
        <v>556</v>
      </c>
      <c r="E231" s="8" t="s">
        <v>515</v>
      </c>
      <c r="F231" s="56" t="n">
        <v>19158.96</v>
      </c>
      <c r="G231" s="56" t="n">
        <v>8342.83</v>
      </c>
      <c r="H231" s="43" t="n">
        <v>0.6106</v>
      </c>
      <c r="I231" s="56" t="n">
        <v>500</v>
      </c>
      <c r="J231" s="8" t="s">
        <v>581</v>
      </c>
      <c r="K231" s="19" t="n">
        <f aca="false">IF(G231=0,"",F231/G231)</f>
        <v>2.2964581562851</v>
      </c>
      <c r="L231" s="27" t="n">
        <v>1.088</v>
      </c>
      <c r="M231" s="56" t="n">
        <v>3500</v>
      </c>
      <c r="N231" s="8" t="s">
        <v>549</v>
      </c>
    </row>
    <row r="232" customFormat="false" ht="15" hidden="false" customHeight="false" outlineLevel="0" collapsed="false">
      <c r="A232" s="51" t="s">
        <v>62</v>
      </c>
      <c r="B232" s="51" t="s">
        <v>59</v>
      </c>
      <c r="C232" s="51" t="s">
        <v>534</v>
      </c>
      <c r="D232" s="51" t="s">
        <v>559</v>
      </c>
      <c r="E232" s="51" t="s">
        <v>513</v>
      </c>
      <c r="F232" s="52" t="n">
        <v>-26802.17</v>
      </c>
      <c r="G232" s="52" t="n">
        <v>39013.26</v>
      </c>
      <c r="H232" s="53" t="n">
        <v>1.7565</v>
      </c>
      <c r="I232" s="52" t="n">
        <v>25600</v>
      </c>
      <c r="J232" s="51" t="s">
        <v>633</v>
      </c>
      <c r="K232" s="54" t="n">
        <f aca="false">IF(G232=0,"",F232/G232)</f>
        <v>-0.687001547678917</v>
      </c>
      <c r="L232" s="55" t="n">
        <v>0.558</v>
      </c>
      <c r="M232" s="52" t="n">
        <v>38400</v>
      </c>
      <c r="N232" s="51" t="s">
        <v>549</v>
      </c>
    </row>
    <row r="233" customFormat="false" ht="15" hidden="false" customHeight="false" outlineLevel="0" collapsed="false">
      <c r="A233" s="8" t="s">
        <v>62</v>
      </c>
      <c r="B233" s="8" t="s">
        <v>59</v>
      </c>
      <c r="C233" s="8" t="s">
        <v>534</v>
      </c>
      <c r="D233" s="8" t="s">
        <v>559</v>
      </c>
      <c r="E233" s="8" t="s">
        <v>515</v>
      </c>
      <c r="F233" s="56" t="n">
        <v>28602.4</v>
      </c>
      <c r="G233" s="56" t="n">
        <v>11213.45</v>
      </c>
      <c r="H233" s="43" t="n">
        <v>0.5708</v>
      </c>
      <c r="I233" s="56" t="n">
        <v>500</v>
      </c>
      <c r="J233" s="8" t="s">
        <v>581</v>
      </c>
      <c r="K233" s="19" t="n">
        <f aca="false">IF(G233=0,"",F233/G233)</f>
        <v>2.55072256977112</v>
      </c>
      <c r="L233" s="27" t="n">
        <v>1.095</v>
      </c>
      <c r="M233" s="56" t="n">
        <v>3500</v>
      </c>
      <c r="N233" s="8" t="s">
        <v>549</v>
      </c>
    </row>
    <row r="234" customFormat="false" ht="15" hidden="false" customHeight="false" outlineLevel="0" collapsed="false">
      <c r="A234" s="51" t="s">
        <v>62</v>
      </c>
      <c r="B234" s="51" t="s">
        <v>59</v>
      </c>
      <c r="C234" s="51" t="s">
        <v>530</v>
      </c>
      <c r="D234" s="51" t="s">
        <v>560</v>
      </c>
      <c r="E234" s="51" t="s">
        <v>513</v>
      </c>
      <c r="F234" s="52" t="n">
        <v>-13266.2</v>
      </c>
      <c r="G234" s="52" t="n">
        <v>40652.73</v>
      </c>
      <c r="H234" s="53" t="n">
        <v>1.0874</v>
      </c>
      <c r="I234" s="52" t="n">
        <v>13584.24</v>
      </c>
      <c r="J234" s="51" t="s">
        <v>632</v>
      </c>
      <c r="K234" s="54" t="n">
        <f aca="false">IF(G234=0,"",F234/G234)</f>
        <v>-0.326329867637426</v>
      </c>
      <c r="L234" s="55" t="n">
        <v>0.923</v>
      </c>
      <c r="M234" s="52" t="n">
        <v>28677.85</v>
      </c>
      <c r="N234" s="51" t="s">
        <v>549</v>
      </c>
    </row>
    <row r="235" customFormat="false" ht="15" hidden="false" customHeight="false" outlineLevel="0" collapsed="false">
      <c r="A235" s="8" t="s">
        <v>62</v>
      </c>
      <c r="B235" s="8" t="s">
        <v>59</v>
      </c>
      <c r="C235" s="8" t="s">
        <v>530</v>
      </c>
      <c r="D235" s="8" t="s">
        <v>560</v>
      </c>
      <c r="E235" s="8" t="s">
        <v>515</v>
      </c>
      <c r="F235" s="56" t="n">
        <v>19158.96</v>
      </c>
      <c r="G235" s="56" t="n">
        <v>8342.83</v>
      </c>
      <c r="H235" s="43" t="n">
        <v>0.6106</v>
      </c>
      <c r="I235" s="56" t="n">
        <v>500</v>
      </c>
      <c r="J235" s="8" t="s">
        <v>581</v>
      </c>
      <c r="K235" s="19" t="n">
        <f aca="false">IF(G235=0,"",F235/G235)</f>
        <v>2.2964581562851</v>
      </c>
      <c r="L235" s="27" t="n">
        <v>1.088</v>
      </c>
      <c r="M235" s="56" t="n">
        <v>3500</v>
      </c>
      <c r="N235" s="8" t="s">
        <v>549</v>
      </c>
    </row>
    <row r="236" customFormat="false" ht="15" hidden="false" customHeight="false" outlineLevel="0" collapsed="false">
      <c r="A236" s="8" t="s">
        <v>62</v>
      </c>
      <c r="B236" s="8" t="s">
        <v>59</v>
      </c>
      <c r="C236" s="8" t="s">
        <v>524</v>
      </c>
      <c r="D236" s="8" t="s">
        <v>561</v>
      </c>
      <c r="E236" s="8" t="s">
        <v>513</v>
      </c>
      <c r="F236" s="56" t="n">
        <v>29364.48</v>
      </c>
      <c r="G236" s="56" t="n">
        <v>5298.12</v>
      </c>
      <c r="H236" s="43" t="n">
        <v>0.3329</v>
      </c>
      <c r="I236" s="56" t="n">
        <v>950</v>
      </c>
      <c r="J236" s="8" t="s">
        <v>581</v>
      </c>
      <c r="K236" s="19" t="n">
        <f aca="false">IF(G236=0,"",F236/G236)</f>
        <v>5.54243391995651</v>
      </c>
      <c r="L236" s="27" t="n">
        <v>1.164</v>
      </c>
      <c r="M236" s="56" t="n">
        <v>4000</v>
      </c>
      <c r="N236" s="8" t="s">
        <v>549</v>
      </c>
    </row>
    <row r="237" customFormat="false" ht="15" hidden="false" customHeight="false" outlineLevel="0" collapsed="false">
      <c r="A237" s="8" t="s">
        <v>62</v>
      </c>
      <c r="B237" s="8" t="s">
        <v>59</v>
      </c>
      <c r="C237" s="8" t="s">
        <v>524</v>
      </c>
      <c r="D237" s="8" t="s">
        <v>561</v>
      </c>
      <c r="E237" s="8" t="s">
        <v>515</v>
      </c>
      <c r="F237" s="56" t="n">
        <v>24603.18</v>
      </c>
      <c r="G237" s="56" t="n">
        <v>6987.09</v>
      </c>
      <c r="H237" s="43" t="n">
        <v>0.5262</v>
      </c>
      <c r="I237" s="56" t="n">
        <v>500</v>
      </c>
      <c r="J237" s="8" t="s">
        <v>581</v>
      </c>
      <c r="K237" s="19" t="n">
        <f aca="false">IF(G237=0,"",F237/G237)</f>
        <v>3.52123416186138</v>
      </c>
      <c r="L237" s="27" t="n">
        <v>1.132</v>
      </c>
      <c r="M237" s="56" t="n">
        <v>2500</v>
      </c>
      <c r="N237" s="8" t="s">
        <v>549</v>
      </c>
    </row>
    <row r="238" customFormat="false" ht="15" hidden="false" customHeight="false" outlineLevel="0" collapsed="false">
      <c r="A238" s="51" t="s">
        <v>62</v>
      </c>
      <c r="B238" s="51" t="s">
        <v>59</v>
      </c>
      <c r="C238" s="51" t="s">
        <v>533</v>
      </c>
      <c r="D238" s="51" t="s">
        <v>563</v>
      </c>
      <c r="E238" s="51" t="s">
        <v>513</v>
      </c>
      <c r="F238" s="52" t="n">
        <v>-11392.25</v>
      </c>
      <c r="G238" s="52" t="n">
        <v>15690.61</v>
      </c>
      <c r="H238" s="53" t="n">
        <v>1.0974</v>
      </c>
      <c r="I238" s="52" t="n">
        <v>7200</v>
      </c>
      <c r="J238" s="51" t="s">
        <v>634</v>
      </c>
      <c r="K238" s="54" t="n">
        <f aca="false">IF(G238=0,"",F238/G238)</f>
        <v>-0.726055264900472</v>
      </c>
      <c r="L238" s="55" t="n">
        <v>0.54</v>
      </c>
      <c r="M238" s="52" t="n">
        <v>14400</v>
      </c>
      <c r="N238" s="51" t="s">
        <v>549</v>
      </c>
    </row>
    <row r="239" customFormat="false" ht="15" hidden="false" customHeight="false" outlineLevel="0" collapsed="false">
      <c r="A239" s="8" t="s">
        <v>62</v>
      </c>
      <c r="B239" s="8" t="s">
        <v>59</v>
      </c>
      <c r="C239" s="8" t="s">
        <v>533</v>
      </c>
      <c r="D239" s="8" t="s">
        <v>563</v>
      </c>
      <c r="E239" s="8" t="s">
        <v>515</v>
      </c>
      <c r="F239" s="56" t="n">
        <v>23319.89</v>
      </c>
      <c r="G239" s="56" t="n">
        <v>11021.26</v>
      </c>
      <c r="H239" s="43" t="n">
        <v>0.6475</v>
      </c>
      <c r="I239" s="56" t="n">
        <v>500</v>
      </c>
      <c r="J239" s="8" t="s">
        <v>581</v>
      </c>
      <c r="K239" s="19" t="n">
        <f aca="false">IF(G239=0,"",F239/G239)</f>
        <v>2.11590054131742</v>
      </c>
      <c r="L239" s="27" t="n">
        <v>1.088</v>
      </c>
      <c r="M239" s="56" t="n">
        <v>3500</v>
      </c>
      <c r="N239" s="8" t="s">
        <v>549</v>
      </c>
    </row>
    <row r="240" customFormat="false" ht="15" hidden="false" customHeight="false" outlineLevel="0" collapsed="false">
      <c r="A240" s="8" t="s">
        <v>62</v>
      </c>
      <c r="B240" s="8" t="s">
        <v>59</v>
      </c>
      <c r="C240" s="8" t="s">
        <v>523</v>
      </c>
      <c r="D240" s="8" t="s">
        <v>566</v>
      </c>
      <c r="E240" s="8" t="s">
        <v>513</v>
      </c>
      <c r="F240" s="56" t="n">
        <v>33872.15</v>
      </c>
      <c r="G240" s="56" t="n">
        <v>9326.95</v>
      </c>
      <c r="H240" s="43" t="n">
        <v>0.3478</v>
      </c>
      <c r="I240" s="56" t="n">
        <v>1050</v>
      </c>
      <c r="J240" s="8" t="s">
        <v>581</v>
      </c>
      <c r="K240" s="19" t="n">
        <f aca="false">IF(G240=0,"",F240/G240)</f>
        <v>3.63164271278392</v>
      </c>
      <c r="L240" s="27" t="n">
        <v>1.124</v>
      </c>
      <c r="M240" s="56" t="n">
        <v>4900</v>
      </c>
      <c r="N240" s="8" t="s">
        <v>549</v>
      </c>
    </row>
    <row r="241" customFormat="false" ht="15" hidden="false" customHeight="false" outlineLevel="0" collapsed="false">
      <c r="A241" s="8" t="s">
        <v>62</v>
      </c>
      <c r="B241" s="8" t="s">
        <v>59</v>
      </c>
      <c r="C241" s="8" t="s">
        <v>523</v>
      </c>
      <c r="D241" s="8" t="s">
        <v>566</v>
      </c>
      <c r="E241" s="8" t="s">
        <v>515</v>
      </c>
      <c r="F241" s="56" t="n">
        <v>24218.37</v>
      </c>
      <c r="G241" s="56" t="n">
        <v>8333.34</v>
      </c>
      <c r="H241" s="43" t="n">
        <v>0.3521</v>
      </c>
      <c r="I241" s="56" t="n">
        <v>500</v>
      </c>
      <c r="J241" s="8" t="s">
        <v>581</v>
      </c>
      <c r="K241" s="19" t="n">
        <f aca="false">IF(G241=0,"",F241/G241)</f>
        <v>2.90620207503834</v>
      </c>
      <c r="L241" s="27" t="n">
        <v>1.102</v>
      </c>
      <c r="M241" s="56" t="n">
        <v>3500</v>
      </c>
      <c r="N241" s="8" t="n">
        <v>2</v>
      </c>
    </row>
    <row r="242" customFormat="false" ht="15" hidden="false" customHeight="false" outlineLevel="0" collapsed="false">
      <c r="A242" s="8" t="s">
        <v>62</v>
      </c>
      <c r="B242" s="8" t="s">
        <v>59</v>
      </c>
      <c r="C242" s="8" t="s">
        <v>519</v>
      </c>
      <c r="D242" s="8" t="s">
        <v>567</v>
      </c>
      <c r="E242" s="8" t="s">
        <v>513</v>
      </c>
      <c r="F242" s="56" t="n">
        <v>10568.93</v>
      </c>
      <c r="G242" s="56" t="n">
        <v>5357.44</v>
      </c>
      <c r="H242" s="43" t="n">
        <v>0.2691</v>
      </c>
      <c r="I242" s="56" t="n">
        <v>1785.81</v>
      </c>
      <c r="J242" s="8" t="s">
        <v>581</v>
      </c>
      <c r="K242" s="19" t="n">
        <f aca="false">IF(G242=0,"",F242/G242)</f>
        <v>1.97275751105005</v>
      </c>
      <c r="L242" s="27" t="n">
        <v>1.159</v>
      </c>
      <c r="M242" s="56" t="n">
        <v>3097.27</v>
      </c>
      <c r="N242" s="8" t="s">
        <v>549</v>
      </c>
    </row>
    <row r="243" customFormat="false" ht="15" hidden="false" customHeight="false" outlineLevel="0" collapsed="false">
      <c r="A243" s="8" t="s">
        <v>62</v>
      </c>
      <c r="B243" s="8" t="s">
        <v>59</v>
      </c>
      <c r="C243" s="8" t="s">
        <v>519</v>
      </c>
      <c r="D243" s="8" t="s">
        <v>567</v>
      </c>
      <c r="E243" s="8" t="s">
        <v>515</v>
      </c>
      <c r="F243" s="56" t="n">
        <v>10359.21</v>
      </c>
      <c r="G243" s="56" t="n">
        <v>3980.68</v>
      </c>
      <c r="H243" s="43" t="n">
        <v>0.2004</v>
      </c>
      <c r="I243" s="56" t="n">
        <v>500</v>
      </c>
      <c r="J243" s="8" t="s">
        <v>581</v>
      </c>
      <c r="K243" s="19" t="n">
        <f aca="false">IF(G243=0,"",F243/G243)</f>
        <v>2.60237195655014</v>
      </c>
      <c r="L243" s="27" t="n">
        <v>1.145</v>
      </c>
      <c r="M243" s="56" t="n">
        <v>1910.9</v>
      </c>
      <c r="N243" s="8" t="n">
        <v>3</v>
      </c>
    </row>
    <row r="244" customFormat="false" ht="15" hidden="false" customHeight="false" outlineLevel="0" collapsed="false">
      <c r="A244" s="8" t="s">
        <v>62</v>
      </c>
      <c r="B244" s="8" t="s">
        <v>59</v>
      </c>
      <c r="C244" s="8" t="s">
        <v>528</v>
      </c>
      <c r="D244" s="8" t="s">
        <v>570</v>
      </c>
      <c r="E244" s="8" t="s">
        <v>513</v>
      </c>
      <c r="F244" s="56" t="n">
        <v>83935.09</v>
      </c>
      <c r="G244" s="56" t="n">
        <v>51565.27</v>
      </c>
      <c r="H244" s="43" t="n">
        <v>0.6665</v>
      </c>
      <c r="I244" s="56" t="n">
        <v>17188.42</v>
      </c>
      <c r="J244" s="8" t="s">
        <v>581</v>
      </c>
      <c r="K244" s="19" t="n">
        <f aca="false">IF(G244=0,"",F244/G244)</f>
        <v>1.62774460407169</v>
      </c>
      <c r="L244" s="27" t="n">
        <v>1.152</v>
      </c>
      <c r="M244" s="56" t="n">
        <v>29811.17</v>
      </c>
      <c r="N244" s="8" t="s">
        <v>549</v>
      </c>
    </row>
    <row r="245" customFormat="false" ht="15" hidden="false" customHeight="false" outlineLevel="0" collapsed="false">
      <c r="A245" s="8" t="s">
        <v>62</v>
      </c>
      <c r="B245" s="8" t="s">
        <v>59</v>
      </c>
      <c r="C245" s="8" t="s">
        <v>528</v>
      </c>
      <c r="D245" s="8" t="s">
        <v>570</v>
      </c>
      <c r="E245" s="8" t="s">
        <v>515</v>
      </c>
      <c r="F245" s="56" t="n">
        <v>29503.05</v>
      </c>
      <c r="G245" s="56" t="n">
        <v>12376.25</v>
      </c>
      <c r="H245" s="43" t="n">
        <v>0.6779</v>
      </c>
      <c r="I245" s="56" t="n">
        <v>500</v>
      </c>
      <c r="J245" s="8" t="s">
        <v>581</v>
      </c>
      <c r="K245" s="19" t="n">
        <f aca="false">IF(G245=0,"",F245/G245)</f>
        <v>2.38384405615594</v>
      </c>
      <c r="L245" s="27" t="n">
        <v>1.084</v>
      </c>
      <c r="M245" s="56" t="n">
        <v>4301.12</v>
      </c>
      <c r="N245" s="8" t="s">
        <v>549</v>
      </c>
    </row>
    <row r="246" customFormat="false" ht="15" hidden="false" customHeight="false" outlineLevel="0" collapsed="false">
      <c r="A246" s="51" t="s">
        <v>62</v>
      </c>
      <c r="B246" s="51" t="s">
        <v>59</v>
      </c>
      <c r="C246" s="51" t="s">
        <v>531</v>
      </c>
      <c r="D246" s="51" t="s">
        <v>571</v>
      </c>
      <c r="E246" s="51" t="s">
        <v>513</v>
      </c>
      <c r="F246" s="52" t="n">
        <v>-10418.05</v>
      </c>
      <c r="G246" s="52" t="n">
        <v>49417.21</v>
      </c>
      <c r="H246" s="53" t="n">
        <v>1.0085</v>
      </c>
      <c r="I246" s="52" t="n">
        <v>15650</v>
      </c>
      <c r="J246" s="51" t="s">
        <v>635</v>
      </c>
      <c r="K246" s="54" t="n">
        <f aca="false">IF(G246=0,"",F246/G246)</f>
        <v>-0.210818255421542</v>
      </c>
      <c r="L246" s="55" t="n">
        <v>0.978</v>
      </c>
      <c r="M246" s="52" t="n">
        <v>31800</v>
      </c>
      <c r="N246" s="51" t="s">
        <v>549</v>
      </c>
    </row>
    <row r="247" customFormat="false" ht="15" hidden="false" customHeight="false" outlineLevel="0" collapsed="false">
      <c r="A247" s="8" t="s">
        <v>62</v>
      </c>
      <c r="B247" s="8" t="s">
        <v>59</v>
      </c>
      <c r="C247" s="8" t="s">
        <v>531</v>
      </c>
      <c r="D247" s="8" t="s">
        <v>571</v>
      </c>
      <c r="E247" s="8" t="s">
        <v>515</v>
      </c>
      <c r="F247" s="56" t="n">
        <v>20606.94</v>
      </c>
      <c r="G247" s="56" t="n">
        <v>13956.65</v>
      </c>
      <c r="H247" s="43" t="n">
        <v>0.4064</v>
      </c>
      <c r="I247" s="56" t="n">
        <v>500</v>
      </c>
      <c r="J247" s="8" t="s">
        <v>581</v>
      </c>
      <c r="K247" s="19" t="n">
        <f aca="false">IF(G247=0,"",F247/G247)</f>
        <v>1.47649615058055</v>
      </c>
      <c r="L247" s="27" t="n">
        <v>1.08</v>
      </c>
      <c r="M247" s="56" t="n">
        <v>3500</v>
      </c>
      <c r="N247" s="8" t="s">
        <v>549</v>
      </c>
    </row>
    <row r="248" customFormat="false" ht="15" hidden="false" customHeight="false" outlineLevel="0" collapsed="false">
      <c r="A248" s="51" t="s">
        <v>62</v>
      </c>
      <c r="B248" s="51" t="s">
        <v>59</v>
      </c>
      <c r="C248" s="51" t="s">
        <v>532</v>
      </c>
      <c r="D248" s="51" t="s">
        <v>573</v>
      </c>
      <c r="E248" s="51" t="s">
        <v>513</v>
      </c>
      <c r="F248" s="52" t="n">
        <v>-26016.36</v>
      </c>
      <c r="G248" s="52" t="n">
        <v>40610.86</v>
      </c>
      <c r="H248" s="53" t="n">
        <v>1.6512</v>
      </c>
      <c r="I248" s="52" t="n">
        <v>26050</v>
      </c>
      <c r="J248" s="51" t="s">
        <v>633</v>
      </c>
      <c r="K248" s="54" t="n">
        <f aca="false">IF(G248=0,"",F248/G248)</f>
        <v>-0.640625684853756</v>
      </c>
      <c r="L248" s="55" t="n">
        <v>0.601</v>
      </c>
      <c r="M248" s="52" t="n">
        <v>39250</v>
      </c>
      <c r="N248" s="51" t="s">
        <v>549</v>
      </c>
    </row>
    <row r="249" customFormat="false" ht="15" hidden="false" customHeight="false" outlineLevel="0" collapsed="false">
      <c r="A249" s="8" t="s">
        <v>62</v>
      </c>
      <c r="B249" s="8" t="s">
        <v>59</v>
      </c>
      <c r="C249" s="8" t="s">
        <v>532</v>
      </c>
      <c r="D249" s="8" t="s">
        <v>573</v>
      </c>
      <c r="E249" s="8" t="s">
        <v>515</v>
      </c>
      <c r="F249" s="56" t="n">
        <v>30164.32</v>
      </c>
      <c r="G249" s="56" t="n">
        <v>11405.41</v>
      </c>
      <c r="H249" s="43" t="n">
        <v>0.5393</v>
      </c>
      <c r="I249" s="56" t="n">
        <v>500</v>
      </c>
      <c r="J249" s="8" t="s">
        <v>581</v>
      </c>
      <c r="K249" s="19" t="n">
        <f aca="false">IF(G249=0,"",F249/G249)</f>
        <v>2.64473789193023</v>
      </c>
      <c r="L249" s="27" t="n">
        <v>1.093</v>
      </c>
      <c r="M249" s="56" t="n">
        <v>3500</v>
      </c>
      <c r="N249" s="8" t="s">
        <v>549</v>
      </c>
    </row>
    <row r="250" customFormat="false" ht="15" hidden="false" customHeight="false" outlineLevel="0" collapsed="false">
      <c r="A250" s="8" t="s">
        <v>62</v>
      </c>
      <c r="B250" s="8" t="s">
        <v>59</v>
      </c>
      <c r="C250" s="8" t="s">
        <v>518</v>
      </c>
      <c r="D250" s="8" t="s">
        <v>574</v>
      </c>
      <c r="E250" s="8" t="s">
        <v>513</v>
      </c>
      <c r="F250" s="56" t="n">
        <v>5210.28</v>
      </c>
      <c r="G250" s="56" t="n">
        <v>2198.96</v>
      </c>
      <c r="H250" s="43" t="n">
        <v>0.1715</v>
      </c>
      <c r="I250" s="56" t="n">
        <v>200</v>
      </c>
      <c r="J250" s="8" t="s">
        <v>581</v>
      </c>
      <c r="K250" s="19" t="n">
        <f aca="false">IF(G250=0,"",F250/G250)</f>
        <v>2.3694291847055</v>
      </c>
      <c r="L250" s="27" t="n">
        <v>1.073</v>
      </c>
      <c r="M250" s="56" t="n">
        <v>600</v>
      </c>
      <c r="N250" s="8" t="n">
        <v>4</v>
      </c>
    </row>
    <row r="251" customFormat="false" ht="15" hidden="false" customHeight="false" outlineLevel="0" collapsed="false">
      <c r="A251" s="8" t="s">
        <v>62</v>
      </c>
      <c r="B251" s="8" t="s">
        <v>59</v>
      </c>
      <c r="C251" s="8" t="s">
        <v>518</v>
      </c>
      <c r="D251" s="8" t="s">
        <v>574</v>
      </c>
      <c r="E251" s="8" t="s">
        <v>515</v>
      </c>
      <c r="F251" s="56" t="n">
        <v>5210.28</v>
      </c>
      <c r="G251" s="56" t="n">
        <v>2198.96</v>
      </c>
      <c r="H251" s="43" t="n">
        <v>0.1715</v>
      </c>
      <c r="I251" s="56" t="n">
        <v>200</v>
      </c>
      <c r="J251" s="8" t="s">
        <v>581</v>
      </c>
      <c r="K251" s="19" t="n">
        <f aca="false">IF(G251=0,"",F251/G251)</f>
        <v>2.3694291847055</v>
      </c>
      <c r="L251" s="27" t="n">
        <v>1.073</v>
      </c>
      <c r="M251" s="56" t="n">
        <v>600</v>
      </c>
      <c r="N251" s="8" t="n">
        <v>4</v>
      </c>
    </row>
    <row r="252" customFormat="false" ht="15" hidden="false" customHeight="false" outlineLevel="0" collapsed="false">
      <c r="A252" s="51" t="s">
        <v>62</v>
      </c>
      <c r="B252" s="51" t="s">
        <v>59</v>
      </c>
      <c r="C252" s="51" t="s">
        <v>522</v>
      </c>
      <c r="D252" s="51" t="s">
        <v>576</v>
      </c>
      <c r="E252" s="51" t="s">
        <v>513</v>
      </c>
      <c r="F252" s="52" t="n">
        <v>-10255.46</v>
      </c>
      <c r="G252" s="52" t="n">
        <v>18236.66</v>
      </c>
      <c r="H252" s="53" t="n">
        <v>1.0142</v>
      </c>
      <c r="I252" s="52" t="n">
        <v>1550</v>
      </c>
      <c r="J252" s="51" t="s">
        <v>636</v>
      </c>
      <c r="K252" s="54" t="n">
        <f aca="false">IF(G252=0,"",F252/G252)</f>
        <v>-0.562354071414393</v>
      </c>
      <c r="L252" s="55" t="n">
        <v>0.918</v>
      </c>
      <c r="M252" s="52" t="n">
        <v>9800</v>
      </c>
      <c r="N252" s="51" t="s">
        <v>549</v>
      </c>
    </row>
    <row r="253" customFormat="false" ht="15" hidden="false" customHeight="false" outlineLevel="0" collapsed="false">
      <c r="A253" s="8" t="s">
        <v>62</v>
      </c>
      <c r="B253" s="8" t="s">
        <v>59</v>
      </c>
      <c r="C253" s="8" t="s">
        <v>522</v>
      </c>
      <c r="D253" s="8" t="s">
        <v>576</v>
      </c>
      <c r="E253" s="8" t="s">
        <v>515</v>
      </c>
      <c r="F253" s="56" t="n">
        <v>31624.48</v>
      </c>
      <c r="G253" s="56" t="n">
        <v>12612.82</v>
      </c>
      <c r="H253" s="43" t="n">
        <v>0.6285</v>
      </c>
      <c r="I253" s="56" t="n">
        <v>500</v>
      </c>
      <c r="J253" s="8" t="s">
        <v>581</v>
      </c>
      <c r="K253" s="19" t="n">
        <f aca="false">IF(G253=0,"",F253/G253)</f>
        <v>2.50732825807393</v>
      </c>
      <c r="L253" s="27" t="n">
        <v>1.08</v>
      </c>
      <c r="M253" s="56" t="n">
        <v>4500</v>
      </c>
      <c r="N253" s="8" t="s">
        <v>549</v>
      </c>
    </row>
    <row r="254" customFormat="false" ht="15" hidden="false" customHeight="false" outlineLevel="0" collapsed="false">
      <c r="A254" s="8" t="s">
        <v>62</v>
      </c>
      <c r="B254" s="8" t="s">
        <v>59</v>
      </c>
      <c r="C254" s="8" t="s">
        <v>525</v>
      </c>
      <c r="D254" s="8" t="s">
        <v>578</v>
      </c>
      <c r="E254" s="8" t="s">
        <v>513</v>
      </c>
      <c r="F254" s="56" t="n">
        <v>18766.24</v>
      </c>
      <c r="G254" s="56" t="n">
        <v>11755.41</v>
      </c>
      <c r="H254" s="43" t="n">
        <v>0.4326</v>
      </c>
      <c r="I254" s="56" t="n">
        <v>3968.47</v>
      </c>
      <c r="J254" s="8" t="s">
        <v>581</v>
      </c>
      <c r="K254" s="19" t="n">
        <f aca="false">IF(G254=0,"",F254/G254)</f>
        <v>1.59639178897206</v>
      </c>
      <c r="L254" s="27" t="n">
        <v>1.164</v>
      </c>
      <c r="M254" s="56" t="n">
        <v>6882.82</v>
      </c>
      <c r="N254" s="8" t="s">
        <v>549</v>
      </c>
    </row>
    <row r="255" customFormat="false" ht="15" hidden="false" customHeight="false" outlineLevel="0" collapsed="false">
      <c r="A255" s="8" t="s">
        <v>62</v>
      </c>
      <c r="B255" s="8" t="s">
        <v>59</v>
      </c>
      <c r="C255" s="8" t="s">
        <v>525</v>
      </c>
      <c r="D255" s="8" t="s">
        <v>578</v>
      </c>
      <c r="E255" s="8" t="s">
        <v>515</v>
      </c>
      <c r="F255" s="56" t="n">
        <v>15614.57</v>
      </c>
      <c r="G255" s="56" t="n">
        <v>6966.42</v>
      </c>
      <c r="H255" s="43" t="n">
        <v>0.576</v>
      </c>
      <c r="I255" s="56" t="n">
        <v>500</v>
      </c>
      <c r="J255" s="8" t="s">
        <v>581</v>
      </c>
      <c r="K255" s="19" t="n">
        <f aca="false">IF(G255=0,"",F255/G255)</f>
        <v>2.24140519807878</v>
      </c>
      <c r="L255" s="27" t="n">
        <v>1.104</v>
      </c>
      <c r="M255" s="56" t="n">
        <v>2500</v>
      </c>
      <c r="N255" s="8" t="s">
        <v>549</v>
      </c>
    </row>
    <row r="256" customFormat="false" ht="15" hidden="false" customHeight="false" outlineLevel="0" collapsed="false">
      <c r="A256" s="8" t="s">
        <v>62</v>
      </c>
      <c r="B256" s="8" t="s">
        <v>59</v>
      </c>
      <c r="C256" s="8" t="s">
        <v>516</v>
      </c>
      <c r="D256" s="8" t="s">
        <v>580</v>
      </c>
      <c r="E256" s="8" t="s">
        <v>513</v>
      </c>
      <c r="F256" s="56" t="n">
        <v>8812.45</v>
      </c>
      <c r="G256" s="56" t="n">
        <v>4394.12</v>
      </c>
      <c r="H256" s="43" t="n">
        <v>0.2403</v>
      </c>
      <c r="I256" s="56" t="n">
        <v>201.98</v>
      </c>
      <c r="J256" s="8" t="s">
        <v>581</v>
      </c>
      <c r="K256" s="19" t="n">
        <f aca="false">IF(G256=0,"",F256/G256)</f>
        <v>2.00550963560394</v>
      </c>
      <c r="L256" s="27" t="n">
        <v>1.076</v>
      </c>
      <c r="M256" s="56" t="n">
        <v>1560.42</v>
      </c>
      <c r="N256" s="8" t="n">
        <v>5</v>
      </c>
    </row>
    <row r="257" customFormat="false" ht="15" hidden="false" customHeight="false" outlineLevel="0" collapsed="false">
      <c r="A257" s="8" t="s">
        <v>62</v>
      </c>
      <c r="B257" s="8" t="s">
        <v>59</v>
      </c>
      <c r="C257" s="8" t="s">
        <v>516</v>
      </c>
      <c r="D257" s="8" t="s">
        <v>580</v>
      </c>
      <c r="E257" s="8" t="s">
        <v>515</v>
      </c>
      <c r="F257" s="56" t="n">
        <v>8812.45</v>
      </c>
      <c r="G257" s="56" t="n">
        <v>4394.12</v>
      </c>
      <c r="H257" s="43" t="n">
        <v>0.2403</v>
      </c>
      <c r="I257" s="56" t="n">
        <v>201.98</v>
      </c>
      <c r="J257" s="8" t="s">
        <v>581</v>
      </c>
      <c r="K257" s="19" t="n">
        <f aca="false">IF(G257=0,"",F257/G257)</f>
        <v>2.00550963560394</v>
      </c>
      <c r="L257" s="27" t="n">
        <v>1.076</v>
      </c>
      <c r="M257" s="56" t="n">
        <v>1560.42</v>
      </c>
      <c r="N257" s="8" t="n">
        <v>5</v>
      </c>
    </row>
    <row r="258" customFormat="false" ht="15" hidden="false" customHeight="false" outlineLevel="0" collapsed="false">
      <c r="A258" s="8" t="s">
        <v>62</v>
      </c>
      <c r="B258" s="8" t="s">
        <v>59</v>
      </c>
      <c r="C258" s="8" t="s">
        <v>521</v>
      </c>
      <c r="D258" s="8" t="s">
        <v>582</v>
      </c>
      <c r="E258" s="8" t="s">
        <v>513</v>
      </c>
      <c r="F258" s="56" t="n">
        <v>19801.38</v>
      </c>
      <c r="G258" s="56" t="n">
        <v>5975.61</v>
      </c>
      <c r="H258" s="43" t="n">
        <v>0.3776</v>
      </c>
      <c r="I258" s="56" t="n">
        <v>1350</v>
      </c>
      <c r="J258" s="8" t="s">
        <v>581</v>
      </c>
      <c r="K258" s="19" t="n">
        <f aca="false">IF(G258=0,"",F258/G258)</f>
        <v>3.31370019127754</v>
      </c>
      <c r="L258" s="27" t="n">
        <v>1.148</v>
      </c>
      <c r="M258" s="56" t="n">
        <v>4250</v>
      </c>
      <c r="N258" s="8" t="s">
        <v>549</v>
      </c>
    </row>
    <row r="259" customFormat="false" ht="15" hidden="false" customHeight="false" outlineLevel="0" collapsed="false">
      <c r="A259" s="8" t="s">
        <v>62</v>
      </c>
      <c r="B259" s="8" t="s">
        <v>59</v>
      </c>
      <c r="C259" s="8" t="s">
        <v>521</v>
      </c>
      <c r="D259" s="8" t="s">
        <v>582</v>
      </c>
      <c r="E259" s="8" t="s">
        <v>515</v>
      </c>
      <c r="F259" s="56" t="n">
        <v>17636.33</v>
      </c>
      <c r="G259" s="56" t="n">
        <v>6599.63</v>
      </c>
      <c r="H259" s="43" t="n">
        <v>0.5448</v>
      </c>
      <c r="I259" s="56" t="n">
        <v>500</v>
      </c>
      <c r="J259" s="8" t="s">
        <v>581</v>
      </c>
      <c r="K259" s="19" t="n">
        <f aca="false">IF(G259=0,"",F259/G259)</f>
        <v>2.67232102405741</v>
      </c>
      <c r="L259" s="27" t="n">
        <v>1.123</v>
      </c>
      <c r="M259" s="56" t="n">
        <v>2500</v>
      </c>
      <c r="N259" s="8" t="s">
        <v>549</v>
      </c>
    </row>
    <row r="261" customFormat="false" ht="15" hidden="false" customHeight="false" outlineLevel="0" collapsed="false">
      <c r="A261" s="51" t="s">
        <v>87</v>
      </c>
      <c r="B261" s="51" t="s">
        <v>148</v>
      </c>
      <c r="C261" s="51" t="s">
        <v>47</v>
      </c>
      <c r="D261" s="51" t="s">
        <v>547</v>
      </c>
      <c r="E261" s="51" t="s">
        <v>513</v>
      </c>
      <c r="F261" s="52" t="n">
        <v>-10000.72</v>
      </c>
      <c r="G261" s="52" t="n">
        <v>10574.23</v>
      </c>
      <c r="H261" s="53" t="n">
        <v>1.0001</v>
      </c>
      <c r="I261" s="52" t="n">
        <v>50</v>
      </c>
      <c r="J261" s="51" t="s">
        <v>637</v>
      </c>
      <c r="K261" s="54" t="n">
        <f aca="false">IF(G261=0,"",F261/G261)</f>
        <v>-0.945763426745966</v>
      </c>
      <c r="L261" s="55" t="n">
        <v>0.88</v>
      </c>
      <c r="M261" s="52" t="n">
        <v>900</v>
      </c>
      <c r="N261" s="51" t="s">
        <v>549</v>
      </c>
    </row>
    <row r="262" customFormat="false" ht="15" hidden="false" customHeight="false" outlineLevel="0" collapsed="false">
      <c r="A262" s="51" t="s">
        <v>87</v>
      </c>
      <c r="B262" s="51" t="s">
        <v>148</v>
      </c>
      <c r="C262" s="51" t="s">
        <v>47</v>
      </c>
      <c r="D262" s="51" t="s">
        <v>547</v>
      </c>
      <c r="E262" s="51" t="s">
        <v>515</v>
      </c>
      <c r="F262" s="52" t="n">
        <v>-10000.72</v>
      </c>
      <c r="G262" s="52" t="n">
        <v>10574.23</v>
      </c>
      <c r="H262" s="53" t="n">
        <v>1.0001</v>
      </c>
      <c r="I262" s="52" t="n">
        <v>50</v>
      </c>
      <c r="J262" s="51" t="s">
        <v>637</v>
      </c>
      <c r="K262" s="54" t="n">
        <f aca="false">IF(G262=0,"",F262/G262)</f>
        <v>-0.945763426745966</v>
      </c>
      <c r="L262" s="55" t="n">
        <v>0.88</v>
      </c>
      <c r="M262" s="52" t="n">
        <v>900</v>
      </c>
      <c r="N262" s="51" t="s">
        <v>549</v>
      </c>
    </row>
    <row r="263" customFormat="false" ht="15" hidden="false" customHeight="false" outlineLevel="0" collapsed="false">
      <c r="A263" s="51" t="s">
        <v>87</v>
      </c>
      <c r="B263" s="51" t="s">
        <v>148</v>
      </c>
      <c r="C263" s="51" t="s">
        <v>535</v>
      </c>
      <c r="D263" s="51" t="s">
        <v>550</v>
      </c>
      <c r="E263" s="51" t="s">
        <v>513</v>
      </c>
      <c r="F263" s="52" t="n">
        <v>-33294.95</v>
      </c>
      <c r="G263" s="52" t="n">
        <v>102350</v>
      </c>
      <c r="H263" s="53" t="n">
        <v>1.2947</v>
      </c>
      <c r="I263" s="52" t="n">
        <v>51200</v>
      </c>
      <c r="J263" s="51" t="s">
        <v>638</v>
      </c>
      <c r="K263" s="54" t="n">
        <f aca="false">IF(G263=0,"",F263/G263)</f>
        <v>-0.325304836345872</v>
      </c>
      <c r="L263" s="55" t="n">
        <v>0.816</v>
      </c>
      <c r="M263" s="52" t="n">
        <v>102350</v>
      </c>
      <c r="N263" s="51" t="s">
        <v>549</v>
      </c>
    </row>
    <row r="264" customFormat="false" ht="15" hidden="false" customHeight="false" outlineLevel="0" collapsed="false">
      <c r="A264" s="51" t="s">
        <v>87</v>
      </c>
      <c r="B264" s="51" t="s">
        <v>148</v>
      </c>
      <c r="C264" s="51" t="s">
        <v>535</v>
      </c>
      <c r="D264" s="51" t="s">
        <v>550</v>
      </c>
      <c r="E264" s="51" t="s">
        <v>515</v>
      </c>
      <c r="F264" s="52" t="n">
        <v>-10195.36</v>
      </c>
      <c r="G264" s="52" t="n">
        <v>16700.15</v>
      </c>
      <c r="H264" s="53" t="n">
        <v>1.0118</v>
      </c>
      <c r="I264" s="52" t="n">
        <v>500</v>
      </c>
      <c r="J264" s="51" t="s">
        <v>639</v>
      </c>
      <c r="K264" s="54" t="n">
        <f aca="false">IF(G264=0,"",F264/G264)</f>
        <v>-0.610495115313335</v>
      </c>
      <c r="L264" s="55" t="n">
        <v>0.933</v>
      </c>
      <c r="M264" s="52" t="n">
        <v>6000</v>
      </c>
      <c r="N264" s="51" t="s">
        <v>549</v>
      </c>
    </row>
    <row r="265" customFormat="false" ht="15" hidden="false" customHeight="false" outlineLevel="0" collapsed="false">
      <c r="A265" s="51" t="s">
        <v>87</v>
      </c>
      <c r="B265" s="51" t="s">
        <v>148</v>
      </c>
      <c r="C265" s="51" t="s">
        <v>527</v>
      </c>
      <c r="D265" s="51" t="s">
        <v>553</v>
      </c>
      <c r="E265" s="51" t="s">
        <v>513</v>
      </c>
      <c r="F265" s="52" t="n">
        <v>-10920.84</v>
      </c>
      <c r="G265" s="52" t="n">
        <v>27353.4</v>
      </c>
      <c r="H265" s="53" t="n">
        <v>1.0348</v>
      </c>
      <c r="I265" s="52" t="n">
        <v>7802.78</v>
      </c>
      <c r="J265" s="51" t="s">
        <v>640</v>
      </c>
      <c r="K265" s="54" t="n">
        <f aca="false">IF(G265=0,"",F265/G265)</f>
        <v>-0.399249819035294</v>
      </c>
      <c r="L265" s="55" t="n">
        <v>0.959</v>
      </c>
      <c r="M265" s="52" t="n">
        <v>23832.14</v>
      </c>
      <c r="N265" s="51" t="s">
        <v>549</v>
      </c>
    </row>
    <row r="266" customFormat="false" ht="15" hidden="false" customHeight="false" outlineLevel="0" collapsed="false">
      <c r="A266" s="51" t="s">
        <v>87</v>
      </c>
      <c r="B266" s="51" t="s">
        <v>148</v>
      </c>
      <c r="C266" s="51" t="s">
        <v>527</v>
      </c>
      <c r="D266" s="51" t="s">
        <v>553</v>
      </c>
      <c r="E266" s="51" t="s">
        <v>515</v>
      </c>
      <c r="F266" s="52" t="n">
        <v>-10124.53</v>
      </c>
      <c r="G266" s="52" t="n">
        <v>15392.29</v>
      </c>
      <c r="H266" s="53" t="n">
        <v>1.0082</v>
      </c>
      <c r="I266" s="52" t="n">
        <v>500</v>
      </c>
      <c r="J266" s="51" t="s">
        <v>641</v>
      </c>
      <c r="K266" s="54" t="n">
        <f aca="false">IF(G266=0,"",F266/G266)</f>
        <v>-0.657766323269637</v>
      </c>
      <c r="L266" s="55" t="n">
        <v>0.946</v>
      </c>
      <c r="M266" s="52" t="n">
        <v>5000</v>
      </c>
      <c r="N266" s="51" t="s">
        <v>549</v>
      </c>
    </row>
    <row r="267" customFormat="false" ht="15" hidden="false" customHeight="false" outlineLevel="0" collapsed="false">
      <c r="A267" s="51" t="s">
        <v>87</v>
      </c>
      <c r="B267" s="51" t="s">
        <v>148</v>
      </c>
      <c r="C267" s="51" t="s">
        <v>529</v>
      </c>
      <c r="D267" s="51" t="s">
        <v>556</v>
      </c>
      <c r="E267" s="51" t="s">
        <v>513</v>
      </c>
      <c r="F267" s="52" t="n">
        <v>-11125.49</v>
      </c>
      <c r="G267" s="52" t="n">
        <v>43689.39</v>
      </c>
      <c r="H267" s="53" t="n">
        <v>1.0264</v>
      </c>
      <c r="I267" s="52" t="n">
        <v>14997.62</v>
      </c>
      <c r="J267" s="51" t="s">
        <v>642</v>
      </c>
      <c r="K267" s="54" t="n">
        <f aca="false">IF(G267=0,"",F267/G267)</f>
        <v>-0.254649698702591</v>
      </c>
      <c r="L267" s="55" t="n">
        <v>0.961</v>
      </c>
      <c r="M267" s="52" t="n">
        <v>43689.39</v>
      </c>
      <c r="N267" s="51" t="s">
        <v>549</v>
      </c>
    </row>
    <row r="268" customFormat="false" ht="15" hidden="false" customHeight="false" outlineLevel="0" collapsed="false">
      <c r="A268" s="51" t="s">
        <v>87</v>
      </c>
      <c r="B268" s="51" t="s">
        <v>148</v>
      </c>
      <c r="C268" s="51" t="s">
        <v>529</v>
      </c>
      <c r="D268" s="51" t="s">
        <v>556</v>
      </c>
      <c r="E268" s="51" t="s">
        <v>515</v>
      </c>
      <c r="F268" s="52" t="n">
        <v>-10425.88</v>
      </c>
      <c r="G268" s="52" t="n">
        <v>15959.74</v>
      </c>
      <c r="H268" s="53" t="n">
        <v>1.0274</v>
      </c>
      <c r="I268" s="52" t="n">
        <v>500</v>
      </c>
      <c r="J268" s="51" t="s">
        <v>639</v>
      </c>
      <c r="K268" s="54" t="n">
        <f aca="false">IF(G268=0,"",F268/G268)</f>
        <v>-0.653261268667284</v>
      </c>
      <c r="L268" s="55" t="n">
        <v>0.916</v>
      </c>
      <c r="M268" s="52" t="n">
        <v>6000</v>
      </c>
      <c r="N268" s="51" t="s">
        <v>549</v>
      </c>
    </row>
    <row r="269" customFormat="false" ht="15" hidden="false" customHeight="false" outlineLevel="0" collapsed="false">
      <c r="A269" s="51" t="s">
        <v>87</v>
      </c>
      <c r="B269" s="51" t="s">
        <v>148</v>
      </c>
      <c r="C269" s="51" t="s">
        <v>534</v>
      </c>
      <c r="D269" s="51" t="s">
        <v>559</v>
      </c>
      <c r="E269" s="51" t="s">
        <v>513</v>
      </c>
      <c r="F269" s="52" t="n">
        <v>-33294.95</v>
      </c>
      <c r="G269" s="52" t="n">
        <v>102350</v>
      </c>
      <c r="H269" s="53" t="n">
        <v>1.2947</v>
      </c>
      <c r="I269" s="52" t="n">
        <v>51200</v>
      </c>
      <c r="J269" s="51" t="s">
        <v>638</v>
      </c>
      <c r="K269" s="54" t="n">
        <f aca="false">IF(G269=0,"",F269/G269)</f>
        <v>-0.325304836345872</v>
      </c>
      <c r="L269" s="55" t="n">
        <v>0.816</v>
      </c>
      <c r="M269" s="52" t="n">
        <v>102350</v>
      </c>
      <c r="N269" s="51" t="s">
        <v>549</v>
      </c>
    </row>
    <row r="270" customFormat="false" ht="15" hidden="false" customHeight="false" outlineLevel="0" collapsed="false">
      <c r="A270" s="51" t="s">
        <v>87</v>
      </c>
      <c r="B270" s="51" t="s">
        <v>148</v>
      </c>
      <c r="C270" s="51" t="s">
        <v>534</v>
      </c>
      <c r="D270" s="51" t="s">
        <v>559</v>
      </c>
      <c r="E270" s="51" t="s">
        <v>515</v>
      </c>
      <c r="F270" s="52" t="n">
        <v>-10115.65</v>
      </c>
      <c r="G270" s="52" t="n">
        <v>16200.15</v>
      </c>
      <c r="H270" s="53" t="n">
        <v>1.0072</v>
      </c>
      <c r="I270" s="52" t="n">
        <v>500</v>
      </c>
      <c r="J270" s="51" t="s">
        <v>643</v>
      </c>
      <c r="K270" s="54" t="n">
        <f aca="false">IF(G270=0,"",F270/G270)</f>
        <v>-0.624417057866748</v>
      </c>
      <c r="L270" s="55" t="n">
        <v>0.935</v>
      </c>
      <c r="M270" s="52" t="n">
        <v>6000</v>
      </c>
      <c r="N270" s="51" t="s">
        <v>549</v>
      </c>
    </row>
    <row r="271" customFormat="false" ht="15" hidden="false" customHeight="false" outlineLevel="0" collapsed="false">
      <c r="A271" s="51" t="s">
        <v>87</v>
      </c>
      <c r="B271" s="51" t="s">
        <v>148</v>
      </c>
      <c r="C271" s="51" t="s">
        <v>530</v>
      </c>
      <c r="D271" s="51" t="s">
        <v>560</v>
      </c>
      <c r="E271" s="51" t="s">
        <v>513</v>
      </c>
      <c r="F271" s="52" t="n">
        <v>-11125.49</v>
      </c>
      <c r="G271" s="52" t="n">
        <v>43689.39</v>
      </c>
      <c r="H271" s="53" t="n">
        <v>1.0264</v>
      </c>
      <c r="I271" s="52" t="n">
        <v>14997.62</v>
      </c>
      <c r="J271" s="51" t="s">
        <v>642</v>
      </c>
      <c r="K271" s="54" t="n">
        <f aca="false">IF(G271=0,"",F271/G271)</f>
        <v>-0.254649698702591</v>
      </c>
      <c r="L271" s="55" t="n">
        <v>0.961</v>
      </c>
      <c r="M271" s="52" t="n">
        <v>43689.39</v>
      </c>
      <c r="N271" s="51" t="s">
        <v>549</v>
      </c>
    </row>
    <row r="272" customFormat="false" ht="15" hidden="false" customHeight="false" outlineLevel="0" collapsed="false">
      <c r="A272" s="51" t="s">
        <v>87</v>
      </c>
      <c r="B272" s="51" t="s">
        <v>148</v>
      </c>
      <c r="C272" s="51" t="s">
        <v>530</v>
      </c>
      <c r="D272" s="51" t="s">
        <v>560</v>
      </c>
      <c r="E272" s="51" t="s">
        <v>515</v>
      </c>
      <c r="F272" s="52" t="n">
        <v>-10425.88</v>
      </c>
      <c r="G272" s="52" t="n">
        <v>15959.74</v>
      </c>
      <c r="H272" s="53" t="n">
        <v>1.0274</v>
      </c>
      <c r="I272" s="52" t="n">
        <v>500</v>
      </c>
      <c r="J272" s="51" t="s">
        <v>639</v>
      </c>
      <c r="K272" s="54" t="n">
        <f aca="false">IF(G272=0,"",F272/G272)</f>
        <v>-0.653261268667284</v>
      </c>
      <c r="L272" s="55" t="n">
        <v>0.916</v>
      </c>
      <c r="M272" s="52" t="n">
        <v>6000</v>
      </c>
      <c r="N272" s="51" t="s">
        <v>549</v>
      </c>
    </row>
    <row r="273" customFormat="false" ht="15" hidden="false" customHeight="false" outlineLevel="0" collapsed="false">
      <c r="A273" s="51" t="s">
        <v>87</v>
      </c>
      <c r="B273" s="51" t="s">
        <v>148</v>
      </c>
      <c r="C273" s="51" t="s">
        <v>524</v>
      </c>
      <c r="D273" s="51" t="s">
        <v>561</v>
      </c>
      <c r="E273" s="51" t="s">
        <v>513</v>
      </c>
      <c r="F273" s="52" t="n">
        <v>-10131.47</v>
      </c>
      <c r="G273" s="52" t="n">
        <v>26996.62</v>
      </c>
      <c r="H273" s="53" t="n">
        <v>1.0049</v>
      </c>
      <c r="I273" s="52" t="n">
        <v>2175</v>
      </c>
      <c r="J273" s="51" t="s">
        <v>644</v>
      </c>
      <c r="K273" s="54" t="n">
        <f aca="false">IF(G273=0,"",F273/G273)</f>
        <v>-0.375286609953394</v>
      </c>
      <c r="L273" s="55" t="n">
        <v>0.969</v>
      </c>
      <c r="M273" s="52" t="n">
        <v>10725</v>
      </c>
      <c r="N273" s="51" t="s">
        <v>549</v>
      </c>
    </row>
    <row r="274" customFormat="false" ht="15" hidden="false" customHeight="false" outlineLevel="0" collapsed="false">
      <c r="A274" s="51" t="s">
        <v>87</v>
      </c>
      <c r="B274" s="51" t="s">
        <v>148</v>
      </c>
      <c r="C274" s="51" t="s">
        <v>524</v>
      </c>
      <c r="D274" s="51" t="s">
        <v>561</v>
      </c>
      <c r="E274" s="51" t="s">
        <v>515</v>
      </c>
      <c r="F274" s="52" t="n">
        <v>-10247.56</v>
      </c>
      <c r="G274" s="52" t="n">
        <v>15187.84</v>
      </c>
      <c r="H274" s="53" t="n">
        <v>1.0166</v>
      </c>
      <c r="I274" s="52" t="n">
        <v>500</v>
      </c>
      <c r="J274" s="51" t="s">
        <v>645</v>
      </c>
      <c r="K274" s="54" t="n">
        <f aca="false">IF(G274=0,"",F274/G274)</f>
        <v>-0.674721356032194</v>
      </c>
      <c r="L274" s="55" t="n">
        <v>0.915</v>
      </c>
      <c r="M274" s="52" t="n">
        <v>6000</v>
      </c>
      <c r="N274" s="51" t="s">
        <v>549</v>
      </c>
    </row>
    <row r="275" customFormat="false" ht="15" hidden="false" customHeight="false" outlineLevel="0" collapsed="false">
      <c r="A275" s="51" t="s">
        <v>87</v>
      </c>
      <c r="B275" s="51" t="s">
        <v>148</v>
      </c>
      <c r="C275" s="51" t="s">
        <v>533</v>
      </c>
      <c r="D275" s="51" t="s">
        <v>563</v>
      </c>
      <c r="E275" s="51" t="s">
        <v>513</v>
      </c>
      <c r="F275" s="52" t="n">
        <v>-58199.93</v>
      </c>
      <c r="G275" s="52" t="n">
        <v>129150</v>
      </c>
      <c r="H275" s="53" t="n">
        <v>1.5954</v>
      </c>
      <c r="I275" s="52" t="n">
        <v>49350</v>
      </c>
      <c r="J275" s="51" t="s">
        <v>646</v>
      </c>
      <c r="K275" s="54" t="n">
        <f aca="false">IF(G275=0,"",F275/G275)</f>
        <v>-0.450638250096787</v>
      </c>
      <c r="L275" s="55" t="n">
        <v>0.838</v>
      </c>
      <c r="M275" s="52" t="n">
        <v>129150</v>
      </c>
      <c r="N275" s="51" t="s">
        <v>549</v>
      </c>
    </row>
    <row r="276" customFormat="false" ht="15" hidden="false" customHeight="false" outlineLevel="0" collapsed="false">
      <c r="A276" s="51" t="s">
        <v>87</v>
      </c>
      <c r="B276" s="51" t="s">
        <v>148</v>
      </c>
      <c r="C276" s="51" t="s">
        <v>533</v>
      </c>
      <c r="D276" s="51" t="s">
        <v>563</v>
      </c>
      <c r="E276" s="51" t="s">
        <v>515</v>
      </c>
      <c r="F276" s="52" t="n">
        <v>-10047.96</v>
      </c>
      <c r="G276" s="52" t="n">
        <v>17485.4</v>
      </c>
      <c r="H276" s="53" t="n">
        <v>1.0028</v>
      </c>
      <c r="I276" s="52" t="n">
        <v>500</v>
      </c>
      <c r="J276" s="51" t="s">
        <v>647</v>
      </c>
      <c r="K276" s="54" t="n">
        <f aca="false">IF(G276=0,"",F276/G276)</f>
        <v>-0.574648563944777</v>
      </c>
      <c r="L276" s="55" t="n">
        <v>0.931</v>
      </c>
      <c r="M276" s="52" t="n">
        <v>6000</v>
      </c>
      <c r="N276" s="51" t="s">
        <v>549</v>
      </c>
    </row>
    <row r="277" customFormat="false" ht="15" hidden="false" customHeight="false" outlineLevel="0" collapsed="false">
      <c r="A277" s="51" t="s">
        <v>87</v>
      </c>
      <c r="B277" s="51" t="s">
        <v>148</v>
      </c>
      <c r="C277" s="51" t="s">
        <v>523</v>
      </c>
      <c r="D277" s="51" t="s">
        <v>566</v>
      </c>
      <c r="E277" s="51" t="s">
        <v>513</v>
      </c>
      <c r="F277" s="52" t="n">
        <v>-11529.92</v>
      </c>
      <c r="G277" s="52" t="n">
        <v>22229.66</v>
      </c>
      <c r="H277" s="53" t="n">
        <v>1.0739</v>
      </c>
      <c r="I277" s="52" t="n">
        <v>2050</v>
      </c>
      <c r="J277" s="51" t="s">
        <v>648</v>
      </c>
      <c r="K277" s="54" t="n">
        <f aca="false">IF(G277=0,"",F277/G277)</f>
        <v>-0.518672800213769</v>
      </c>
      <c r="L277" s="55" t="n">
        <v>0.849</v>
      </c>
      <c r="M277" s="52" t="n">
        <v>13400</v>
      </c>
      <c r="N277" s="51" t="s">
        <v>549</v>
      </c>
    </row>
    <row r="278" customFormat="false" ht="15" hidden="false" customHeight="false" outlineLevel="0" collapsed="false">
      <c r="A278" s="51" t="s">
        <v>87</v>
      </c>
      <c r="B278" s="51" t="s">
        <v>148</v>
      </c>
      <c r="C278" s="51" t="s">
        <v>523</v>
      </c>
      <c r="D278" s="51" t="s">
        <v>566</v>
      </c>
      <c r="E278" s="51" t="s">
        <v>515</v>
      </c>
      <c r="F278" s="52" t="n">
        <v>-10498.35</v>
      </c>
      <c r="G278" s="52" t="n">
        <v>12801.44</v>
      </c>
      <c r="H278" s="53" t="n">
        <v>1.0405</v>
      </c>
      <c r="I278" s="52" t="n">
        <v>500</v>
      </c>
      <c r="J278" s="51" t="s">
        <v>649</v>
      </c>
      <c r="K278" s="54" t="n">
        <f aca="false">IF(G278=0,"",F278/G278)</f>
        <v>-0.820091333474984</v>
      </c>
      <c r="L278" s="55" t="n">
        <v>0.892</v>
      </c>
      <c r="M278" s="52" t="n">
        <v>4000</v>
      </c>
      <c r="N278" s="51" t="s">
        <v>549</v>
      </c>
    </row>
    <row r="279" customFormat="false" ht="15" hidden="false" customHeight="false" outlineLevel="0" collapsed="false">
      <c r="A279" s="51" t="s">
        <v>87</v>
      </c>
      <c r="B279" s="51" t="s">
        <v>148</v>
      </c>
      <c r="C279" s="51" t="s">
        <v>519</v>
      </c>
      <c r="D279" s="51" t="s">
        <v>567</v>
      </c>
      <c r="E279" s="51" t="s">
        <v>513</v>
      </c>
      <c r="F279" s="52" t="n">
        <v>-10664.21</v>
      </c>
      <c r="G279" s="52" t="n">
        <v>18082.1</v>
      </c>
      <c r="H279" s="53" t="n">
        <v>1.0381</v>
      </c>
      <c r="I279" s="52" t="n">
        <v>4520.53</v>
      </c>
      <c r="J279" s="51" t="s">
        <v>650</v>
      </c>
      <c r="K279" s="54" t="n">
        <f aca="false">IF(G279=0,"",F279/G279)</f>
        <v>-0.589766122297742</v>
      </c>
      <c r="L279" s="55" t="n">
        <v>0.929</v>
      </c>
      <c r="M279" s="52" t="n">
        <v>16271.85</v>
      </c>
      <c r="N279" s="51" t="s">
        <v>549</v>
      </c>
    </row>
    <row r="280" customFormat="false" ht="15" hidden="false" customHeight="false" outlineLevel="0" collapsed="false">
      <c r="A280" s="51" t="s">
        <v>87</v>
      </c>
      <c r="B280" s="51" t="s">
        <v>148</v>
      </c>
      <c r="C280" s="51" t="s">
        <v>519</v>
      </c>
      <c r="D280" s="51" t="s">
        <v>567</v>
      </c>
      <c r="E280" s="51" t="s">
        <v>515</v>
      </c>
      <c r="F280" s="52" t="n">
        <v>-10012.39</v>
      </c>
      <c r="G280" s="52" t="n">
        <v>15642.96</v>
      </c>
      <c r="H280" s="53" t="n">
        <v>1.0008</v>
      </c>
      <c r="I280" s="52" t="n">
        <v>500</v>
      </c>
      <c r="J280" s="51" t="s">
        <v>651</v>
      </c>
      <c r="K280" s="54" t="n">
        <f aca="false">IF(G280=0,"",F280/G280)</f>
        <v>-0.640057252591581</v>
      </c>
      <c r="L280" s="55" t="n">
        <v>0.937</v>
      </c>
      <c r="M280" s="52" t="n">
        <v>4500</v>
      </c>
      <c r="N280" s="51" t="s">
        <v>549</v>
      </c>
    </row>
    <row r="281" customFormat="false" ht="15" hidden="false" customHeight="false" outlineLevel="0" collapsed="false">
      <c r="A281" s="51" t="s">
        <v>87</v>
      </c>
      <c r="B281" s="51" t="s">
        <v>148</v>
      </c>
      <c r="C281" s="51" t="s">
        <v>528</v>
      </c>
      <c r="D281" s="51" t="s">
        <v>570</v>
      </c>
      <c r="E281" s="51" t="s">
        <v>513</v>
      </c>
      <c r="F281" s="52" t="n">
        <v>-12464.14</v>
      </c>
      <c r="G281" s="52" t="n">
        <v>28962.19</v>
      </c>
      <c r="H281" s="53" t="n">
        <v>1.093</v>
      </c>
      <c r="I281" s="52" t="n">
        <v>7240.55</v>
      </c>
      <c r="J281" s="51" t="s">
        <v>645</v>
      </c>
      <c r="K281" s="54" t="n">
        <f aca="false">IF(G281=0,"",F281/G281)</f>
        <v>-0.430359030170025</v>
      </c>
      <c r="L281" s="55" t="n">
        <v>0.941</v>
      </c>
      <c r="M281" s="52" t="n">
        <v>22089.32</v>
      </c>
      <c r="N281" s="51" t="s">
        <v>549</v>
      </c>
    </row>
    <row r="282" customFormat="false" ht="15" hidden="false" customHeight="false" outlineLevel="0" collapsed="false">
      <c r="A282" s="51" t="s">
        <v>87</v>
      </c>
      <c r="B282" s="51" t="s">
        <v>148</v>
      </c>
      <c r="C282" s="51" t="s">
        <v>528</v>
      </c>
      <c r="D282" s="51" t="s">
        <v>570</v>
      </c>
      <c r="E282" s="51" t="s">
        <v>515</v>
      </c>
      <c r="F282" s="52" t="n">
        <v>-10362.32</v>
      </c>
      <c r="G282" s="52" t="n">
        <v>13963.86</v>
      </c>
      <c r="H282" s="53" t="n">
        <v>1.0266</v>
      </c>
      <c r="I282" s="52" t="n">
        <v>500</v>
      </c>
      <c r="J282" s="51" t="s">
        <v>652</v>
      </c>
      <c r="K282" s="54" t="n">
        <f aca="false">IF(G282=0,"",F282/G282)</f>
        <v>-0.742081344270137</v>
      </c>
      <c r="L282" s="55" t="n">
        <v>0.911</v>
      </c>
      <c r="M282" s="52" t="n">
        <v>6000</v>
      </c>
      <c r="N282" s="51" t="s">
        <v>549</v>
      </c>
    </row>
    <row r="283" customFormat="false" ht="15" hidden="false" customHeight="false" outlineLevel="0" collapsed="false">
      <c r="A283" s="51" t="s">
        <v>87</v>
      </c>
      <c r="B283" s="51" t="s">
        <v>148</v>
      </c>
      <c r="C283" s="51" t="s">
        <v>531</v>
      </c>
      <c r="D283" s="51" t="s">
        <v>571</v>
      </c>
      <c r="E283" s="51" t="s">
        <v>513</v>
      </c>
      <c r="F283" s="52" t="n">
        <v>-10422.04</v>
      </c>
      <c r="G283" s="52" t="n">
        <v>24500</v>
      </c>
      <c r="H283" s="53" t="n">
        <v>1.0175</v>
      </c>
      <c r="I283" s="52" t="n">
        <v>7550</v>
      </c>
      <c r="J283" s="51" t="s">
        <v>583</v>
      </c>
      <c r="K283" s="54" t="n">
        <f aca="false">IF(G283=0,"",F283/G283)</f>
        <v>-0.425389387755102</v>
      </c>
      <c r="L283" s="55" t="n">
        <v>0.871</v>
      </c>
      <c r="M283" s="52" t="n">
        <v>24500</v>
      </c>
      <c r="N283" s="51" t="s">
        <v>549</v>
      </c>
    </row>
    <row r="284" customFormat="false" ht="15" hidden="false" customHeight="false" outlineLevel="0" collapsed="false">
      <c r="A284" s="51" t="s">
        <v>87</v>
      </c>
      <c r="B284" s="51" t="s">
        <v>148</v>
      </c>
      <c r="C284" s="51" t="s">
        <v>531</v>
      </c>
      <c r="D284" s="51" t="s">
        <v>571</v>
      </c>
      <c r="E284" s="51" t="s">
        <v>515</v>
      </c>
      <c r="F284" s="52" t="n">
        <v>-10187.55</v>
      </c>
      <c r="G284" s="52" t="n">
        <v>14291.2</v>
      </c>
      <c r="H284" s="53" t="n">
        <v>1.0133</v>
      </c>
      <c r="I284" s="52" t="n">
        <v>500</v>
      </c>
      <c r="J284" s="51" t="s">
        <v>653</v>
      </c>
      <c r="K284" s="54" t="n">
        <f aca="false">IF(G284=0,"",F284/G284)</f>
        <v>-0.712854763770712</v>
      </c>
      <c r="L284" s="55" t="n">
        <v>0.913</v>
      </c>
      <c r="M284" s="52" t="n">
        <v>6000</v>
      </c>
      <c r="N284" s="51" t="s">
        <v>549</v>
      </c>
    </row>
    <row r="285" customFormat="false" ht="15" hidden="false" customHeight="false" outlineLevel="0" collapsed="false">
      <c r="A285" s="51" t="s">
        <v>87</v>
      </c>
      <c r="B285" s="51" t="s">
        <v>148</v>
      </c>
      <c r="C285" s="51" t="s">
        <v>532</v>
      </c>
      <c r="D285" s="51" t="s">
        <v>573</v>
      </c>
      <c r="E285" s="51" t="s">
        <v>513</v>
      </c>
      <c r="F285" s="52" t="n">
        <v>-33710.23</v>
      </c>
      <c r="G285" s="52" t="n">
        <v>105100</v>
      </c>
      <c r="H285" s="53" t="n">
        <v>1.2913</v>
      </c>
      <c r="I285" s="52" t="n">
        <v>51700</v>
      </c>
      <c r="J285" s="51" t="s">
        <v>638</v>
      </c>
      <c r="K285" s="54" t="n">
        <f aca="false">IF(G285=0,"",F285/G285)</f>
        <v>-0.320744338725024</v>
      </c>
      <c r="L285" s="55" t="n">
        <v>0.832</v>
      </c>
      <c r="M285" s="52" t="n">
        <v>105100</v>
      </c>
      <c r="N285" s="51" t="s">
        <v>549</v>
      </c>
    </row>
    <row r="286" customFormat="false" ht="15" hidden="false" customHeight="false" outlineLevel="0" collapsed="false">
      <c r="A286" s="51" t="s">
        <v>87</v>
      </c>
      <c r="B286" s="51" t="s">
        <v>148</v>
      </c>
      <c r="C286" s="51" t="s">
        <v>532</v>
      </c>
      <c r="D286" s="51" t="s">
        <v>573</v>
      </c>
      <c r="E286" s="51" t="s">
        <v>515</v>
      </c>
      <c r="F286" s="52" t="n">
        <v>-10292.27</v>
      </c>
      <c r="G286" s="52" t="n">
        <v>16228.91</v>
      </c>
      <c r="H286" s="53" t="n">
        <v>1.0183</v>
      </c>
      <c r="I286" s="52" t="n">
        <v>500</v>
      </c>
      <c r="J286" s="51" t="s">
        <v>652</v>
      </c>
      <c r="K286" s="54" t="n">
        <f aca="false">IF(G286=0,"",F286/G286)</f>
        <v>-0.634193547194482</v>
      </c>
      <c r="L286" s="55" t="n">
        <v>0.932</v>
      </c>
      <c r="M286" s="52" t="n">
        <v>6000</v>
      </c>
      <c r="N286" s="51" t="s">
        <v>549</v>
      </c>
    </row>
    <row r="287" customFormat="false" ht="15" hidden="false" customHeight="false" outlineLevel="0" collapsed="false">
      <c r="A287" s="51" t="s">
        <v>87</v>
      </c>
      <c r="B287" s="51" t="s">
        <v>148</v>
      </c>
      <c r="C287" s="51" t="s">
        <v>518</v>
      </c>
      <c r="D287" s="51" t="s">
        <v>574</v>
      </c>
      <c r="E287" s="51" t="s">
        <v>513</v>
      </c>
      <c r="F287" s="52" t="n">
        <v>-10006.55</v>
      </c>
      <c r="G287" s="52" t="n">
        <v>10754.17</v>
      </c>
      <c r="H287" s="53" t="n">
        <v>1.0006</v>
      </c>
      <c r="I287" s="52" t="n">
        <v>200</v>
      </c>
      <c r="J287" s="51" t="s">
        <v>654</v>
      </c>
      <c r="K287" s="54" t="n">
        <f aca="false">IF(G287=0,"",F287/G287)</f>
        <v>-0.930480920424356</v>
      </c>
      <c r="L287" s="55" t="n">
        <v>0.847</v>
      </c>
      <c r="M287" s="52" t="n">
        <v>750</v>
      </c>
      <c r="N287" s="51" t="s">
        <v>549</v>
      </c>
    </row>
    <row r="288" customFormat="false" ht="15" hidden="false" customHeight="false" outlineLevel="0" collapsed="false">
      <c r="A288" s="51" t="s">
        <v>87</v>
      </c>
      <c r="B288" s="51" t="s">
        <v>148</v>
      </c>
      <c r="C288" s="51" t="s">
        <v>518</v>
      </c>
      <c r="D288" s="51" t="s">
        <v>574</v>
      </c>
      <c r="E288" s="51" t="s">
        <v>515</v>
      </c>
      <c r="F288" s="52" t="n">
        <v>-10006.55</v>
      </c>
      <c r="G288" s="52" t="n">
        <v>10754.17</v>
      </c>
      <c r="H288" s="53" t="n">
        <v>1.0006</v>
      </c>
      <c r="I288" s="52" t="n">
        <v>200</v>
      </c>
      <c r="J288" s="51" t="s">
        <v>654</v>
      </c>
      <c r="K288" s="54" t="n">
        <f aca="false">IF(G288=0,"",F288/G288)</f>
        <v>-0.930480920424356</v>
      </c>
      <c r="L288" s="55" t="n">
        <v>0.847</v>
      </c>
      <c r="M288" s="52" t="n">
        <v>750</v>
      </c>
      <c r="N288" s="51" t="s">
        <v>549</v>
      </c>
    </row>
    <row r="289" customFormat="false" ht="15" hidden="false" customHeight="false" outlineLevel="0" collapsed="false">
      <c r="A289" s="51" t="s">
        <v>87</v>
      </c>
      <c r="B289" s="51" t="s">
        <v>148</v>
      </c>
      <c r="C289" s="51" t="s">
        <v>522</v>
      </c>
      <c r="D289" s="51" t="s">
        <v>576</v>
      </c>
      <c r="E289" s="51" t="s">
        <v>513</v>
      </c>
      <c r="F289" s="52" t="n">
        <v>-10010.23</v>
      </c>
      <c r="G289" s="52" t="n">
        <v>11305.07</v>
      </c>
      <c r="H289" s="53" t="n">
        <v>1.0009</v>
      </c>
      <c r="I289" s="52" t="n">
        <v>350</v>
      </c>
      <c r="J289" s="51" t="s">
        <v>655</v>
      </c>
      <c r="K289" s="54" t="n">
        <f aca="false">IF(G289=0,"",F289/G289)</f>
        <v>-0.885463778640911</v>
      </c>
      <c r="L289" s="55" t="n">
        <v>0.853</v>
      </c>
      <c r="M289" s="52" t="n">
        <v>1100</v>
      </c>
      <c r="N289" s="51" t="s">
        <v>549</v>
      </c>
    </row>
    <row r="290" customFormat="false" ht="15" hidden="false" customHeight="false" outlineLevel="0" collapsed="false">
      <c r="A290" s="51" t="s">
        <v>87</v>
      </c>
      <c r="B290" s="51" t="s">
        <v>148</v>
      </c>
      <c r="C290" s="51" t="s">
        <v>522</v>
      </c>
      <c r="D290" s="51" t="s">
        <v>576</v>
      </c>
      <c r="E290" s="51" t="s">
        <v>515</v>
      </c>
      <c r="F290" s="52" t="n">
        <v>-10010.23</v>
      </c>
      <c r="G290" s="52" t="n">
        <v>11305.07</v>
      </c>
      <c r="H290" s="53" t="n">
        <v>1.0009</v>
      </c>
      <c r="I290" s="52" t="n">
        <v>350</v>
      </c>
      <c r="J290" s="51" t="s">
        <v>655</v>
      </c>
      <c r="K290" s="54" t="n">
        <f aca="false">IF(G290=0,"",F290/G290)</f>
        <v>-0.885463778640911</v>
      </c>
      <c r="L290" s="55" t="n">
        <v>0.853</v>
      </c>
      <c r="M290" s="52" t="n">
        <v>1100</v>
      </c>
      <c r="N290" s="51" t="s">
        <v>549</v>
      </c>
    </row>
    <row r="291" customFormat="false" ht="15" hidden="false" customHeight="false" outlineLevel="0" collapsed="false">
      <c r="A291" s="51" t="s">
        <v>87</v>
      </c>
      <c r="B291" s="51" t="s">
        <v>148</v>
      </c>
      <c r="C291" s="51" t="s">
        <v>525</v>
      </c>
      <c r="D291" s="51" t="s">
        <v>578</v>
      </c>
      <c r="E291" s="51" t="s">
        <v>513</v>
      </c>
      <c r="F291" s="52" t="n">
        <v>-18479.19</v>
      </c>
      <c r="G291" s="52" t="n">
        <v>34229.25</v>
      </c>
      <c r="H291" s="53" t="n">
        <v>1.3293</v>
      </c>
      <c r="I291" s="52" t="n">
        <v>8594.81</v>
      </c>
      <c r="J291" s="51" t="s">
        <v>650</v>
      </c>
      <c r="K291" s="54" t="n">
        <f aca="false">IF(G291=0,"",F291/G291)</f>
        <v>-0.539865465939219</v>
      </c>
      <c r="L291" s="55" t="n">
        <v>0.929</v>
      </c>
      <c r="M291" s="52" t="n">
        <v>30937.44</v>
      </c>
      <c r="N291" s="51" t="s">
        <v>549</v>
      </c>
    </row>
    <row r="292" customFormat="false" ht="15" hidden="false" customHeight="false" outlineLevel="0" collapsed="false">
      <c r="A292" s="51" t="s">
        <v>87</v>
      </c>
      <c r="B292" s="51" t="s">
        <v>148</v>
      </c>
      <c r="C292" s="51" t="s">
        <v>525</v>
      </c>
      <c r="D292" s="51" t="s">
        <v>578</v>
      </c>
      <c r="E292" s="51" t="s">
        <v>515</v>
      </c>
      <c r="F292" s="52" t="n">
        <v>-10172.27</v>
      </c>
      <c r="G292" s="52" t="n">
        <v>15267.43</v>
      </c>
      <c r="H292" s="53" t="n">
        <v>1.0114</v>
      </c>
      <c r="I292" s="52" t="n">
        <v>500</v>
      </c>
      <c r="J292" s="51" t="s">
        <v>641</v>
      </c>
      <c r="K292" s="54" t="n">
        <f aca="false">IF(G292=0,"",F292/G292)</f>
        <v>-0.666272581567428</v>
      </c>
      <c r="L292" s="55" t="n">
        <v>0.945</v>
      </c>
      <c r="M292" s="52" t="n">
        <v>5000</v>
      </c>
      <c r="N292" s="51" t="s">
        <v>549</v>
      </c>
    </row>
    <row r="293" customFormat="false" ht="15" hidden="false" customHeight="false" outlineLevel="0" collapsed="false">
      <c r="A293" s="8" t="s">
        <v>87</v>
      </c>
      <c r="B293" s="8" t="s">
        <v>148</v>
      </c>
      <c r="C293" s="8" t="s">
        <v>516</v>
      </c>
      <c r="D293" s="8" t="s">
        <v>580</v>
      </c>
      <c r="E293" s="8" t="s">
        <v>513</v>
      </c>
      <c r="F293" s="56" t="n">
        <v>-8476.8</v>
      </c>
      <c r="G293" s="56" t="n">
        <v>10132.26</v>
      </c>
      <c r="H293" s="43" t="n">
        <v>0.906</v>
      </c>
      <c r="I293" s="56" t="n">
        <v>111.83</v>
      </c>
      <c r="J293" s="8" t="s">
        <v>581</v>
      </c>
      <c r="K293" s="19" t="n">
        <f aca="false">IF(G293=0,"",F293/G293)</f>
        <v>-0.836614930923604</v>
      </c>
      <c r="L293" s="27" t="n">
        <v>0.893</v>
      </c>
      <c r="M293" s="56" t="n">
        <v>1029.19</v>
      </c>
      <c r="N293" s="8" t="s">
        <v>549</v>
      </c>
    </row>
    <row r="294" customFormat="false" ht="15" hidden="false" customHeight="false" outlineLevel="0" collapsed="false">
      <c r="A294" s="8" t="s">
        <v>87</v>
      </c>
      <c r="B294" s="8" t="s">
        <v>148</v>
      </c>
      <c r="C294" s="8" t="s">
        <v>516</v>
      </c>
      <c r="D294" s="8" t="s">
        <v>580</v>
      </c>
      <c r="E294" s="8" t="s">
        <v>515</v>
      </c>
      <c r="F294" s="56" t="n">
        <v>-8476.8</v>
      </c>
      <c r="G294" s="56" t="n">
        <v>10132.26</v>
      </c>
      <c r="H294" s="43" t="n">
        <v>0.906</v>
      </c>
      <c r="I294" s="56" t="n">
        <v>111.83</v>
      </c>
      <c r="J294" s="8" t="s">
        <v>581</v>
      </c>
      <c r="K294" s="19" t="n">
        <f aca="false">IF(G294=0,"",F294/G294)</f>
        <v>-0.836614930923604</v>
      </c>
      <c r="L294" s="27" t="n">
        <v>0.893</v>
      </c>
      <c r="M294" s="56" t="n">
        <v>1029.19</v>
      </c>
      <c r="N294" s="8" t="s">
        <v>549</v>
      </c>
    </row>
    <row r="295" customFormat="false" ht="15" hidden="false" customHeight="false" outlineLevel="0" collapsed="false">
      <c r="A295" s="51" t="s">
        <v>87</v>
      </c>
      <c r="B295" s="51" t="s">
        <v>148</v>
      </c>
      <c r="C295" s="51" t="s">
        <v>521</v>
      </c>
      <c r="D295" s="51" t="s">
        <v>582</v>
      </c>
      <c r="E295" s="51" t="s">
        <v>513</v>
      </c>
      <c r="F295" s="52" t="n">
        <v>-10299.78</v>
      </c>
      <c r="G295" s="52" t="n">
        <v>19020.49</v>
      </c>
      <c r="H295" s="53" t="n">
        <v>1.016</v>
      </c>
      <c r="I295" s="52" t="n">
        <v>1300</v>
      </c>
      <c r="J295" s="51" t="s">
        <v>656</v>
      </c>
      <c r="K295" s="54" t="n">
        <f aca="false">IF(G295=0,"",F295/G295)</f>
        <v>-0.541509708740416</v>
      </c>
      <c r="L295" s="55" t="n">
        <v>0.94</v>
      </c>
      <c r="M295" s="52" t="n">
        <v>8750</v>
      </c>
      <c r="N295" s="51" t="s">
        <v>549</v>
      </c>
    </row>
    <row r="296" customFormat="false" ht="15" hidden="false" customHeight="false" outlineLevel="0" collapsed="false">
      <c r="A296" s="51" t="s">
        <v>87</v>
      </c>
      <c r="B296" s="51" t="s">
        <v>148</v>
      </c>
      <c r="C296" s="51" t="s">
        <v>521</v>
      </c>
      <c r="D296" s="51" t="s">
        <v>582</v>
      </c>
      <c r="E296" s="51" t="s">
        <v>515</v>
      </c>
      <c r="F296" s="52" t="n">
        <v>-10312.12</v>
      </c>
      <c r="G296" s="52" t="n">
        <v>18094</v>
      </c>
      <c r="H296" s="53" t="n">
        <v>1.0176</v>
      </c>
      <c r="I296" s="52" t="n">
        <v>500</v>
      </c>
      <c r="J296" s="51" t="s">
        <v>657</v>
      </c>
      <c r="K296" s="54" t="n">
        <f aca="false">IF(G296=0,"",F296/G296)</f>
        <v>-0.569919310268597</v>
      </c>
      <c r="L296" s="55" t="n">
        <v>0.927</v>
      </c>
      <c r="M296" s="52" t="n">
        <v>5500</v>
      </c>
      <c r="N296" s="51" t="s">
        <v>549</v>
      </c>
    </row>
    <row r="298" customFormat="false" ht="15" hidden="false" customHeight="false" outlineLevel="0" collapsed="false">
      <c r="A298" s="8" t="s">
        <v>87</v>
      </c>
      <c r="B298" s="8" t="s">
        <v>24</v>
      </c>
      <c r="C298" s="8" t="s">
        <v>47</v>
      </c>
      <c r="D298" s="8" t="s">
        <v>547</v>
      </c>
      <c r="E298" s="8" t="s">
        <v>513</v>
      </c>
      <c r="F298" s="56" t="n">
        <v>9076.9</v>
      </c>
      <c r="G298" s="56" t="n">
        <v>1109.87</v>
      </c>
      <c r="H298" s="43" t="n">
        <v>0.0876</v>
      </c>
      <c r="I298" s="56" t="n">
        <v>50</v>
      </c>
      <c r="J298" s="8" t="s">
        <v>581</v>
      </c>
      <c r="K298" s="19" t="n">
        <f aca="false">IF(G298=0,"",F298/G298)</f>
        <v>8.17834521160136</v>
      </c>
      <c r="L298" s="27" t="n">
        <v>1.239</v>
      </c>
      <c r="M298" s="56" t="n">
        <v>850</v>
      </c>
      <c r="N298" s="8" t="n">
        <v>2</v>
      </c>
    </row>
    <row r="299" customFormat="false" ht="15" hidden="false" customHeight="false" outlineLevel="0" collapsed="false">
      <c r="A299" s="8" t="s">
        <v>87</v>
      </c>
      <c r="B299" s="8" t="s">
        <v>24</v>
      </c>
      <c r="C299" s="8" t="s">
        <v>47</v>
      </c>
      <c r="D299" s="8" t="s">
        <v>547</v>
      </c>
      <c r="E299" s="8" t="s">
        <v>515</v>
      </c>
      <c r="F299" s="56" t="n">
        <v>9076.9</v>
      </c>
      <c r="G299" s="56" t="n">
        <v>1109.87</v>
      </c>
      <c r="H299" s="43" t="n">
        <v>0.0876</v>
      </c>
      <c r="I299" s="56" t="n">
        <v>50</v>
      </c>
      <c r="J299" s="8" t="s">
        <v>581</v>
      </c>
      <c r="K299" s="19" t="n">
        <f aca="false">IF(G299=0,"",F299/G299)</f>
        <v>8.17834521160136</v>
      </c>
      <c r="L299" s="27" t="n">
        <v>1.239</v>
      </c>
      <c r="M299" s="56" t="n">
        <v>850</v>
      </c>
      <c r="N299" s="8" t="n">
        <v>2</v>
      </c>
    </row>
    <row r="300" customFormat="false" ht="15" hidden="false" customHeight="false" outlineLevel="0" collapsed="false">
      <c r="A300" s="51" t="s">
        <v>87</v>
      </c>
      <c r="B300" s="51" t="s">
        <v>24</v>
      </c>
      <c r="C300" s="51" t="s">
        <v>535</v>
      </c>
      <c r="D300" s="51" t="s">
        <v>550</v>
      </c>
      <c r="E300" s="51" t="s">
        <v>513</v>
      </c>
      <c r="F300" s="52" t="n">
        <v>-12113.78</v>
      </c>
      <c r="G300" s="52" t="n">
        <v>12750</v>
      </c>
      <c r="H300" s="53" t="n">
        <v>1.1987</v>
      </c>
      <c r="I300" s="52" t="n">
        <v>6400</v>
      </c>
      <c r="J300" s="51" t="s">
        <v>658</v>
      </c>
      <c r="K300" s="54" t="n">
        <f aca="false">IF(G300=0,"",F300/G300)</f>
        <v>-0.950100392156863</v>
      </c>
      <c r="L300" s="55" t="n">
        <v>0.238</v>
      </c>
      <c r="M300" s="52" t="n">
        <v>12750</v>
      </c>
      <c r="N300" s="51" t="s">
        <v>549</v>
      </c>
    </row>
    <row r="301" customFormat="false" ht="15" hidden="false" customHeight="false" outlineLevel="0" collapsed="false">
      <c r="A301" s="8" t="s">
        <v>87</v>
      </c>
      <c r="B301" s="8" t="s">
        <v>24</v>
      </c>
      <c r="C301" s="8" t="s">
        <v>535</v>
      </c>
      <c r="D301" s="8" t="s">
        <v>550</v>
      </c>
      <c r="E301" s="8" t="s">
        <v>515</v>
      </c>
      <c r="F301" s="56" t="n">
        <v>53223.55</v>
      </c>
      <c r="G301" s="56" t="n">
        <v>9397.78</v>
      </c>
      <c r="H301" s="43" t="n">
        <v>0.4792</v>
      </c>
      <c r="I301" s="56" t="n">
        <v>500</v>
      </c>
      <c r="J301" s="8" t="s">
        <v>581</v>
      </c>
      <c r="K301" s="19" t="n">
        <f aca="false">IF(G301=0,"",F301/G301)</f>
        <v>5.66341731770695</v>
      </c>
      <c r="L301" s="27" t="n">
        <v>1.294</v>
      </c>
      <c r="M301" s="56" t="n">
        <v>7250</v>
      </c>
      <c r="N301" s="8" t="s">
        <v>549</v>
      </c>
    </row>
    <row r="302" customFormat="false" ht="15" hidden="false" customHeight="false" outlineLevel="0" collapsed="false">
      <c r="A302" s="51" t="s">
        <v>87</v>
      </c>
      <c r="B302" s="51" t="s">
        <v>24</v>
      </c>
      <c r="C302" s="51" t="s">
        <v>527</v>
      </c>
      <c r="D302" s="51" t="s">
        <v>553</v>
      </c>
      <c r="E302" s="51" t="s">
        <v>513</v>
      </c>
      <c r="F302" s="52" t="n">
        <v>-11326.77</v>
      </c>
      <c r="G302" s="52" t="n">
        <v>19804.91</v>
      </c>
      <c r="H302" s="53" t="n">
        <v>1.0718</v>
      </c>
      <c r="I302" s="52" t="n">
        <v>4988.73</v>
      </c>
      <c r="J302" s="51" t="s">
        <v>659</v>
      </c>
      <c r="K302" s="54" t="n">
        <f aca="false">IF(G302=0,"",F302/G302)</f>
        <v>-0.571917266980764</v>
      </c>
      <c r="L302" s="55" t="n">
        <v>0.738</v>
      </c>
      <c r="M302" s="52" t="n">
        <v>19804.91</v>
      </c>
      <c r="N302" s="51" t="s">
        <v>549</v>
      </c>
    </row>
    <row r="303" customFormat="false" ht="15" hidden="false" customHeight="false" outlineLevel="0" collapsed="false">
      <c r="A303" s="8" t="s">
        <v>87</v>
      </c>
      <c r="B303" s="8" t="s">
        <v>24</v>
      </c>
      <c r="C303" s="8" t="s">
        <v>527</v>
      </c>
      <c r="D303" s="8" t="s">
        <v>553</v>
      </c>
      <c r="E303" s="8" t="s">
        <v>515</v>
      </c>
      <c r="F303" s="56" t="n">
        <v>25151.31</v>
      </c>
      <c r="G303" s="56" t="n">
        <v>7995.53</v>
      </c>
      <c r="H303" s="43" t="n">
        <v>0.4335</v>
      </c>
      <c r="I303" s="56" t="n">
        <v>500</v>
      </c>
      <c r="J303" s="8" t="s">
        <v>581</v>
      </c>
      <c r="K303" s="19" t="n">
        <f aca="false">IF(G303=0,"",F303/G303)</f>
        <v>3.14567139389134</v>
      </c>
      <c r="L303" s="27" t="n">
        <v>1.278</v>
      </c>
      <c r="M303" s="56" t="n">
        <v>5847.74</v>
      </c>
      <c r="N303" s="8" t="s">
        <v>549</v>
      </c>
    </row>
    <row r="304" customFormat="false" ht="15" hidden="false" customHeight="false" outlineLevel="0" collapsed="false">
      <c r="A304" s="51" t="s">
        <v>87</v>
      </c>
      <c r="B304" s="51" t="s">
        <v>24</v>
      </c>
      <c r="C304" s="51" t="s">
        <v>529</v>
      </c>
      <c r="D304" s="51" t="s">
        <v>556</v>
      </c>
      <c r="E304" s="51" t="s">
        <v>513</v>
      </c>
      <c r="F304" s="52" t="n">
        <v>-16525.59</v>
      </c>
      <c r="G304" s="52" t="n">
        <v>29092.93</v>
      </c>
      <c r="H304" s="53" t="n">
        <v>1.2892</v>
      </c>
      <c r="I304" s="52" t="n">
        <v>9730.98</v>
      </c>
      <c r="J304" s="51" t="s">
        <v>660</v>
      </c>
      <c r="K304" s="54" t="n">
        <f aca="false">IF(G304=0,"",F304/G304)</f>
        <v>-0.568027696075988</v>
      </c>
      <c r="L304" s="55" t="n">
        <v>0.719</v>
      </c>
      <c r="M304" s="52" t="n">
        <v>29092.93</v>
      </c>
      <c r="N304" s="51" t="s">
        <v>549</v>
      </c>
    </row>
    <row r="305" customFormat="false" ht="15" hidden="false" customHeight="false" outlineLevel="0" collapsed="false">
      <c r="A305" s="8" t="s">
        <v>87</v>
      </c>
      <c r="B305" s="8" t="s">
        <v>24</v>
      </c>
      <c r="C305" s="8" t="s">
        <v>529</v>
      </c>
      <c r="D305" s="8" t="s">
        <v>556</v>
      </c>
      <c r="E305" s="8" t="s">
        <v>515</v>
      </c>
      <c r="F305" s="56" t="n">
        <v>32879.45</v>
      </c>
      <c r="G305" s="56" t="n">
        <v>8686.84</v>
      </c>
      <c r="H305" s="43" t="n">
        <v>0.4377</v>
      </c>
      <c r="I305" s="56" t="n">
        <v>500</v>
      </c>
      <c r="J305" s="8" t="s">
        <v>581</v>
      </c>
      <c r="K305" s="19" t="n">
        <f aca="false">IF(G305=0,"",F305/G305)</f>
        <v>3.78497244107178</v>
      </c>
      <c r="L305" s="27" t="n">
        <v>1.259</v>
      </c>
      <c r="M305" s="56" t="n">
        <v>6539.06</v>
      </c>
      <c r="N305" s="8" t="s">
        <v>549</v>
      </c>
    </row>
    <row r="306" customFormat="false" ht="15" hidden="false" customHeight="false" outlineLevel="0" collapsed="false">
      <c r="A306" s="51" t="s">
        <v>87</v>
      </c>
      <c r="B306" s="51" t="s">
        <v>24</v>
      </c>
      <c r="C306" s="51" t="s">
        <v>534</v>
      </c>
      <c r="D306" s="51" t="s">
        <v>559</v>
      </c>
      <c r="E306" s="51" t="s">
        <v>513</v>
      </c>
      <c r="F306" s="52" t="n">
        <v>-111535.86</v>
      </c>
      <c r="G306" s="52" t="n">
        <v>204750</v>
      </c>
      <c r="H306" s="53" t="n">
        <v>1.9837</v>
      </c>
      <c r="I306" s="52" t="n">
        <v>102400</v>
      </c>
      <c r="J306" s="51" t="s">
        <v>661</v>
      </c>
      <c r="K306" s="54" t="n">
        <f aca="false">IF(G306=0,"",F306/G306)</f>
        <v>-0.544741684981685</v>
      </c>
      <c r="L306" s="55" t="n">
        <v>0.613</v>
      </c>
      <c r="M306" s="52" t="n">
        <v>204750</v>
      </c>
      <c r="N306" s="51" t="s">
        <v>549</v>
      </c>
    </row>
    <row r="307" customFormat="false" ht="15" hidden="false" customHeight="false" outlineLevel="0" collapsed="false">
      <c r="A307" s="8" t="s">
        <v>87</v>
      </c>
      <c r="B307" s="8" t="s">
        <v>24</v>
      </c>
      <c r="C307" s="8" t="s">
        <v>534</v>
      </c>
      <c r="D307" s="8" t="s">
        <v>559</v>
      </c>
      <c r="E307" s="8" t="s">
        <v>515</v>
      </c>
      <c r="F307" s="56" t="n">
        <v>55081.73</v>
      </c>
      <c r="G307" s="56" t="n">
        <v>9397.78</v>
      </c>
      <c r="H307" s="43" t="n">
        <v>0.4694</v>
      </c>
      <c r="I307" s="56" t="n">
        <v>500</v>
      </c>
      <c r="J307" s="8" t="s">
        <v>581</v>
      </c>
      <c r="K307" s="19" t="n">
        <f aca="false">IF(G307=0,"",F307/G307)</f>
        <v>5.86114273796578</v>
      </c>
      <c r="L307" s="27" t="n">
        <v>1.295</v>
      </c>
      <c r="M307" s="56" t="n">
        <v>7250</v>
      </c>
      <c r="N307" s="8" t="s">
        <v>549</v>
      </c>
    </row>
    <row r="308" customFormat="false" ht="15" hidden="false" customHeight="false" outlineLevel="0" collapsed="false">
      <c r="A308" s="51" t="s">
        <v>87</v>
      </c>
      <c r="B308" s="51" t="s">
        <v>24</v>
      </c>
      <c r="C308" s="51" t="s">
        <v>530</v>
      </c>
      <c r="D308" s="51" t="s">
        <v>560</v>
      </c>
      <c r="E308" s="51" t="s">
        <v>513</v>
      </c>
      <c r="F308" s="52" t="n">
        <v>-16525.59</v>
      </c>
      <c r="G308" s="52" t="n">
        <v>29092.93</v>
      </c>
      <c r="H308" s="53" t="n">
        <v>1.2892</v>
      </c>
      <c r="I308" s="52" t="n">
        <v>9730.98</v>
      </c>
      <c r="J308" s="51" t="s">
        <v>660</v>
      </c>
      <c r="K308" s="54" t="n">
        <f aca="false">IF(G308=0,"",F308/G308)</f>
        <v>-0.568027696075988</v>
      </c>
      <c r="L308" s="55" t="n">
        <v>0.719</v>
      </c>
      <c r="M308" s="52" t="n">
        <v>29092.93</v>
      </c>
      <c r="N308" s="51" t="s">
        <v>549</v>
      </c>
    </row>
    <row r="309" customFormat="false" ht="15" hidden="false" customHeight="false" outlineLevel="0" collapsed="false">
      <c r="A309" s="8" t="s">
        <v>87</v>
      </c>
      <c r="B309" s="8" t="s">
        <v>24</v>
      </c>
      <c r="C309" s="8" t="s">
        <v>530</v>
      </c>
      <c r="D309" s="8" t="s">
        <v>560</v>
      </c>
      <c r="E309" s="8" t="s">
        <v>515</v>
      </c>
      <c r="F309" s="56" t="n">
        <v>32879.45</v>
      </c>
      <c r="G309" s="56" t="n">
        <v>8686.84</v>
      </c>
      <c r="H309" s="43" t="n">
        <v>0.4377</v>
      </c>
      <c r="I309" s="56" t="n">
        <v>500</v>
      </c>
      <c r="J309" s="8" t="s">
        <v>581</v>
      </c>
      <c r="K309" s="19" t="n">
        <f aca="false">IF(G309=0,"",F309/G309)</f>
        <v>3.78497244107178</v>
      </c>
      <c r="L309" s="27" t="n">
        <v>1.259</v>
      </c>
      <c r="M309" s="56" t="n">
        <v>6539.06</v>
      </c>
      <c r="N309" s="8" t="s">
        <v>549</v>
      </c>
    </row>
    <row r="310" customFormat="false" ht="15" hidden="false" customHeight="false" outlineLevel="0" collapsed="false">
      <c r="A310" s="8" t="s">
        <v>87</v>
      </c>
      <c r="B310" s="8" t="s">
        <v>24</v>
      </c>
      <c r="C310" s="8" t="s">
        <v>524</v>
      </c>
      <c r="D310" s="8" t="s">
        <v>561</v>
      </c>
      <c r="E310" s="8" t="s">
        <v>513</v>
      </c>
      <c r="F310" s="56" t="n">
        <v>34823.9</v>
      </c>
      <c r="G310" s="56" t="n">
        <v>6855.16</v>
      </c>
      <c r="H310" s="43" t="n">
        <v>0.3228</v>
      </c>
      <c r="I310" s="56" t="n">
        <v>850</v>
      </c>
      <c r="J310" s="8" t="s">
        <v>581</v>
      </c>
      <c r="K310" s="19" t="n">
        <f aca="false">IF(G310=0,"",F310/G310)</f>
        <v>5.0799543701387</v>
      </c>
      <c r="L310" s="27" t="n">
        <v>1.303</v>
      </c>
      <c r="M310" s="56" t="n">
        <v>4250</v>
      </c>
      <c r="N310" s="8" t="s">
        <v>549</v>
      </c>
    </row>
    <row r="311" customFormat="false" ht="15" hidden="false" customHeight="false" outlineLevel="0" collapsed="false">
      <c r="A311" s="8" t="s">
        <v>87</v>
      </c>
      <c r="B311" s="8" t="s">
        <v>24</v>
      </c>
      <c r="C311" s="8" t="s">
        <v>524</v>
      </c>
      <c r="D311" s="8" t="s">
        <v>561</v>
      </c>
      <c r="E311" s="8" t="s">
        <v>515</v>
      </c>
      <c r="F311" s="56" t="n">
        <v>33906.71</v>
      </c>
      <c r="G311" s="56" t="n">
        <v>6396.11</v>
      </c>
      <c r="H311" s="43" t="n">
        <v>0.3463</v>
      </c>
      <c r="I311" s="56" t="n">
        <v>500</v>
      </c>
      <c r="J311" s="8" t="s">
        <v>581</v>
      </c>
      <c r="K311" s="19" t="n">
        <f aca="false">IF(G311=0,"",F311/G311)</f>
        <v>5.30114554002355</v>
      </c>
      <c r="L311" s="27" t="n">
        <v>1.274</v>
      </c>
      <c r="M311" s="56" t="n">
        <v>4250</v>
      </c>
      <c r="N311" s="8" t="n">
        <v>7</v>
      </c>
    </row>
    <row r="312" customFormat="false" ht="15" hidden="false" customHeight="false" outlineLevel="0" collapsed="false">
      <c r="A312" s="51" t="s">
        <v>87</v>
      </c>
      <c r="B312" s="51" t="s">
        <v>24</v>
      </c>
      <c r="C312" s="51" t="s">
        <v>533</v>
      </c>
      <c r="D312" s="51" t="s">
        <v>563</v>
      </c>
      <c r="E312" s="51" t="s">
        <v>513</v>
      </c>
      <c r="F312" s="52" t="n">
        <v>-10680.37</v>
      </c>
      <c r="G312" s="52" t="n">
        <v>30450</v>
      </c>
      <c r="H312" s="53" t="n">
        <v>1.0229</v>
      </c>
      <c r="I312" s="52" t="n">
        <v>11650</v>
      </c>
      <c r="J312" s="51" t="s">
        <v>662</v>
      </c>
      <c r="K312" s="54" t="n">
        <f aca="false">IF(G312=0,"",F312/G312)</f>
        <v>-0.350751067323481</v>
      </c>
      <c r="L312" s="55" t="n">
        <v>0.84</v>
      </c>
      <c r="M312" s="52" t="n">
        <v>30450</v>
      </c>
      <c r="N312" s="51" t="s">
        <v>549</v>
      </c>
    </row>
    <row r="313" customFormat="false" ht="15" hidden="false" customHeight="false" outlineLevel="0" collapsed="false">
      <c r="A313" s="8" t="s">
        <v>87</v>
      </c>
      <c r="B313" s="8" t="s">
        <v>24</v>
      </c>
      <c r="C313" s="8" t="s">
        <v>533</v>
      </c>
      <c r="D313" s="8" t="s">
        <v>563</v>
      </c>
      <c r="E313" s="8" t="s">
        <v>515</v>
      </c>
      <c r="F313" s="56" t="n">
        <v>41962.41</v>
      </c>
      <c r="G313" s="56" t="n">
        <v>8647.78</v>
      </c>
      <c r="H313" s="43" t="n">
        <v>0.4129</v>
      </c>
      <c r="I313" s="56" t="n">
        <v>500</v>
      </c>
      <c r="J313" s="8" t="s">
        <v>581</v>
      </c>
      <c r="K313" s="19" t="n">
        <f aca="false">IF(G313=0,"",F313/G313)</f>
        <v>4.8523910182729</v>
      </c>
      <c r="L313" s="27" t="n">
        <v>1.256</v>
      </c>
      <c r="M313" s="56" t="n">
        <v>6500</v>
      </c>
      <c r="N313" s="8" t="s">
        <v>549</v>
      </c>
    </row>
    <row r="314" customFormat="false" ht="15" hidden="false" customHeight="false" outlineLevel="0" collapsed="false">
      <c r="A314" s="8" t="s">
        <v>87</v>
      </c>
      <c r="B314" s="8" t="s">
        <v>24</v>
      </c>
      <c r="C314" s="8" t="s">
        <v>523</v>
      </c>
      <c r="D314" s="8" t="s">
        <v>566</v>
      </c>
      <c r="E314" s="8" t="s">
        <v>513</v>
      </c>
      <c r="F314" s="56" t="n">
        <v>787335.52</v>
      </c>
      <c r="G314" s="56" t="n">
        <v>88811.73</v>
      </c>
      <c r="H314" s="43" t="n">
        <v>0.7975</v>
      </c>
      <c r="I314" s="56" t="n">
        <v>6850</v>
      </c>
      <c r="J314" s="8" t="s">
        <v>581</v>
      </c>
      <c r="K314" s="19" t="n">
        <f aca="false">IF(G314=0,"",F314/G314)</f>
        <v>8.86521994335658</v>
      </c>
      <c r="L314" s="27" t="n">
        <v>1.283</v>
      </c>
      <c r="M314" s="56" t="n">
        <v>66550</v>
      </c>
      <c r="N314" s="8" t="s">
        <v>549</v>
      </c>
    </row>
    <row r="315" customFormat="false" ht="15" hidden="false" customHeight="false" outlineLevel="0" collapsed="false">
      <c r="A315" s="8" t="s">
        <v>87</v>
      </c>
      <c r="B315" s="8" t="s">
        <v>24</v>
      </c>
      <c r="C315" s="8" t="s">
        <v>523</v>
      </c>
      <c r="D315" s="8" t="s">
        <v>566</v>
      </c>
      <c r="E315" s="8" t="s">
        <v>515</v>
      </c>
      <c r="F315" s="56" t="n">
        <v>89914.49</v>
      </c>
      <c r="G315" s="56" t="n">
        <v>11098.73</v>
      </c>
      <c r="H315" s="43" t="n">
        <v>0.4867</v>
      </c>
      <c r="I315" s="56" t="n">
        <v>500</v>
      </c>
      <c r="J315" s="8" t="s">
        <v>581</v>
      </c>
      <c r="K315" s="19" t="n">
        <f aca="false">IF(G315=0,"",F315/G315)</f>
        <v>8.10133141359417</v>
      </c>
      <c r="L315" s="27" t="n">
        <v>1.24</v>
      </c>
      <c r="M315" s="56" t="n">
        <v>8500</v>
      </c>
      <c r="N315" s="8" t="s">
        <v>549</v>
      </c>
    </row>
    <row r="316" customFormat="false" ht="15" hidden="false" customHeight="false" outlineLevel="0" collapsed="false">
      <c r="A316" s="51" t="s">
        <v>87</v>
      </c>
      <c r="B316" s="51" t="s">
        <v>24</v>
      </c>
      <c r="C316" s="51" t="s">
        <v>519</v>
      </c>
      <c r="D316" s="51" t="s">
        <v>567</v>
      </c>
      <c r="E316" s="51" t="s">
        <v>513</v>
      </c>
      <c r="F316" s="52" t="n">
        <v>-13660.32</v>
      </c>
      <c r="G316" s="52" t="n">
        <v>18331.25</v>
      </c>
      <c r="H316" s="53" t="n">
        <v>1.2495</v>
      </c>
      <c r="I316" s="52" t="n">
        <v>4582.81</v>
      </c>
      <c r="J316" s="51" t="s">
        <v>663</v>
      </c>
      <c r="K316" s="54" t="n">
        <f aca="false">IF(G316=0,"",F316/G316)</f>
        <v>-0.745193044664166</v>
      </c>
      <c r="L316" s="55" t="n">
        <v>0.622</v>
      </c>
      <c r="M316" s="52" t="n">
        <v>12531.13</v>
      </c>
      <c r="N316" s="51" t="s">
        <v>549</v>
      </c>
    </row>
    <row r="317" customFormat="false" ht="15" hidden="false" customHeight="false" outlineLevel="0" collapsed="false">
      <c r="A317" s="8" t="s">
        <v>87</v>
      </c>
      <c r="B317" s="8" t="s">
        <v>24</v>
      </c>
      <c r="C317" s="8" t="s">
        <v>519</v>
      </c>
      <c r="D317" s="8" t="s">
        <v>567</v>
      </c>
      <c r="E317" s="8" t="s">
        <v>515</v>
      </c>
      <c r="F317" s="56" t="n">
        <v>15106.13</v>
      </c>
      <c r="G317" s="56" t="n">
        <v>6645.53</v>
      </c>
      <c r="H317" s="43" t="n">
        <v>0.453</v>
      </c>
      <c r="I317" s="56" t="n">
        <v>500</v>
      </c>
      <c r="J317" s="8" t="s">
        <v>581</v>
      </c>
      <c r="K317" s="19" t="n">
        <f aca="false">IF(G317=0,"",F317/G317)</f>
        <v>2.27312644740149</v>
      </c>
      <c r="L317" s="27" t="n">
        <v>1.258</v>
      </c>
      <c r="M317" s="56" t="n">
        <v>4497.74</v>
      </c>
      <c r="N317" s="8" t="s">
        <v>549</v>
      </c>
    </row>
    <row r="318" customFormat="false" ht="15" hidden="false" customHeight="false" outlineLevel="0" collapsed="false">
      <c r="A318" s="51" t="s">
        <v>87</v>
      </c>
      <c r="B318" s="51" t="s">
        <v>24</v>
      </c>
      <c r="C318" s="51" t="s">
        <v>528</v>
      </c>
      <c r="D318" s="51" t="s">
        <v>570</v>
      </c>
      <c r="E318" s="51" t="s">
        <v>513</v>
      </c>
      <c r="F318" s="52" t="n">
        <v>-14300.73</v>
      </c>
      <c r="G318" s="52" t="n">
        <v>42721.22</v>
      </c>
      <c r="H318" s="53" t="n">
        <v>1.1119</v>
      </c>
      <c r="I318" s="52" t="n">
        <v>10680.3</v>
      </c>
      <c r="J318" s="51" t="s">
        <v>664</v>
      </c>
      <c r="K318" s="54" t="n">
        <f aca="false">IF(G318=0,"",F318/G318)</f>
        <v>-0.334745356054907</v>
      </c>
      <c r="L318" s="55" t="n">
        <v>0.89</v>
      </c>
      <c r="M318" s="52" t="n">
        <v>42721.22</v>
      </c>
      <c r="N318" s="51" t="s">
        <v>549</v>
      </c>
    </row>
    <row r="319" customFormat="false" ht="15" hidden="false" customHeight="false" outlineLevel="0" collapsed="false">
      <c r="A319" s="8" t="s">
        <v>87</v>
      </c>
      <c r="B319" s="8" t="s">
        <v>24</v>
      </c>
      <c r="C319" s="8" t="s">
        <v>528</v>
      </c>
      <c r="D319" s="8" t="s">
        <v>570</v>
      </c>
      <c r="E319" s="8" t="s">
        <v>515</v>
      </c>
      <c r="F319" s="56" t="n">
        <v>83688.51</v>
      </c>
      <c r="G319" s="56" t="n">
        <v>10392.39</v>
      </c>
      <c r="H319" s="43" t="n">
        <v>0.3337</v>
      </c>
      <c r="I319" s="56" t="n">
        <v>500</v>
      </c>
      <c r="J319" s="8" t="s">
        <v>581</v>
      </c>
      <c r="K319" s="19" t="n">
        <f aca="false">IF(G319=0,"",F319/G319)</f>
        <v>8.05286464422525</v>
      </c>
      <c r="L319" s="27" t="n">
        <v>1.257</v>
      </c>
      <c r="M319" s="56" t="n">
        <v>8244.6</v>
      </c>
      <c r="N319" s="8" t="n">
        <v>3</v>
      </c>
    </row>
    <row r="320" customFormat="false" ht="15" hidden="false" customHeight="false" outlineLevel="0" collapsed="false">
      <c r="A320" s="51" t="s">
        <v>87</v>
      </c>
      <c r="B320" s="51" t="s">
        <v>24</v>
      </c>
      <c r="C320" s="51" t="s">
        <v>531</v>
      </c>
      <c r="D320" s="51" t="s">
        <v>571</v>
      </c>
      <c r="E320" s="51" t="s">
        <v>513</v>
      </c>
      <c r="F320" s="52" t="n">
        <v>-42518.98</v>
      </c>
      <c r="G320" s="52" t="n">
        <v>107100</v>
      </c>
      <c r="H320" s="53" t="n">
        <v>1.436</v>
      </c>
      <c r="I320" s="52" t="n">
        <v>42900</v>
      </c>
      <c r="J320" s="51" t="s">
        <v>601</v>
      </c>
      <c r="K320" s="54" t="n">
        <f aca="false">IF(G320=0,"",F320/G320)</f>
        <v>-0.397002614379085</v>
      </c>
      <c r="L320" s="55" t="n">
        <v>0.865</v>
      </c>
      <c r="M320" s="52" t="n">
        <v>107100</v>
      </c>
      <c r="N320" s="51" t="s">
        <v>549</v>
      </c>
    </row>
    <row r="321" customFormat="false" ht="15" hidden="false" customHeight="false" outlineLevel="0" collapsed="false">
      <c r="A321" s="8" t="s">
        <v>87</v>
      </c>
      <c r="B321" s="8" t="s">
        <v>24</v>
      </c>
      <c r="C321" s="8" t="s">
        <v>531</v>
      </c>
      <c r="D321" s="8" t="s">
        <v>571</v>
      </c>
      <c r="E321" s="8" t="s">
        <v>515</v>
      </c>
      <c r="F321" s="56" t="n">
        <v>65157.99</v>
      </c>
      <c r="G321" s="56" t="n">
        <v>9647.78</v>
      </c>
      <c r="H321" s="43" t="n">
        <v>0.4646</v>
      </c>
      <c r="I321" s="56" t="n">
        <v>500</v>
      </c>
      <c r="J321" s="8" t="s">
        <v>581</v>
      </c>
      <c r="K321" s="19" t="n">
        <f aca="false">IF(G321=0,"",F321/G321)</f>
        <v>6.75367701170632</v>
      </c>
      <c r="L321" s="27" t="n">
        <v>1.223</v>
      </c>
      <c r="M321" s="56" t="n">
        <v>7500</v>
      </c>
      <c r="N321" s="8" t="s">
        <v>549</v>
      </c>
    </row>
    <row r="322" customFormat="false" ht="15" hidden="false" customHeight="false" outlineLevel="0" collapsed="false">
      <c r="A322" s="51" t="s">
        <v>87</v>
      </c>
      <c r="B322" s="51" t="s">
        <v>24</v>
      </c>
      <c r="C322" s="51" t="s">
        <v>532</v>
      </c>
      <c r="D322" s="51" t="s">
        <v>573</v>
      </c>
      <c r="E322" s="51" t="s">
        <v>513</v>
      </c>
      <c r="F322" s="52" t="n">
        <v>-108216.99</v>
      </c>
      <c r="G322" s="52" t="n">
        <v>208050</v>
      </c>
      <c r="H322" s="53" t="n">
        <v>1.8942</v>
      </c>
      <c r="I322" s="52" t="n">
        <v>102950</v>
      </c>
      <c r="J322" s="51" t="s">
        <v>661</v>
      </c>
      <c r="K322" s="54" t="n">
        <f aca="false">IF(G322=0,"",F322/G322)</f>
        <v>-0.520148954578226</v>
      </c>
      <c r="L322" s="55" t="n">
        <v>0.647</v>
      </c>
      <c r="M322" s="52" t="n">
        <v>208050</v>
      </c>
      <c r="N322" s="51" t="s">
        <v>549</v>
      </c>
    </row>
    <row r="323" customFormat="false" ht="15" hidden="false" customHeight="false" outlineLevel="0" collapsed="false">
      <c r="A323" s="8" t="s">
        <v>87</v>
      </c>
      <c r="B323" s="8" t="s">
        <v>24</v>
      </c>
      <c r="C323" s="8" t="s">
        <v>532</v>
      </c>
      <c r="D323" s="8" t="s">
        <v>573</v>
      </c>
      <c r="E323" s="8" t="s">
        <v>515</v>
      </c>
      <c r="F323" s="56" t="n">
        <v>63829.64</v>
      </c>
      <c r="G323" s="56" t="n">
        <v>9647.78</v>
      </c>
      <c r="H323" s="43" t="n">
        <v>0.4794</v>
      </c>
      <c r="I323" s="56" t="n">
        <v>500</v>
      </c>
      <c r="J323" s="8" t="s">
        <v>581</v>
      </c>
      <c r="K323" s="19" t="n">
        <f aca="false">IF(G323=0,"",F323/G323)</f>
        <v>6.61599248739088</v>
      </c>
      <c r="L323" s="27" t="n">
        <v>1.252</v>
      </c>
      <c r="M323" s="56" t="n">
        <v>7500</v>
      </c>
      <c r="N323" s="8" t="s">
        <v>549</v>
      </c>
    </row>
    <row r="324" customFormat="false" ht="15" hidden="false" customHeight="false" outlineLevel="0" collapsed="false">
      <c r="A324" s="8" t="s">
        <v>87</v>
      </c>
      <c r="B324" s="8" t="s">
        <v>24</v>
      </c>
      <c r="C324" s="8" t="s">
        <v>518</v>
      </c>
      <c r="D324" s="8" t="s">
        <v>574</v>
      </c>
      <c r="E324" s="8" t="s">
        <v>513</v>
      </c>
      <c r="F324" s="56" t="n">
        <v>15016.29</v>
      </c>
      <c r="G324" s="56" t="n">
        <v>2054.96</v>
      </c>
      <c r="H324" s="43" t="n">
        <v>0.1686</v>
      </c>
      <c r="I324" s="56" t="n">
        <v>200</v>
      </c>
      <c r="J324" s="8" t="s">
        <v>581</v>
      </c>
      <c r="K324" s="19" t="n">
        <f aca="false">IF(G324=0,"",F324/G324)</f>
        <v>7.30733931560712</v>
      </c>
      <c r="L324" s="27" t="n">
        <v>1.239</v>
      </c>
      <c r="M324" s="56" t="n">
        <v>850</v>
      </c>
      <c r="N324" s="8" t="n">
        <v>4</v>
      </c>
    </row>
    <row r="325" customFormat="false" ht="15" hidden="false" customHeight="false" outlineLevel="0" collapsed="false">
      <c r="A325" s="8" t="s">
        <v>87</v>
      </c>
      <c r="B325" s="8" t="s">
        <v>24</v>
      </c>
      <c r="C325" s="8" t="s">
        <v>518</v>
      </c>
      <c r="D325" s="8" t="s">
        <v>574</v>
      </c>
      <c r="E325" s="8" t="s">
        <v>515</v>
      </c>
      <c r="F325" s="56" t="n">
        <v>15016.29</v>
      </c>
      <c r="G325" s="56" t="n">
        <v>2054.96</v>
      </c>
      <c r="H325" s="43" t="n">
        <v>0.1686</v>
      </c>
      <c r="I325" s="56" t="n">
        <v>200</v>
      </c>
      <c r="J325" s="8" t="s">
        <v>581</v>
      </c>
      <c r="K325" s="19" t="n">
        <f aca="false">IF(G325=0,"",F325/G325)</f>
        <v>7.30733931560712</v>
      </c>
      <c r="L325" s="27" t="n">
        <v>1.239</v>
      </c>
      <c r="M325" s="56" t="n">
        <v>850</v>
      </c>
      <c r="N325" s="8" t="n">
        <v>4</v>
      </c>
    </row>
    <row r="326" customFormat="false" ht="15" hidden="false" customHeight="false" outlineLevel="0" collapsed="false">
      <c r="A326" s="8" t="s">
        <v>87</v>
      </c>
      <c r="B326" s="8" t="s">
        <v>24</v>
      </c>
      <c r="C326" s="8" t="s">
        <v>522</v>
      </c>
      <c r="D326" s="8" t="s">
        <v>576</v>
      </c>
      <c r="E326" s="8" t="s">
        <v>513</v>
      </c>
      <c r="F326" s="56" t="n">
        <v>39668.58</v>
      </c>
      <c r="G326" s="56" t="n">
        <v>7527.2</v>
      </c>
      <c r="H326" s="43" t="n">
        <v>0.2792</v>
      </c>
      <c r="I326" s="56" t="n">
        <v>950</v>
      </c>
      <c r="J326" s="8" t="s">
        <v>581</v>
      </c>
      <c r="K326" s="19" t="n">
        <f aca="false">IF(G326=0,"",F326/G326)</f>
        <v>5.27003135295993</v>
      </c>
      <c r="L326" s="27" t="n">
        <v>1.198</v>
      </c>
      <c r="M326" s="56" t="n">
        <v>4600</v>
      </c>
      <c r="N326" s="8" t="s">
        <v>549</v>
      </c>
    </row>
    <row r="327" customFormat="false" ht="15" hidden="false" customHeight="false" outlineLevel="0" collapsed="false">
      <c r="A327" s="8" t="s">
        <v>87</v>
      </c>
      <c r="B327" s="8" t="s">
        <v>24</v>
      </c>
      <c r="C327" s="8" t="s">
        <v>522</v>
      </c>
      <c r="D327" s="8" t="s">
        <v>576</v>
      </c>
      <c r="E327" s="8" t="s">
        <v>515</v>
      </c>
      <c r="F327" s="56" t="n">
        <v>38033.75</v>
      </c>
      <c r="G327" s="56" t="n">
        <v>6009.1</v>
      </c>
      <c r="H327" s="43" t="n">
        <v>0.2408</v>
      </c>
      <c r="I327" s="56" t="n">
        <v>500</v>
      </c>
      <c r="J327" s="8" t="s">
        <v>581</v>
      </c>
      <c r="K327" s="19" t="n">
        <f aca="false">IF(G327=0,"",F327/G327)</f>
        <v>6.32935880581119</v>
      </c>
      <c r="L327" s="27" t="n">
        <v>1.207</v>
      </c>
      <c r="M327" s="56" t="n">
        <v>3850</v>
      </c>
      <c r="N327" s="8" t="n">
        <v>6</v>
      </c>
    </row>
    <row r="328" customFormat="false" ht="15" hidden="false" customHeight="false" outlineLevel="0" collapsed="false">
      <c r="A328" s="51" t="s">
        <v>87</v>
      </c>
      <c r="B328" s="51" t="s">
        <v>24</v>
      </c>
      <c r="C328" s="51" t="s">
        <v>525</v>
      </c>
      <c r="D328" s="51" t="s">
        <v>578</v>
      </c>
      <c r="E328" s="51" t="s">
        <v>513</v>
      </c>
      <c r="F328" s="52" t="n">
        <v>-10611.4</v>
      </c>
      <c r="G328" s="52" t="n">
        <v>18557.73</v>
      </c>
      <c r="H328" s="53" t="n">
        <v>1.0341</v>
      </c>
      <c r="I328" s="52" t="n">
        <v>4676.93</v>
      </c>
      <c r="J328" s="51" t="s">
        <v>659</v>
      </c>
      <c r="K328" s="54" t="n">
        <f aca="false">IF(G328=0,"",F328/G328)</f>
        <v>-0.57180484897668</v>
      </c>
      <c r="L328" s="55" t="n">
        <v>0.737</v>
      </c>
      <c r="M328" s="52" t="n">
        <v>18557.73</v>
      </c>
      <c r="N328" s="51" t="s">
        <v>549</v>
      </c>
    </row>
    <row r="329" customFormat="false" ht="15" hidden="false" customHeight="false" outlineLevel="0" collapsed="false">
      <c r="A329" s="8" t="s">
        <v>87</v>
      </c>
      <c r="B329" s="8" t="s">
        <v>24</v>
      </c>
      <c r="C329" s="8" t="s">
        <v>525</v>
      </c>
      <c r="D329" s="8" t="s">
        <v>578</v>
      </c>
      <c r="E329" s="8" t="s">
        <v>515</v>
      </c>
      <c r="F329" s="56" t="n">
        <v>23536.76</v>
      </c>
      <c r="G329" s="56" t="n">
        <v>7870.67</v>
      </c>
      <c r="H329" s="43" t="n">
        <v>0.439</v>
      </c>
      <c r="I329" s="56" t="n">
        <v>500</v>
      </c>
      <c r="J329" s="8" t="s">
        <v>581</v>
      </c>
      <c r="K329" s="19" t="n">
        <f aca="false">IF(G329=0,"",F329/G329)</f>
        <v>2.99043918751517</v>
      </c>
      <c r="L329" s="27" t="n">
        <v>1.275</v>
      </c>
      <c r="M329" s="56" t="n">
        <v>5722.89</v>
      </c>
      <c r="N329" s="8" t="s">
        <v>549</v>
      </c>
    </row>
    <row r="330" customFormat="false" ht="15" hidden="false" customHeight="false" outlineLevel="0" collapsed="false">
      <c r="A330" s="8" t="s">
        <v>87</v>
      </c>
      <c r="B330" s="8" t="s">
        <v>24</v>
      </c>
      <c r="C330" s="8" t="s">
        <v>516</v>
      </c>
      <c r="D330" s="8" t="s">
        <v>580</v>
      </c>
      <c r="E330" s="8" t="s">
        <v>513</v>
      </c>
      <c r="F330" s="56" t="n">
        <v>44766.16</v>
      </c>
      <c r="G330" s="56" t="n">
        <v>6498.72</v>
      </c>
      <c r="H330" s="43" t="n">
        <v>0.2032</v>
      </c>
      <c r="I330" s="56" t="n">
        <v>582.72</v>
      </c>
      <c r="J330" s="8" t="s">
        <v>581</v>
      </c>
      <c r="K330" s="19" t="n">
        <f aca="false">IF(G330=0,"",F330/G330)</f>
        <v>6.88845803481301</v>
      </c>
      <c r="L330" s="27" t="n">
        <v>1.247</v>
      </c>
      <c r="M330" s="56" t="n">
        <v>4587.2</v>
      </c>
      <c r="N330" s="8" t="s">
        <v>549</v>
      </c>
    </row>
    <row r="331" customFormat="false" ht="15" hidden="false" customHeight="false" outlineLevel="0" collapsed="false">
      <c r="A331" s="8" t="s">
        <v>87</v>
      </c>
      <c r="B331" s="8" t="s">
        <v>24</v>
      </c>
      <c r="C331" s="8" t="s">
        <v>516</v>
      </c>
      <c r="D331" s="8" t="s">
        <v>580</v>
      </c>
      <c r="E331" s="8" t="s">
        <v>515</v>
      </c>
      <c r="F331" s="56" t="n">
        <v>44845.97</v>
      </c>
      <c r="G331" s="56" t="n">
        <v>6498.72</v>
      </c>
      <c r="H331" s="43" t="n">
        <v>0.2032</v>
      </c>
      <c r="I331" s="56" t="n">
        <v>500</v>
      </c>
      <c r="J331" s="8" t="s">
        <v>581</v>
      </c>
      <c r="K331" s="19" t="n">
        <f aca="false">IF(G331=0,"",F331/G331)</f>
        <v>6.90073891474013</v>
      </c>
      <c r="L331" s="27" t="n">
        <v>1.25</v>
      </c>
      <c r="M331" s="56" t="n">
        <v>4587.2</v>
      </c>
      <c r="N331" s="8" t="n">
        <v>5</v>
      </c>
    </row>
    <row r="332" customFormat="false" ht="15" hidden="false" customHeight="false" outlineLevel="0" collapsed="false">
      <c r="A332" s="48" t="s">
        <v>87</v>
      </c>
      <c r="B332" s="48" t="s">
        <v>24</v>
      </c>
      <c r="C332" s="48" t="s">
        <v>521</v>
      </c>
      <c r="D332" s="48" t="s">
        <v>582</v>
      </c>
      <c r="E332" s="48" t="s">
        <v>513</v>
      </c>
      <c r="F332" s="57" t="n">
        <v>23940.48</v>
      </c>
      <c r="G332" s="57" t="n">
        <v>2913.41</v>
      </c>
      <c r="H332" s="58" t="n">
        <v>0.1652</v>
      </c>
      <c r="I332" s="57" t="n">
        <v>500</v>
      </c>
      <c r="J332" s="48" t="s">
        <v>581</v>
      </c>
      <c r="K332" s="59" t="n">
        <f aca="false">IF(G332=0,"",F332/G332)</f>
        <v>8.21733981828854</v>
      </c>
      <c r="L332" s="50" t="n">
        <v>1.347</v>
      </c>
      <c r="M332" s="57" t="n">
        <v>2600</v>
      </c>
      <c r="N332" s="48" t="n">
        <v>1</v>
      </c>
    </row>
    <row r="333" customFormat="false" ht="15" hidden="false" customHeight="false" outlineLevel="0" collapsed="false">
      <c r="A333" s="48" t="s">
        <v>87</v>
      </c>
      <c r="B333" s="48" t="s">
        <v>24</v>
      </c>
      <c r="C333" s="48" t="s">
        <v>521</v>
      </c>
      <c r="D333" s="48" t="s">
        <v>582</v>
      </c>
      <c r="E333" s="48" t="s">
        <v>515</v>
      </c>
      <c r="F333" s="57" t="n">
        <v>23940.48</v>
      </c>
      <c r="G333" s="57" t="n">
        <v>2913.41</v>
      </c>
      <c r="H333" s="58" t="n">
        <v>0.1652</v>
      </c>
      <c r="I333" s="57" t="n">
        <v>500</v>
      </c>
      <c r="J333" s="48" t="s">
        <v>581</v>
      </c>
      <c r="K333" s="59" t="n">
        <f aca="false">IF(G333=0,"",F333/G333)</f>
        <v>8.21733981828854</v>
      </c>
      <c r="L333" s="50" t="n">
        <v>1.347</v>
      </c>
      <c r="M333" s="57" t="n">
        <v>2600</v>
      </c>
      <c r="N333" s="48" t="n">
        <v>1</v>
      </c>
    </row>
    <row r="335" customFormat="false" ht="15" hidden="false" customHeight="false" outlineLevel="0" collapsed="false">
      <c r="A335" s="8" t="s">
        <v>87</v>
      </c>
      <c r="B335" s="8" t="s">
        <v>59</v>
      </c>
      <c r="C335" s="8" t="s">
        <v>47</v>
      </c>
      <c r="D335" s="8" t="s">
        <v>547</v>
      </c>
      <c r="E335" s="8" t="s">
        <v>513</v>
      </c>
      <c r="F335" s="56" t="n">
        <v>3704.09</v>
      </c>
      <c r="G335" s="56" t="n">
        <v>1050.22</v>
      </c>
      <c r="H335" s="43" t="n">
        <v>0.0908</v>
      </c>
      <c r="I335" s="56" t="n">
        <v>50</v>
      </c>
      <c r="J335" s="8" t="s">
        <v>581</v>
      </c>
      <c r="K335" s="19" t="n">
        <f aca="false">IF(G335=0,"",F335/G335)</f>
        <v>3.52696577859877</v>
      </c>
      <c r="L335" s="27" t="n">
        <v>1.192</v>
      </c>
      <c r="M335" s="56" t="n">
        <v>250</v>
      </c>
      <c r="N335" s="8" t="n">
        <v>4</v>
      </c>
    </row>
    <row r="336" customFormat="false" ht="15" hidden="false" customHeight="false" outlineLevel="0" collapsed="false">
      <c r="A336" s="8" t="s">
        <v>87</v>
      </c>
      <c r="B336" s="8" t="s">
        <v>59</v>
      </c>
      <c r="C336" s="8" t="s">
        <v>47</v>
      </c>
      <c r="D336" s="8" t="s">
        <v>547</v>
      </c>
      <c r="E336" s="8" t="s">
        <v>515</v>
      </c>
      <c r="F336" s="56" t="n">
        <v>3704.09</v>
      </c>
      <c r="G336" s="56" t="n">
        <v>1050.22</v>
      </c>
      <c r="H336" s="43" t="n">
        <v>0.0908</v>
      </c>
      <c r="I336" s="56" t="n">
        <v>50</v>
      </c>
      <c r="J336" s="8" t="s">
        <v>581</v>
      </c>
      <c r="K336" s="19" t="n">
        <f aca="false">IF(G336=0,"",F336/G336)</f>
        <v>3.52696577859877</v>
      </c>
      <c r="L336" s="27" t="n">
        <v>1.192</v>
      </c>
      <c r="M336" s="56" t="n">
        <v>250</v>
      </c>
      <c r="N336" s="8" t="n">
        <v>4</v>
      </c>
    </row>
    <row r="337" customFormat="false" ht="15" hidden="false" customHeight="false" outlineLevel="0" collapsed="false">
      <c r="A337" s="51" t="s">
        <v>87</v>
      </c>
      <c r="B337" s="51" t="s">
        <v>59</v>
      </c>
      <c r="C337" s="51" t="s">
        <v>535</v>
      </c>
      <c r="D337" s="51" t="s">
        <v>550</v>
      </c>
      <c r="E337" s="51" t="s">
        <v>513</v>
      </c>
      <c r="F337" s="52" t="n">
        <v>-14358.33</v>
      </c>
      <c r="G337" s="52" t="n">
        <v>21186.67</v>
      </c>
      <c r="H337" s="53" t="n">
        <v>1.259</v>
      </c>
      <c r="I337" s="52" t="n">
        <v>11667.36</v>
      </c>
      <c r="J337" s="51" t="s">
        <v>665</v>
      </c>
      <c r="K337" s="54" t="n">
        <f aca="false">IF(G337=0,"",F337/G337)</f>
        <v>-0.677705840511982</v>
      </c>
      <c r="L337" s="55" t="n">
        <v>0.632</v>
      </c>
      <c r="M337" s="52" t="n">
        <v>10618.33</v>
      </c>
      <c r="N337" s="51" t="s">
        <v>549</v>
      </c>
    </row>
    <row r="338" customFormat="false" ht="15" hidden="false" customHeight="false" outlineLevel="0" collapsed="false">
      <c r="A338" s="8" t="s">
        <v>87</v>
      </c>
      <c r="B338" s="8" t="s">
        <v>59</v>
      </c>
      <c r="C338" s="8" t="s">
        <v>535</v>
      </c>
      <c r="D338" s="8" t="s">
        <v>550</v>
      </c>
      <c r="E338" s="8" t="s">
        <v>515</v>
      </c>
      <c r="F338" s="56" t="n">
        <v>14600.08</v>
      </c>
      <c r="G338" s="56" t="n">
        <v>7280.29</v>
      </c>
      <c r="H338" s="43" t="n">
        <v>0.4746</v>
      </c>
      <c r="I338" s="56" t="n">
        <v>500</v>
      </c>
      <c r="J338" s="8" t="s">
        <v>581</v>
      </c>
      <c r="K338" s="19" t="n">
        <f aca="false">IF(G338=0,"",F338/G338)</f>
        <v>2.00542560804583</v>
      </c>
      <c r="L338" s="27" t="n">
        <v>1.179</v>
      </c>
      <c r="M338" s="56" t="n">
        <v>2000</v>
      </c>
      <c r="N338" s="8" t="s">
        <v>549</v>
      </c>
    </row>
    <row r="339" customFormat="false" ht="15" hidden="false" customHeight="false" outlineLevel="0" collapsed="false">
      <c r="A339" s="8" t="s">
        <v>87</v>
      </c>
      <c r="B339" s="8" t="s">
        <v>59</v>
      </c>
      <c r="C339" s="8" t="s">
        <v>527</v>
      </c>
      <c r="D339" s="8" t="s">
        <v>553</v>
      </c>
      <c r="E339" s="8" t="s">
        <v>513</v>
      </c>
      <c r="F339" s="56" t="n">
        <v>8987.02</v>
      </c>
      <c r="G339" s="56" t="n">
        <v>6780.09</v>
      </c>
      <c r="H339" s="43" t="n">
        <v>0.5138</v>
      </c>
      <c r="I339" s="56" t="n">
        <v>2310.03</v>
      </c>
      <c r="J339" s="8" t="s">
        <v>581</v>
      </c>
      <c r="K339" s="19" t="n">
        <f aca="false">IF(G339=0,"",F339/G339)</f>
        <v>1.3255015788876</v>
      </c>
      <c r="L339" s="27" t="n">
        <v>1.203</v>
      </c>
      <c r="M339" s="56" t="n">
        <v>4736.6</v>
      </c>
      <c r="N339" s="8" t="s">
        <v>549</v>
      </c>
    </row>
    <row r="340" customFormat="false" ht="15" hidden="false" customHeight="false" outlineLevel="0" collapsed="false">
      <c r="A340" s="8" t="s">
        <v>87</v>
      </c>
      <c r="B340" s="8" t="s">
        <v>59</v>
      </c>
      <c r="C340" s="8" t="s">
        <v>527</v>
      </c>
      <c r="D340" s="8" t="s">
        <v>553</v>
      </c>
      <c r="E340" s="8" t="s">
        <v>515</v>
      </c>
      <c r="F340" s="56" t="n">
        <v>8552.33</v>
      </c>
      <c r="G340" s="56" t="n">
        <v>5466.71</v>
      </c>
      <c r="H340" s="43" t="n">
        <v>0.4143</v>
      </c>
      <c r="I340" s="56" t="n">
        <v>500</v>
      </c>
      <c r="J340" s="8" t="s">
        <v>581</v>
      </c>
      <c r="K340" s="19" t="n">
        <f aca="false">IF(G340=0,"",F340/G340)</f>
        <v>1.56443820872152</v>
      </c>
      <c r="L340" s="27" t="n">
        <v>1.185</v>
      </c>
      <c r="M340" s="56" t="n">
        <v>2000</v>
      </c>
      <c r="N340" s="8" t="s">
        <v>549</v>
      </c>
    </row>
    <row r="341" customFormat="false" ht="15" hidden="false" customHeight="false" outlineLevel="0" collapsed="false">
      <c r="A341" s="51" t="s">
        <v>87</v>
      </c>
      <c r="B341" s="51" t="s">
        <v>59</v>
      </c>
      <c r="C341" s="51" t="s">
        <v>529</v>
      </c>
      <c r="D341" s="51" t="s">
        <v>556</v>
      </c>
      <c r="E341" s="51" t="s">
        <v>513</v>
      </c>
      <c r="F341" s="52" t="n">
        <v>-14444.41</v>
      </c>
      <c r="G341" s="52" t="n">
        <v>18436.57</v>
      </c>
      <c r="H341" s="53" t="n">
        <v>1.3176</v>
      </c>
      <c r="I341" s="52" t="n">
        <v>6178.86</v>
      </c>
      <c r="J341" s="51" t="s">
        <v>666</v>
      </c>
      <c r="K341" s="54" t="n">
        <f aca="false">IF(G341=0,"",F341/G341)</f>
        <v>-0.783465145631753</v>
      </c>
      <c r="L341" s="55" t="n">
        <v>0.627</v>
      </c>
      <c r="M341" s="52" t="n">
        <v>14875.02</v>
      </c>
      <c r="N341" s="51" t="s">
        <v>549</v>
      </c>
    </row>
    <row r="342" customFormat="false" ht="15" hidden="false" customHeight="false" outlineLevel="0" collapsed="false">
      <c r="A342" s="8" t="s">
        <v>87</v>
      </c>
      <c r="B342" s="8" t="s">
        <v>59</v>
      </c>
      <c r="C342" s="8" t="s">
        <v>529</v>
      </c>
      <c r="D342" s="8" t="s">
        <v>556</v>
      </c>
      <c r="E342" s="8" t="s">
        <v>515</v>
      </c>
      <c r="F342" s="56" t="n">
        <v>10501.5</v>
      </c>
      <c r="G342" s="56" t="n">
        <v>6563.2</v>
      </c>
      <c r="H342" s="43" t="n">
        <v>0.4692</v>
      </c>
      <c r="I342" s="56" t="n">
        <v>500</v>
      </c>
      <c r="J342" s="8" t="s">
        <v>581</v>
      </c>
      <c r="K342" s="19" t="n">
        <f aca="false">IF(G342=0,"",F342/G342)</f>
        <v>1.60005789858606</v>
      </c>
      <c r="L342" s="27" t="n">
        <v>1.199</v>
      </c>
      <c r="M342" s="56" t="n">
        <v>2000</v>
      </c>
      <c r="N342" s="8" t="s">
        <v>549</v>
      </c>
    </row>
    <row r="343" customFormat="false" ht="15" hidden="false" customHeight="false" outlineLevel="0" collapsed="false">
      <c r="A343" s="51" t="s">
        <v>87</v>
      </c>
      <c r="B343" s="51" t="s">
        <v>59</v>
      </c>
      <c r="C343" s="51" t="s">
        <v>534</v>
      </c>
      <c r="D343" s="51" t="s">
        <v>559</v>
      </c>
      <c r="E343" s="51" t="s">
        <v>513</v>
      </c>
      <c r="F343" s="52" t="n">
        <v>-11931.28</v>
      </c>
      <c r="G343" s="52" t="n">
        <v>24257.56</v>
      </c>
      <c r="H343" s="53" t="n">
        <v>1.0865</v>
      </c>
      <c r="I343" s="52" t="n">
        <v>12800</v>
      </c>
      <c r="J343" s="51" t="s">
        <v>665</v>
      </c>
      <c r="K343" s="54" t="n">
        <f aca="false">IF(G343=0,"",F343/G343)</f>
        <v>-0.491858208327631</v>
      </c>
      <c r="L343" s="55" t="n">
        <v>0.758</v>
      </c>
      <c r="M343" s="52" t="n">
        <v>12800</v>
      </c>
      <c r="N343" s="51" t="s">
        <v>549</v>
      </c>
    </row>
    <row r="344" customFormat="false" ht="15" hidden="false" customHeight="false" outlineLevel="0" collapsed="false">
      <c r="A344" s="8" t="s">
        <v>87</v>
      </c>
      <c r="B344" s="8" t="s">
        <v>59</v>
      </c>
      <c r="C344" s="8" t="s">
        <v>534</v>
      </c>
      <c r="D344" s="8" t="s">
        <v>559</v>
      </c>
      <c r="E344" s="8" t="s">
        <v>515</v>
      </c>
      <c r="F344" s="56" t="n">
        <v>18223.18</v>
      </c>
      <c r="G344" s="56" t="n">
        <v>8863.51</v>
      </c>
      <c r="H344" s="43" t="n">
        <v>0.5268</v>
      </c>
      <c r="I344" s="56" t="n">
        <v>500</v>
      </c>
      <c r="J344" s="8" t="s">
        <v>581</v>
      </c>
      <c r="K344" s="19" t="n">
        <f aca="false">IF(G344=0,"",F344/G344)</f>
        <v>2.05597782368385</v>
      </c>
      <c r="L344" s="27" t="n">
        <v>1.191</v>
      </c>
      <c r="M344" s="56" t="n">
        <v>2500</v>
      </c>
      <c r="N344" s="8" t="s">
        <v>549</v>
      </c>
    </row>
    <row r="345" customFormat="false" ht="15" hidden="false" customHeight="false" outlineLevel="0" collapsed="false">
      <c r="A345" s="51" t="s">
        <v>87</v>
      </c>
      <c r="B345" s="51" t="s">
        <v>59</v>
      </c>
      <c r="C345" s="51" t="s">
        <v>530</v>
      </c>
      <c r="D345" s="51" t="s">
        <v>560</v>
      </c>
      <c r="E345" s="51" t="s">
        <v>513</v>
      </c>
      <c r="F345" s="52" t="n">
        <v>-13159.89</v>
      </c>
      <c r="G345" s="52" t="n">
        <v>19848.57</v>
      </c>
      <c r="H345" s="53" t="n">
        <v>1.1893</v>
      </c>
      <c r="I345" s="52" t="n">
        <v>10803.59</v>
      </c>
      <c r="J345" s="51" t="s">
        <v>665</v>
      </c>
      <c r="K345" s="54" t="n">
        <f aca="false">IF(G345=0,"",F345/G345)</f>
        <v>-0.663014514395747</v>
      </c>
      <c r="L345" s="55" t="n">
        <v>0.647</v>
      </c>
      <c r="M345" s="52" t="n">
        <v>9851.27</v>
      </c>
      <c r="N345" s="51" t="s">
        <v>549</v>
      </c>
    </row>
    <row r="346" customFormat="false" ht="15" hidden="false" customHeight="false" outlineLevel="0" collapsed="false">
      <c r="A346" s="8" t="s">
        <v>87</v>
      </c>
      <c r="B346" s="8" t="s">
        <v>59</v>
      </c>
      <c r="C346" s="8" t="s">
        <v>530</v>
      </c>
      <c r="D346" s="8" t="s">
        <v>560</v>
      </c>
      <c r="E346" s="8" t="s">
        <v>515</v>
      </c>
      <c r="F346" s="56" t="n">
        <v>14372.7</v>
      </c>
      <c r="G346" s="56" t="n">
        <v>7263.75</v>
      </c>
      <c r="H346" s="43" t="n">
        <v>0.4757</v>
      </c>
      <c r="I346" s="56" t="n">
        <v>500</v>
      </c>
      <c r="J346" s="8" t="s">
        <v>581</v>
      </c>
      <c r="K346" s="19" t="n">
        <f aca="false">IF(G346=0,"",F346/G346)</f>
        <v>1.97868869385648</v>
      </c>
      <c r="L346" s="27" t="n">
        <v>1.178</v>
      </c>
      <c r="M346" s="56" t="n">
        <v>2000</v>
      </c>
      <c r="N346" s="8" t="s">
        <v>549</v>
      </c>
    </row>
    <row r="347" customFormat="false" ht="15" hidden="false" customHeight="false" outlineLevel="0" collapsed="false">
      <c r="A347" s="8" t="s">
        <v>87</v>
      </c>
      <c r="B347" s="8" t="s">
        <v>59</v>
      </c>
      <c r="C347" s="8" t="s">
        <v>524</v>
      </c>
      <c r="D347" s="8" t="s">
        <v>561</v>
      </c>
      <c r="E347" s="8" t="s">
        <v>513</v>
      </c>
      <c r="F347" s="56" t="n">
        <v>13115.26</v>
      </c>
      <c r="G347" s="56" t="n">
        <v>3231.5</v>
      </c>
      <c r="H347" s="43" t="n">
        <v>0.2204</v>
      </c>
      <c r="I347" s="56" t="n">
        <v>575</v>
      </c>
      <c r="J347" s="8" t="s">
        <v>581</v>
      </c>
      <c r="K347" s="19" t="n">
        <f aca="false">IF(G347=0,"",F347/G347)</f>
        <v>4.0585672288411</v>
      </c>
      <c r="L347" s="27" t="n">
        <v>1.275</v>
      </c>
      <c r="M347" s="56" t="n">
        <v>1550</v>
      </c>
      <c r="N347" s="8" t="s">
        <v>549</v>
      </c>
    </row>
    <row r="348" customFormat="false" ht="15" hidden="false" customHeight="false" outlineLevel="0" collapsed="false">
      <c r="A348" s="8" t="s">
        <v>87</v>
      </c>
      <c r="B348" s="8" t="s">
        <v>59</v>
      </c>
      <c r="C348" s="8" t="s">
        <v>524</v>
      </c>
      <c r="D348" s="8" t="s">
        <v>561</v>
      </c>
      <c r="E348" s="8" t="s">
        <v>515</v>
      </c>
      <c r="F348" s="56" t="n">
        <v>12944.7</v>
      </c>
      <c r="G348" s="56" t="n">
        <v>3231.5</v>
      </c>
      <c r="H348" s="43" t="n">
        <v>0.2204</v>
      </c>
      <c r="I348" s="56" t="n">
        <v>500</v>
      </c>
      <c r="J348" s="8" t="s">
        <v>581</v>
      </c>
      <c r="K348" s="19" t="n">
        <f aca="false">IF(G348=0,"",F348/G348)</f>
        <v>4.00578678632214</v>
      </c>
      <c r="L348" s="27" t="n">
        <v>1.267</v>
      </c>
      <c r="M348" s="56" t="n">
        <v>1550</v>
      </c>
      <c r="N348" s="8" t="n">
        <v>2</v>
      </c>
    </row>
    <row r="349" customFormat="false" ht="15" hidden="false" customHeight="false" outlineLevel="0" collapsed="false">
      <c r="A349" s="51" t="s">
        <v>87</v>
      </c>
      <c r="B349" s="51" t="s">
        <v>59</v>
      </c>
      <c r="C349" s="51" t="s">
        <v>533</v>
      </c>
      <c r="D349" s="51" t="s">
        <v>563</v>
      </c>
      <c r="E349" s="51" t="s">
        <v>513</v>
      </c>
      <c r="F349" s="52" t="n">
        <v>-11011.47</v>
      </c>
      <c r="G349" s="52" t="n">
        <v>17643.09</v>
      </c>
      <c r="H349" s="53" t="n">
        <v>1.0608</v>
      </c>
      <c r="I349" s="52" t="n">
        <v>7200</v>
      </c>
      <c r="J349" s="51" t="s">
        <v>667</v>
      </c>
      <c r="K349" s="54" t="n">
        <f aca="false">IF(G349=0,"",F349/G349)</f>
        <v>-0.624123665412351</v>
      </c>
      <c r="L349" s="55" t="n">
        <v>0.655</v>
      </c>
      <c r="M349" s="52" t="n">
        <v>7200</v>
      </c>
      <c r="N349" s="51" t="s">
        <v>549</v>
      </c>
    </row>
    <row r="350" customFormat="false" ht="15" hidden="false" customHeight="false" outlineLevel="0" collapsed="false">
      <c r="A350" s="8" t="s">
        <v>87</v>
      </c>
      <c r="B350" s="8" t="s">
        <v>59</v>
      </c>
      <c r="C350" s="8" t="s">
        <v>533</v>
      </c>
      <c r="D350" s="8" t="s">
        <v>563</v>
      </c>
      <c r="E350" s="8" t="s">
        <v>515</v>
      </c>
      <c r="F350" s="56" t="n">
        <v>15417.67</v>
      </c>
      <c r="G350" s="56" t="n">
        <v>6539.13</v>
      </c>
      <c r="H350" s="43" t="n">
        <v>0.4237</v>
      </c>
      <c r="I350" s="56" t="n">
        <v>500</v>
      </c>
      <c r="J350" s="8" t="s">
        <v>581</v>
      </c>
      <c r="K350" s="19" t="n">
        <f aca="false">IF(G350=0,"",F350/G350)</f>
        <v>2.35775554240396</v>
      </c>
      <c r="L350" s="27" t="n">
        <v>1.254</v>
      </c>
      <c r="M350" s="56" t="n">
        <v>2000</v>
      </c>
      <c r="N350" s="8" t="s">
        <v>549</v>
      </c>
    </row>
    <row r="351" customFormat="false" ht="15" hidden="false" customHeight="false" outlineLevel="0" collapsed="false">
      <c r="A351" s="8" t="s">
        <v>87</v>
      </c>
      <c r="B351" s="8" t="s">
        <v>59</v>
      </c>
      <c r="C351" s="8" t="s">
        <v>523</v>
      </c>
      <c r="D351" s="8" t="s">
        <v>566</v>
      </c>
      <c r="E351" s="8" t="s">
        <v>513</v>
      </c>
      <c r="F351" s="56" t="n">
        <v>7079.65</v>
      </c>
      <c r="G351" s="56" t="n">
        <v>4255.93</v>
      </c>
      <c r="H351" s="43" t="n">
        <v>0.3291</v>
      </c>
      <c r="I351" s="56" t="n">
        <v>550</v>
      </c>
      <c r="J351" s="8" t="s">
        <v>581</v>
      </c>
      <c r="K351" s="19" t="n">
        <f aca="false">IF(G351=0,"",F351/G351)</f>
        <v>1.66347895759564</v>
      </c>
      <c r="L351" s="27" t="n">
        <v>1.176</v>
      </c>
      <c r="M351" s="56" t="n">
        <v>1700</v>
      </c>
      <c r="N351" s="8" t="s">
        <v>549</v>
      </c>
    </row>
    <row r="352" customFormat="false" ht="15" hidden="false" customHeight="false" outlineLevel="0" collapsed="false">
      <c r="A352" s="8" t="s">
        <v>87</v>
      </c>
      <c r="B352" s="8" t="s">
        <v>59</v>
      </c>
      <c r="C352" s="8" t="s">
        <v>523</v>
      </c>
      <c r="D352" s="8" t="s">
        <v>566</v>
      </c>
      <c r="E352" s="8" t="s">
        <v>515</v>
      </c>
      <c r="F352" s="56" t="n">
        <v>7075.29</v>
      </c>
      <c r="G352" s="56" t="n">
        <v>4260.29</v>
      </c>
      <c r="H352" s="43" t="n">
        <v>0.3294</v>
      </c>
      <c r="I352" s="56" t="n">
        <v>500</v>
      </c>
      <c r="J352" s="8" t="s">
        <v>581</v>
      </c>
      <c r="K352" s="19" t="n">
        <f aca="false">IF(G352=0,"",F352/G352)</f>
        <v>1.66075314121809</v>
      </c>
      <c r="L352" s="27" t="n">
        <v>1.176</v>
      </c>
      <c r="M352" s="56" t="n">
        <v>1700</v>
      </c>
      <c r="N352" s="8" t="n">
        <v>6</v>
      </c>
    </row>
    <row r="353" customFormat="false" ht="15" hidden="false" customHeight="false" outlineLevel="0" collapsed="false">
      <c r="A353" s="8" t="s">
        <v>87</v>
      </c>
      <c r="B353" s="8" t="s">
        <v>59</v>
      </c>
      <c r="C353" s="8" t="s">
        <v>519</v>
      </c>
      <c r="D353" s="8" t="s">
        <v>567</v>
      </c>
      <c r="E353" s="8" t="s">
        <v>513</v>
      </c>
      <c r="F353" s="56" t="n">
        <v>5467</v>
      </c>
      <c r="G353" s="56" t="n">
        <v>4735.69</v>
      </c>
      <c r="H353" s="43" t="n">
        <v>0.3942</v>
      </c>
      <c r="I353" s="56" t="n">
        <v>1583.56</v>
      </c>
      <c r="J353" s="8" t="s">
        <v>581</v>
      </c>
      <c r="K353" s="19" t="n">
        <f aca="false">IF(G353=0,"",F353/G353)</f>
        <v>1.15442522631338</v>
      </c>
      <c r="L353" s="27" t="n">
        <v>1.181</v>
      </c>
      <c r="M353" s="56" t="n">
        <v>3247.02</v>
      </c>
      <c r="N353" s="8" t="s">
        <v>549</v>
      </c>
    </row>
    <row r="354" customFormat="false" ht="15" hidden="false" customHeight="false" outlineLevel="0" collapsed="false">
      <c r="A354" s="8" t="s">
        <v>87</v>
      </c>
      <c r="B354" s="8" t="s">
        <v>59</v>
      </c>
      <c r="C354" s="8" t="s">
        <v>519</v>
      </c>
      <c r="D354" s="8" t="s">
        <v>567</v>
      </c>
      <c r="E354" s="8" t="s">
        <v>515</v>
      </c>
      <c r="F354" s="56" t="n">
        <v>5258.96</v>
      </c>
      <c r="G354" s="56" t="n">
        <v>3903.83</v>
      </c>
      <c r="H354" s="43" t="n">
        <v>0.3249</v>
      </c>
      <c r="I354" s="56" t="n">
        <v>500</v>
      </c>
      <c r="J354" s="8" t="s">
        <v>581</v>
      </c>
      <c r="K354" s="19" t="n">
        <f aca="false">IF(G354=0,"",F354/G354)</f>
        <v>1.34712833294483</v>
      </c>
      <c r="L354" s="27" t="n">
        <v>1.158</v>
      </c>
      <c r="M354" s="56" t="n">
        <v>2000</v>
      </c>
      <c r="N354" s="8" t="n">
        <v>8</v>
      </c>
    </row>
    <row r="355" customFormat="false" ht="15" hidden="false" customHeight="false" outlineLevel="0" collapsed="false">
      <c r="A355" s="51" t="s">
        <v>87</v>
      </c>
      <c r="B355" s="51" t="s">
        <v>59</v>
      </c>
      <c r="C355" s="51" t="s">
        <v>528</v>
      </c>
      <c r="D355" s="51" t="s">
        <v>570</v>
      </c>
      <c r="E355" s="51" t="s">
        <v>513</v>
      </c>
      <c r="F355" s="52" t="n">
        <v>-13097.59</v>
      </c>
      <c r="G355" s="52" t="n">
        <v>19739.82</v>
      </c>
      <c r="H355" s="53" t="n">
        <v>1.1861</v>
      </c>
      <c r="I355" s="52" t="n">
        <v>5092.67</v>
      </c>
      <c r="J355" s="51" t="s">
        <v>667</v>
      </c>
      <c r="K355" s="54" t="n">
        <f aca="false">IF(G355=0,"",F355/G355)</f>
        <v>-0.663511116109468</v>
      </c>
      <c r="L355" s="55" t="n">
        <v>0.733</v>
      </c>
      <c r="M355" s="52" t="n">
        <v>5171.36</v>
      </c>
      <c r="N355" s="51" t="s">
        <v>549</v>
      </c>
    </row>
    <row r="356" customFormat="false" ht="15" hidden="false" customHeight="false" outlineLevel="0" collapsed="false">
      <c r="A356" s="8" t="s">
        <v>87</v>
      </c>
      <c r="B356" s="8" t="s">
        <v>59</v>
      </c>
      <c r="C356" s="8" t="s">
        <v>528</v>
      </c>
      <c r="D356" s="8" t="s">
        <v>570</v>
      </c>
      <c r="E356" s="8" t="s">
        <v>515</v>
      </c>
      <c r="F356" s="56" t="n">
        <v>25712</v>
      </c>
      <c r="G356" s="56" t="n">
        <v>9891.02</v>
      </c>
      <c r="H356" s="43" t="n">
        <v>0.5949</v>
      </c>
      <c r="I356" s="56" t="n">
        <v>500</v>
      </c>
      <c r="J356" s="8" t="s">
        <v>581</v>
      </c>
      <c r="K356" s="19" t="n">
        <f aca="false">IF(G356=0,"",F356/G356)</f>
        <v>2.59952967439152</v>
      </c>
      <c r="L356" s="27" t="n">
        <v>1.18</v>
      </c>
      <c r="M356" s="56" t="n">
        <v>2490.84</v>
      </c>
      <c r="N356" s="8" t="s">
        <v>549</v>
      </c>
    </row>
    <row r="357" customFormat="false" ht="15" hidden="false" customHeight="false" outlineLevel="0" collapsed="false">
      <c r="A357" s="8" t="s">
        <v>87</v>
      </c>
      <c r="B357" s="8" t="s">
        <v>59</v>
      </c>
      <c r="C357" s="8" t="s">
        <v>531</v>
      </c>
      <c r="D357" s="8" t="s">
        <v>571</v>
      </c>
      <c r="E357" s="8" t="s">
        <v>513</v>
      </c>
      <c r="F357" s="56" t="n">
        <v>13725.07</v>
      </c>
      <c r="G357" s="56" t="n">
        <v>10503.63</v>
      </c>
      <c r="H357" s="43" t="n">
        <v>0.6354</v>
      </c>
      <c r="I357" s="56" t="n">
        <v>2400</v>
      </c>
      <c r="J357" s="8" t="s">
        <v>581</v>
      </c>
      <c r="K357" s="19" t="n">
        <f aca="false">IF(G357=0,"",F357/G357)</f>
        <v>1.30669777971996</v>
      </c>
      <c r="L357" s="27" t="n">
        <v>1.128</v>
      </c>
      <c r="M357" s="56" t="n">
        <v>5700</v>
      </c>
      <c r="N357" s="8" t="s">
        <v>549</v>
      </c>
    </row>
    <row r="358" customFormat="false" ht="15" hidden="false" customHeight="false" outlineLevel="0" collapsed="false">
      <c r="A358" s="8" t="s">
        <v>87</v>
      </c>
      <c r="B358" s="8" t="s">
        <v>59</v>
      </c>
      <c r="C358" s="8" t="s">
        <v>531</v>
      </c>
      <c r="D358" s="8" t="s">
        <v>571</v>
      </c>
      <c r="E358" s="8" t="s">
        <v>515</v>
      </c>
      <c r="F358" s="56" t="n">
        <v>14452.18</v>
      </c>
      <c r="G358" s="56" t="n">
        <v>7422.1</v>
      </c>
      <c r="H358" s="43" t="n">
        <v>0.4703</v>
      </c>
      <c r="I358" s="56" t="n">
        <v>500</v>
      </c>
      <c r="J358" s="8" t="s">
        <v>581</v>
      </c>
      <c r="K358" s="19" t="n">
        <f aca="false">IF(G358=0,"",F358/G358)</f>
        <v>1.94718206437531</v>
      </c>
      <c r="L358" s="27" t="n">
        <v>1.154</v>
      </c>
      <c r="M358" s="56" t="n">
        <v>2000</v>
      </c>
      <c r="N358" s="8" t="s">
        <v>549</v>
      </c>
    </row>
    <row r="359" customFormat="false" ht="15" hidden="false" customHeight="false" outlineLevel="0" collapsed="false">
      <c r="A359" s="51" t="s">
        <v>87</v>
      </c>
      <c r="B359" s="51" t="s">
        <v>59</v>
      </c>
      <c r="C359" s="51" t="s">
        <v>532</v>
      </c>
      <c r="D359" s="51" t="s">
        <v>573</v>
      </c>
      <c r="E359" s="51" t="s">
        <v>513</v>
      </c>
      <c r="F359" s="52" t="n">
        <v>-30144.46</v>
      </c>
      <c r="G359" s="52" t="n">
        <v>52049.47</v>
      </c>
      <c r="H359" s="53" t="n">
        <v>1.6314</v>
      </c>
      <c r="I359" s="52" t="n">
        <v>26050</v>
      </c>
      <c r="J359" s="51" t="s">
        <v>668</v>
      </c>
      <c r="K359" s="54" t="n">
        <f aca="false">IF(G359=0,"",F359/G359)</f>
        <v>-0.579150181548438</v>
      </c>
      <c r="L359" s="55" t="n">
        <v>0.649</v>
      </c>
      <c r="M359" s="52" t="n">
        <v>39250</v>
      </c>
      <c r="N359" s="51" t="s">
        <v>549</v>
      </c>
    </row>
    <row r="360" customFormat="false" ht="15" hidden="false" customHeight="false" outlineLevel="0" collapsed="false">
      <c r="A360" s="8" t="s">
        <v>87</v>
      </c>
      <c r="B360" s="8" t="s">
        <v>59</v>
      </c>
      <c r="C360" s="8" t="s">
        <v>532</v>
      </c>
      <c r="D360" s="8" t="s">
        <v>573</v>
      </c>
      <c r="E360" s="8" t="s">
        <v>515</v>
      </c>
      <c r="F360" s="56" t="n">
        <v>20938.18</v>
      </c>
      <c r="G360" s="56" t="n">
        <v>9113.51</v>
      </c>
      <c r="H360" s="43" t="n">
        <v>0.5041</v>
      </c>
      <c r="I360" s="56" t="n">
        <v>500</v>
      </c>
      <c r="J360" s="8" t="s">
        <v>581</v>
      </c>
      <c r="K360" s="19" t="n">
        <f aca="false">IF(G360=0,"",F360/G360)</f>
        <v>2.2974880150458</v>
      </c>
      <c r="L360" s="27" t="n">
        <v>1.2</v>
      </c>
      <c r="M360" s="56" t="n">
        <v>2500</v>
      </c>
      <c r="N360" s="8" t="s">
        <v>549</v>
      </c>
    </row>
    <row r="361" customFormat="false" ht="15" hidden="false" customHeight="false" outlineLevel="0" collapsed="false">
      <c r="A361" s="8" t="s">
        <v>87</v>
      </c>
      <c r="B361" s="8" t="s">
        <v>59</v>
      </c>
      <c r="C361" s="8" t="s">
        <v>518</v>
      </c>
      <c r="D361" s="8" t="s">
        <v>574</v>
      </c>
      <c r="E361" s="8" t="s">
        <v>513</v>
      </c>
      <c r="F361" s="56" t="n">
        <v>8471.09</v>
      </c>
      <c r="G361" s="56" t="n">
        <v>2743.83</v>
      </c>
      <c r="H361" s="43" t="n">
        <v>0.2077</v>
      </c>
      <c r="I361" s="56" t="n">
        <v>200</v>
      </c>
      <c r="J361" s="8" t="s">
        <v>581</v>
      </c>
      <c r="K361" s="19" t="n">
        <f aca="false">IF(G361=0,"",F361/G361)</f>
        <v>3.08732319422122</v>
      </c>
      <c r="L361" s="27" t="n">
        <v>1.233</v>
      </c>
      <c r="M361" s="56" t="n">
        <v>400</v>
      </c>
      <c r="N361" s="8" t="n">
        <v>5</v>
      </c>
    </row>
    <row r="362" customFormat="false" ht="15" hidden="false" customHeight="false" outlineLevel="0" collapsed="false">
      <c r="A362" s="8" t="s">
        <v>87</v>
      </c>
      <c r="B362" s="8" t="s">
        <v>59</v>
      </c>
      <c r="C362" s="8" t="s">
        <v>518</v>
      </c>
      <c r="D362" s="8" t="s">
        <v>574</v>
      </c>
      <c r="E362" s="8" t="s">
        <v>515</v>
      </c>
      <c r="F362" s="56" t="n">
        <v>8471.09</v>
      </c>
      <c r="G362" s="56" t="n">
        <v>2743.83</v>
      </c>
      <c r="H362" s="43" t="n">
        <v>0.2077</v>
      </c>
      <c r="I362" s="56" t="n">
        <v>200</v>
      </c>
      <c r="J362" s="8" t="s">
        <v>581</v>
      </c>
      <c r="K362" s="19" t="n">
        <f aca="false">IF(G362=0,"",F362/G362)</f>
        <v>3.08732319422122</v>
      </c>
      <c r="L362" s="27" t="n">
        <v>1.233</v>
      </c>
      <c r="M362" s="56" t="n">
        <v>400</v>
      </c>
      <c r="N362" s="8" t="n">
        <v>5</v>
      </c>
    </row>
    <row r="363" customFormat="false" ht="15" hidden="false" customHeight="false" outlineLevel="0" collapsed="false">
      <c r="A363" s="51" t="s">
        <v>87</v>
      </c>
      <c r="B363" s="51" t="s">
        <v>59</v>
      </c>
      <c r="C363" s="51" t="s">
        <v>522</v>
      </c>
      <c r="D363" s="51" t="s">
        <v>576</v>
      </c>
      <c r="E363" s="51" t="s">
        <v>513</v>
      </c>
      <c r="F363" s="52" t="n">
        <v>-11240.09</v>
      </c>
      <c r="G363" s="52" t="n">
        <v>114326.99</v>
      </c>
      <c r="H363" s="53" t="n">
        <v>1.011</v>
      </c>
      <c r="I363" s="52" t="n">
        <v>6600</v>
      </c>
      <c r="J363" s="51" t="s">
        <v>666</v>
      </c>
      <c r="K363" s="54" t="n">
        <f aca="false">IF(G363=0,"",F363/G363)</f>
        <v>-0.0983152797077925</v>
      </c>
      <c r="L363" s="55" t="n">
        <v>0.98</v>
      </c>
      <c r="M363" s="52" t="n">
        <v>32500</v>
      </c>
      <c r="N363" s="51" t="s">
        <v>549</v>
      </c>
    </row>
    <row r="364" customFormat="false" ht="15" hidden="false" customHeight="false" outlineLevel="0" collapsed="false">
      <c r="A364" s="8" t="s">
        <v>87</v>
      </c>
      <c r="B364" s="8" t="s">
        <v>59</v>
      </c>
      <c r="C364" s="8" t="s">
        <v>522</v>
      </c>
      <c r="D364" s="8" t="s">
        <v>576</v>
      </c>
      <c r="E364" s="8" t="s">
        <v>515</v>
      </c>
      <c r="F364" s="56" t="n">
        <v>36289.81</v>
      </c>
      <c r="G364" s="56" t="n">
        <v>10502.16</v>
      </c>
      <c r="H364" s="43" t="n">
        <v>0.4223</v>
      </c>
      <c r="I364" s="56" t="n">
        <v>500</v>
      </c>
      <c r="J364" s="8" t="s">
        <v>581</v>
      </c>
      <c r="K364" s="19" t="n">
        <f aca="false">IF(G364=0,"",F364/G364)</f>
        <v>3.45546154314922</v>
      </c>
      <c r="L364" s="27" t="n">
        <v>1.191</v>
      </c>
      <c r="M364" s="56" t="n">
        <v>2500</v>
      </c>
      <c r="N364" s="8" t="s">
        <v>549</v>
      </c>
    </row>
    <row r="365" customFormat="false" ht="15" hidden="false" customHeight="false" outlineLevel="0" collapsed="false">
      <c r="A365" s="8" t="s">
        <v>87</v>
      </c>
      <c r="B365" s="8" t="s">
        <v>59</v>
      </c>
      <c r="C365" s="8" t="s">
        <v>525</v>
      </c>
      <c r="D365" s="8" t="s">
        <v>578</v>
      </c>
      <c r="E365" s="8" t="s">
        <v>513</v>
      </c>
      <c r="F365" s="56" t="n">
        <v>8408.94</v>
      </c>
      <c r="G365" s="56" t="n">
        <v>6346.96</v>
      </c>
      <c r="H365" s="43" t="n">
        <v>0.4886</v>
      </c>
      <c r="I365" s="56" t="n">
        <v>2165.65</v>
      </c>
      <c r="J365" s="8" t="s">
        <v>581</v>
      </c>
      <c r="K365" s="19" t="n">
        <f aca="false">IF(G365=0,"",F365/G365)</f>
        <v>1.3248767914088</v>
      </c>
      <c r="L365" s="27" t="n">
        <v>1.202</v>
      </c>
      <c r="M365" s="56" t="n">
        <v>4440.56</v>
      </c>
      <c r="N365" s="8" t="s">
        <v>549</v>
      </c>
    </row>
    <row r="366" customFormat="false" ht="15" hidden="false" customHeight="false" outlineLevel="0" collapsed="false">
      <c r="A366" s="8" t="s">
        <v>87</v>
      </c>
      <c r="B366" s="8" t="s">
        <v>59</v>
      </c>
      <c r="C366" s="8" t="s">
        <v>525</v>
      </c>
      <c r="D366" s="8" t="s">
        <v>578</v>
      </c>
      <c r="E366" s="8" t="s">
        <v>515</v>
      </c>
      <c r="F366" s="56" t="n">
        <v>8078.53</v>
      </c>
      <c r="G366" s="56" t="n">
        <v>5041.49</v>
      </c>
      <c r="H366" s="43" t="n">
        <v>0.3881</v>
      </c>
      <c r="I366" s="56" t="n">
        <v>500</v>
      </c>
      <c r="J366" s="8" t="s">
        <v>581</v>
      </c>
      <c r="K366" s="19" t="n">
        <f aca="false">IF(G366=0,"",F366/G366)</f>
        <v>1.60240920838879</v>
      </c>
      <c r="L366" s="27" t="n">
        <v>1.184</v>
      </c>
      <c r="M366" s="56" t="n">
        <v>2000</v>
      </c>
      <c r="N366" s="8" t="n">
        <v>7</v>
      </c>
    </row>
    <row r="367" customFormat="false" ht="15" hidden="false" customHeight="false" outlineLevel="0" collapsed="false">
      <c r="A367" s="8" t="s">
        <v>87</v>
      </c>
      <c r="B367" s="8" t="s">
        <v>59</v>
      </c>
      <c r="C367" s="8" t="s">
        <v>516</v>
      </c>
      <c r="D367" s="8" t="s">
        <v>580</v>
      </c>
      <c r="E367" s="8" t="s">
        <v>513</v>
      </c>
      <c r="F367" s="56" t="n">
        <v>10183.21</v>
      </c>
      <c r="G367" s="56" t="n">
        <v>2607.08</v>
      </c>
      <c r="H367" s="43" t="n">
        <v>0.193</v>
      </c>
      <c r="I367" s="56" t="n">
        <v>208.36</v>
      </c>
      <c r="J367" s="8" t="s">
        <v>581</v>
      </c>
      <c r="K367" s="19" t="n">
        <f aca="false">IF(G367=0,"",F367/G367)</f>
        <v>3.90598293876674</v>
      </c>
      <c r="L367" s="27" t="n">
        <v>1.18</v>
      </c>
      <c r="M367" s="56" t="n">
        <v>916.82</v>
      </c>
      <c r="N367" s="8" t="n">
        <v>3</v>
      </c>
    </row>
    <row r="368" customFormat="false" ht="15" hidden="false" customHeight="false" outlineLevel="0" collapsed="false">
      <c r="A368" s="8" t="s">
        <v>87</v>
      </c>
      <c r="B368" s="8" t="s">
        <v>59</v>
      </c>
      <c r="C368" s="8" t="s">
        <v>516</v>
      </c>
      <c r="D368" s="8" t="s">
        <v>580</v>
      </c>
      <c r="E368" s="8" t="s">
        <v>515</v>
      </c>
      <c r="F368" s="56" t="n">
        <v>10183.21</v>
      </c>
      <c r="G368" s="56" t="n">
        <v>2607.08</v>
      </c>
      <c r="H368" s="43" t="n">
        <v>0.193</v>
      </c>
      <c r="I368" s="56" t="n">
        <v>208.36</v>
      </c>
      <c r="J368" s="8" t="s">
        <v>581</v>
      </c>
      <c r="K368" s="19" t="n">
        <f aca="false">IF(G368=0,"",F368/G368)</f>
        <v>3.90598293876674</v>
      </c>
      <c r="L368" s="27" t="n">
        <v>1.18</v>
      </c>
      <c r="M368" s="56" t="n">
        <v>916.82</v>
      </c>
      <c r="N368" s="8" t="n">
        <v>3</v>
      </c>
    </row>
    <row r="369" customFormat="false" ht="15" hidden="false" customHeight="false" outlineLevel="0" collapsed="false">
      <c r="A369" s="8" t="s">
        <v>87</v>
      </c>
      <c r="B369" s="8" t="s">
        <v>59</v>
      </c>
      <c r="C369" s="8" t="s">
        <v>521</v>
      </c>
      <c r="D369" s="8" t="s">
        <v>582</v>
      </c>
      <c r="E369" s="8" t="s">
        <v>513</v>
      </c>
      <c r="F369" s="56" t="n">
        <v>13345.26</v>
      </c>
      <c r="G369" s="56" t="n">
        <v>3001.19</v>
      </c>
      <c r="H369" s="43" t="n">
        <v>0.251</v>
      </c>
      <c r="I369" s="56" t="n">
        <v>750</v>
      </c>
      <c r="J369" s="8" t="s">
        <v>581</v>
      </c>
      <c r="K369" s="19" t="n">
        <f aca="false">IF(G369=0,"",F369/G369)</f>
        <v>4.44665615972331</v>
      </c>
      <c r="L369" s="27" t="n">
        <v>1.311</v>
      </c>
      <c r="M369" s="56" t="n">
        <v>1600</v>
      </c>
      <c r="N369" s="8" t="s">
        <v>549</v>
      </c>
    </row>
    <row r="370" customFormat="false" ht="15" hidden="false" customHeight="false" outlineLevel="0" collapsed="false">
      <c r="A370" s="48" t="s">
        <v>87</v>
      </c>
      <c r="B370" s="48" t="s">
        <v>59</v>
      </c>
      <c r="C370" s="48" t="s">
        <v>521</v>
      </c>
      <c r="D370" s="48" t="s">
        <v>582</v>
      </c>
      <c r="E370" s="48" t="s">
        <v>515</v>
      </c>
      <c r="F370" s="57" t="n">
        <v>13206.62</v>
      </c>
      <c r="G370" s="57" t="n">
        <v>3001.19</v>
      </c>
      <c r="H370" s="58" t="n">
        <v>0.2463</v>
      </c>
      <c r="I370" s="57" t="n">
        <v>500</v>
      </c>
      <c r="J370" s="48" t="s">
        <v>581</v>
      </c>
      <c r="K370" s="59" t="n">
        <f aca="false">IF(G370=0,"",F370/G370)</f>
        <v>4.40046115041034</v>
      </c>
      <c r="L370" s="50" t="n">
        <v>1.3</v>
      </c>
      <c r="M370" s="57" t="n">
        <v>1600</v>
      </c>
      <c r="N370" s="48" t="n">
        <v>1</v>
      </c>
    </row>
    <row r="372" customFormat="false" ht="15" hidden="false" customHeight="false" outlineLevel="0" collapsed="false">
      <c r="A372" s="8" t="s">
        <v>109</v>
      </c>
      <c r="B372" s="8" t="s">
        <v>148</v>
      </c>
      <c r="C372" s="8" t="s">
        <v>47</v>
      </c>
      <c r="D372" s="8" t="s">
        <v>547</v>
      </c>
      <c r="E372" s="8" t="s">
        <v>513</v>
      </c>
      <c r="F372" s="56" t="n">
        <v>-1870.51</v>
      </c>
      <c r="G372" s="56" t="n">
        <v>3678.35</v>
      </c>
      <c r="H372" s="43" t="n">
        <v>0.3593</v>
      </c>
      <c r="I372" s="56" t="n">
        <v>50</v>
      </c>
      <c r="J372" s="8" t="s">
        <v>581</v>
      </c>
      <c r="K372" s="19" t="n">
        <f aca="false">IF(G372=0,"",F372/G372)</f>
        <v>-0.508518765207226</v>
      </c>
      <c r="L372" s="27" t="n">
        <v>0.937</v>
      </c>
      <c r="M372" s="56" t="n">
        <v>750</v>
      </c>
      <c r="N372" s="8" t="s">
        <v>549</v>
      </c>
    </row>
    <row r="373" customFormat="false" ht="15" hidden="false" customHeight="false" outlineLevel="0" collapsed="false">
      <c r="A373" s="8" t="s">
        <v>109</v>
      </c>
      <c r="B373" s="8" t="s">
        <v>148</v>
      </c>
      <c r="C373" s="8" t="s">
        <v>47</v>
      </c>
      <c r="D373" s="8" t="s">
        <v>547</v>
      </c>
      <c r="E373" s="8" t="s">
        <v>515</v>
      </c>
      <c r="F373" s="56" t="n">
        <v>-1870.51</v>
      </c>
      <c r="G373" s="56" t="n">
        <v>3678.35</v>
      </c>
      <c r="H373" s="43" t="n">
        <v>0.3593</v>
      </c>
      <c r="I373" s="56" t="n">
        <v>50</v>
      </c>
      <c r="J373" s="8" t="s">
        <v>581</v>
      </c>
      <c r="K373" s="19" t="n">
        <f aca="false">IF(G373=0,"",F373/G373)</f>
        <v>-0.508518765207226</v>
      </c>
      <c r="L373" s="27" t="n">
        <v>0.937</v>
      </c>
      <c r="M373" s="56" t="n">
        <v>750</v>
      </c>
      <c r="N373" s="8" t="s">
        <v>549</v>
      </c>
    </row>
    <row r="374" customFormat="false" ht="15" hidden="false" customHeight="false" outlineLevel="0" collapsed="false">
      <c r="A374" s="51" t="s">
        <v>109</v>
      </c>
      <c r="B374" s="51" t="s">
        <v>148</v>
      </c>
      <c r="C374" s="51" t="s">
        <v>535</v>
      </c>
      <c r="D374" s="51" t="s">
        <v>550</v>
      </c>
      <c r="E374" s="51" t="s">
        <v>513</v>
      </c>
      <c r="F374" s="52" t="n">
        <v>-18566.94</v>
      </c>
      <c r="G374" s="52" t="n">
        <v>25550</v>
      </c>
      <c r="H374" s="53" t="n">
        <v>1.5044</v>
      </c>
      <c r="I374" s="52" t="n">
        <v>12800</v>
      </c>
      <c r="J374" s="51" t="s">
        <v>669</v>
      </c>
      <c r="K374" s="54" t="n">
        <f aca="false">IF(G374=0,"",F374/G374)</f>
        <v>-0.726690410958904</v>
      </c>
      <c r="L374" s="55" t="n">
        <v>0.408</v>
      </c>
      <c r="M374" s="52" t="n">
        <v>25550</v>
      </c>
      <c r="N374" s="51" t="s">
        <v>549</v>
      </c>
    </row>
    <row r="375" customFormat="false" ht="15" hidden="false" customHeight="false" outlineLevel="0" collapsed="false">
      <c r="A375" s="51" t="s">
        <v>109</v>
      </c>
      <c r="B375" s="51" t="s">
        <v>148</v>
      </c>
      <c r="C375" s="51" t="s">
        <v>535</v>
      </c>
      <c r="D375" s="51" t="s">
        <v>550</v>
      </c>
      <c r="E375" s="51" t="s">
        <v>515</v>
      </c>
      <c r="F375" s="52" t="n">
        <v>-10196.87</v>
      </c>
      <c r="G375" s="52" t="n">
        <v>12158.29</v>
      </c>
      <c r="H375" s="53" t="n">
        <v>1.0165</v>
      </c>
      <c r="I375" s="52" t="n">
        <v>500</v>
      </c>
      <c r="J375" s="51" t="s">
        <v>670</v>
      </c>
      <c r="K375" s="54" t="n">
        <f aca="false">IF(G375=0,"",F375/G375)</f>
        <v>-0.838676327016381</v>
      </c>
      <c r="L375" s="55" t="n">
        <v>0.624</v>
      </c>
      <c r="M375" s="52" t="n">
        <v>7500</v>
      </c>
      <c r="N375" s="51" t="s">
        <v>549</v>
      </c>
    </row>
    <row r="376" customFormat="false" ht="15" hidden="false" customHeight="false" outlineLevel="0" collapsed="false">
      <c r="A376" s="51" t="s">
        <v>109</v>
      </c>
      <c r="B376" s="51" t="s">
        <v>148</v>
      </c>
      <c r="C376" s="51" t="s">
        <v>527</v>
      </c>
      <c r="D376" s="51" t="s">
        <v>553</v>
      </c>
      <c r="E376" s="51" t="s">
        <v>513</v>
      </c>
      <c r="F376" s="52" t="n">
        <v>-12121.25</v>
      </c>
      <c r="G376" s="52" t="n">
        <v>13085.12</v>
      </c>
      <c r="H376" s="53" t="n">
        <v>1.1935</v>
      </c>
      <c r="I376" s="52" t="n">
        <v>3308.78</v>
      </c>
      <c r="J376" s="51" t="s">
        <v>605</v>
      </c>
      <c r="K376" s="54" t="n">
        <f aca="false">IF(G376=0,"",F376/G376)</f>
        <v>-0.926338466899807</v>
      </c>
      <c r="L376" s="55" t="n">
        <v>0.327</v>
      </c>
      <c r="M376" s="52" t="n">
        <v>12999.3</v>
      </c>
      <c r="N376" s="51" t="s">
        <v>549</v>
      </c>
    </row>
    <row r="377" customFormat="false" ht="15" hidden="false" customHeight="false" outlineLevel="0" collapsed="false">
      <c r="A377" s="51" t="s">
        <v>109</v>
      </c>
      <c r="B377" s="51" t="s">
        <v>148</v>
      </c>
      <c r="C377" s="51" t="s">
        <v>527</v>
      </c>
      <c r="D377" s="51" t="s">
        <v>553</v>
      </c>
      <c r="E377" s="51" t="s">
        <v>515</v>
      </c>
      <c r="F377" s="52" t="n">
        <v>-10296.47</v>
      </c>
      <c r="G377" s="52" t="n">
        <v>11260.33</v>
      </c>
      <c r="H377" s="53" t="n">
        <v>1.027</v>
      </c>
      <c r="I377" s="52" t="n">
        <v>500</v>
      </c>
      <c r="J377" s="51" t="s">
        <v>601</v>
      </c>
      <c r="K377" s="54" t="n">
        <f aca="false">IF(G377=0,"",F377/G377)</f>
        <v>-0.914402153400478</v>
      </c>
      <c r="L377" s="55" t="n">
        <v>0.505</v>
      </c>
      <c r="M377" s="52" t="n">
        <v>6500</v>
      </c>
      <c r="N377" s="51" t="s">
        <v>549</v>
      </c>
    </row>
    <row r="378" customFormat="false" ht="15" hidden="false" customHeight="false" outlineLevel="0" collapsed="false">
      <c r="A378" s="51" t="s">
        <v>109</v>
      </c>
      <c r="B378" s="51" t="s">
        <v>148</v>
      </c>
      <c r="C378" s="51" t="s">
        <v>529</v>
      </c>
      <c r="D378" s="51" t="s">
        <v>556</v>
      </c>
      <c r="E378" s="51" t="s">
        <v>513</v>
      </c>
      <c r="F378" s="52" t="n">
        <v>-11168.02</v>
      </c>
      <c r="G378" s="52" t="n">
        <v>12874.63</v>
      </c>
      <c r="H378" s="53" t="n">
        <v>1.0998</v>
      </c>
      <c r="I378" s="52" t="n">
        <v>4324.88</v>
      </c>
      <c r="J378" s="51" t="s">
        <v>584</v>
      </c>
      <c r="K378" s="54" t="n">
        <f aca="false">IF(G378=0,"",F378/G378)</f>
        <v>-0.867443957612763</v>
      </c>
      <c r="L378" s="55" t="n">
        <v>0.479</v>
      </c>
      <c r="M378" s="52" t="n">
        <v>12874.63</v>
      </c>
      <c r="N378" s="51" t="s">
        <v>549</v>
      </c>
    </row>
    <row r="379" customFormat="false" ht="15" hidden="false" customHeight="false" outlineLevel="0" collapsed="false">
      <c r="A379" s="51" t="s">
        <v>109</v>
      </c>
      <c r="B379" s="51" t="s">
        <v>148</v>
      </c>
      <c r="C379" s="51" t="s">
        <v>529</v>
      </c>
      <c r="D379" s="51" t="s">
        <v>556</v>
      </c>
      <c r="E379" s="51" t="s">
        <v>515</v>
      </c>
      <c r="F379" s="52" t="n">
        <v>-10468.4</v>
      </c>
      <c r="G379" s="52" t="n">
        <v>11947.35</v>
      </c>
      <c r="H379" s="53" t="n">
        <v>1.0408</v>
      </c>
      <c r="I379" s="52" t="n">
        <v>500</v>
      </c>
      <c r="J379" s="51" t="s">
        <v>671</v>
      </c>
      <c r="K379" s="54" t="n">
        <f aca="false">IF(G379=0,"",F379/G379)</f>
        <v>-0.876211042616145</v>
      </c>
      <c r="L379" s="55" t="n">
        <v>0.531</v>
      </c>
      <c r="M379" s="52" t="n">
        <v>7500</v>
      </c>
      <c r="N379" s="51" t="s">
        <v>549</v>
      </c>
    </row>
    <row r="380" customFormat="false" ht="15" hidden="false" customHeight="false" outlineLevel="0" collapsed="false">
      <c r="A380" s="51" t="s">
        <v>109</v>
      </c>
      <c r="B380" s="51" t="s">
        <v>148</v>
      </c>
      <c r="C380" s="51" t="s">
        <v>534</v>
      </c>
      <c r="D380" s="51" t="s">
        <v>559</v>
      </c>
      <c r="E380" s="51" t="s">
        <v>513</v>
      </c>
      <c r="F380" s="52" t="n">
        <v>-18566.94</v>
      </c>
      <c r="G380" s="52" t="n">
        <v>25550</v>
      </c>
      <c r="H380" s="53" t="n">
        <v>1.5044</v>
      </c>
      <c r="I380" s="52" t="n">
        <v>12800</v>
      </c>
      <c r="J380" s="51" t="s">
        <v>669</v>
      </c>
      <c r="K380" s="54" t="n">
        <f aca="false">IF(G380=0,"",F380/G380)</f>
        <v>-0.726690410958904</v>
      </c>
      <c r="L380" s="55" t="n">
        <v>0.408</v>
      </c>
      <c r="M380" s="52" t="n">
        <v>25550</v>
      </c>
      <c r="N380" s="51" t="s">
        <v>549</v>
      </c>
    </row>
    <row r="381" customFormat="false" ht="15" hidden="false" customHeight="false" outlineLevel="0" collapsed="false">
      <c r="A381" s="51" t="s">
        <v>109</v>
      </c>
      <c r="B381" s="51" t="s">
        <v>148</v>
      </c>
      <c r="C381" s="51" t="s">
        <v>534</v>
      </c>
      <c r="D381" s="51" t="s">
        <v>559</v>
      </c>
      <c r="E381" s="51" t="s">
        <v>515</v>
      </c>
      <c r="F381" s="52" t="n">
        <v>-10420.03</v>
      </c>
      <c r="G381" s="52" t="n">
        <v>12658.29</v>
      </c>
      <c r="H381" s="53" t="n">
        <v>1.0343</v>
      </c>
      <c r="I381" s="52" t="n">
        <v>500</v>
      </c>
      <c r="J381" s="51" t="s">
        <v>671</v>
      </c>
      <c r="K381" s="54" t="n">
        <f aca="false">IF(G381=0,"",F381/G381)</f>
        <v>-0.823178328194409</v>
      </c>
      <c r="L381" s="55" t="n">
        <v>0.627</v>
      </c>
      <c r="M381" s="52" t="n">
        <v>7500</v>
      </c>
      <c r="N381" s="51" t="s">
        <v>549</v>
      </c>
    </row>
    <row r="382" customFormat="false" ht="15" hidden="false" customHeight="false" outlineLevel="0" collapsed="false">
      <c r="A382" s="51" t="s">
        <v>109</v>
      </c>
      <c r="B382" s="51" t="s">
        <v>148</v>
      </c>
      <c r="C382" s="51" t="s">
        <v>530</v>
      </c>
      <c r="D382" s="51" t="s">
        <v>560</v>
      </c>
      <c r="E382" s="51" t="s">
        <v>513</v>
      </c>
      <c r="F382" s="52" t="n">
        <v>-11168.02</v>
      </c>
      <c r="G382" s="52" t="n">
        <v>12874.63</v>
      </c>
      <c r="H382" s="53" t="n">
        <v>1.0998</v>
      </c>
      <c r="I382" s="52" t="n">
        <v>4324.88</v>
      </c>
      <c r="J382" s="51" t="s">
        <v>584</v>
      </c>
      <c r="K382" s="54" t="n">
        <f aca="false">IF(G382=0,"",F382/G382)</f>
        <v>-0.867443957612763</v>
      </c>
      <c r="L382" s="55" t="n">
        <v>0.479</v>
      </c>
      <c r="M382" s="52" t="n">
        <v>12874.63</v>
      </c>
      <c r="N382" s="51" t="s">
        <v>549</v>
      </c>
    </row>
    <row r="383" customFormat="false" ht="15" hidden="false" customHeight="false" outlineLevel="0" collapsed="false">
      <c r="A383" s="51" t="s">
        <v>109</v>
      </c>
      <c r="B383" s="51" t="s">
        <v>148</v>
      </c>
      <c r="C383" s="51" t="s">
        <v>530</v>
      </c>
      <c r="D383" s="51" t="s">
        <v>560</v>
      </c>
      <c r="E383" s="51" t="s">
        <v>515</v>
      </c>
      <c r="F383" s="52" t="n">
        <v>-10468.4</v>
      </c>
      <c r="G383" s="52" t="n">
        <v>11947.35</v>
      </c>
      <c r="H383" s="53" t="n">
        <v>1.0408</v>
      </c>
      <c r="I383" s="52" t="n">
        <v>500</v>
      </c>
      <c r="J383" s="51" t="s">
        <v>671</v>
      </c>
      <c r="K383" s="54" t="n">
        <f aca="false">IF(G383=0,"",F383/G383)</f>
        <v>-0.876211042616145</v>
      </c>
      <c r="L383" s="55" t="n">
        <v>0.531</v>
      </c>
      <c r="M383" s="52" t="n">
        <v>7500</v>
      </c>
      <c r="N383" s="51" t="s">
        <v>549</v>
      </c>
    </row>
    <row r="384" customFormat="false" ht="15" hidden="false" customHeight="false" outlineLevel="0" collapsed="false">
      <c r="A384" s="51" t="s">
        <v>109</v>
      </c>
      <c r="B384" s="51" t="s">
        <v>148</v>
      </c>
      <c r="C384" s="51" t="s">
        <v>524</v>
      </c>
      <c r="D384" s="51" t="s">
        <v>561</v>
      </c>
      <c r="E384" s="51" t="s">
        <v>513</v>
      </c>
      <c r="F384" s="52" t="n">
        <v>-10296.93</v>
      </c>
      <c r="G384" s="52" t="n">
        <v>11509.14</v>
      </c>
      <c r="H384" s="53" t="n">
        <v>1.0265</v>
      </c>
      <c r="I384" s="52" t="n">
        <v>1000</v>
      </c>
      <c r="J384" s="51" t="s">
        <v>672</v>
      </c>
      <c r="K384" s="54" t="n">
        <f aca="false">IF(G384=0,"",F384/G384)</f>
        <v>-0.894674145939662</v>
      </c>
      <c r="L384" s="55" t="n">
        <v>0.566</v>
      </c>
      <c r="M384" s="52" t="n">
        <v>7875</v>
      </c>
      <c r="N384" s="51" t="s">
        <v>549</v>
      </c>
    </row>
    <row r="385" customFormat="false" ht="15" hidden="false" customHeight="false" outlineLevel="0" collapsed="false">
      <c r="A385" s="51" t="s">
        <v>109</v>
      </c>
      <c r="B385" s="51" t="s">
        <v>148</v>
      </c>
      <c r="C385" s="51" t="s">
        <v>524</v>
      </c>
      <c r="D385" s="51" t="s">
        <v>561</v>
      </c>
      <c r="E385" s="51" t="s">
        <v>515</v>
      </c>
      <c r="F385" s="52" t="n">
        <v>-10463.93</v>
      </c>
      <c r="G385" s="52" t="n">
        <v>11676.14</v>
      </c>
      <c r="H385" s="53" t="n">
        <v>1.0414</v>
      </c>
      <c r="I385" s="52" t="n">
        <v>500</v>
      </c>
      <c r="J385" s="51" t="s">
        <v>673</v>
      </c>
      <c r="K385" s="54" t="n">
        <f aca="false">IF(G385=0,"",F385/G385)</f>
        <v>-0.896180587077579</v>
      </c>
      <c r="L385" s="55" t="n">
        <v>0.513</v>
      </c>
      <c r="M385" s="52" t="n">
        <v>6975</v>
      </c>
      <c r="N385" s="51" t="s">
        <v>549</v>
      </c>
    </row>
    <row r="386" customFormat="false" ht="15" hidden="false" customHeight="false" outlineLevel="0" collapsed="false">
      <c r="A386" s="51" t="s">
        <v>109</v>
      </c>
      <c r="B386" s="51" t="s">
        <v>148</v>
      </c>
      <c r="C386" s="51" t="s">
        <v>533</v>
      </c>
      <c r="D386" s="51" t="s">
        <v>563</v>
      </c>
      <c r="E386" s="51" t="s">
        <v>513</v>
      </c>
      <c r="F386" s="52" t="n">
        <v>-15753.74</v>
      </c>
      <c r="G386" s="52" t="n">
        <v>18800</v>
      </c>
      <c r="H386" s="53" t="n">
        <v>1.441</v>
      </c>
      <c r="I386" s="52" t="n">
        <v>7200</v>
      </c>
      <c r="J386" s="51" t="s">
        <v>584</v>
      </c>
      <c r="K386" s="54" t="n">
        <f aca="false">IF(G386=0,"",F386/G386)</f>
        <v>-0.837964893617021</v>
      </c>
      <c r="L386" s="55" t="n">
        <v>0.448</v>
      </c>
      <c r="M386" s="52" t="n">
        <v>18800</v>
      </c>
      <c r="N386" s="51" t="s">
        <v>549</v>
      </c>
    </row>
    <row r="387" customFormat="false" ht="15" hidden="false" customHeight="false" outlineLevel="0" collapsed="false">
      <c r="A387" s="51" t="s">
        <v>109</v>
      </c>
      <c r="B387" s="51" t="s">
        <v>148</v>
      </c>
      <c r="C387" s="51" t="s">
        <v>533</v>
      </c>
      <c r="D387" s="51" t="s">
        <v>563</v>
      </c>
      <c r="E387" s="51" t="s">
        <v>515</v>
      </c>
      <c r="F387" s="52" t="n">
        <v>-10232.85</v>
      </c>
      <c r="G387" s="52" t="n">
        <v>11908.29</v>
      </c>
      <c r="H387" s="53" t="n">
        <v>1.0199</v>
      </c>
      <c r="I387" s="52" t="n">
        <v>500</v>
      </c>
      <c r="J387" s="51" t="s">
        <v>671</v>
      </c>
      <c r="K387" s="54" t="n">
        <f aca="false">IF(G387=0,"",F387/G387)</f>
        <v>-0.859304736448306</v>
      </c>
      <c r="L387" s="55" t="n">
        <v>0.544</v>
      </c>
      <c r="M387" s="52" t="n">
        <v>7500</v>
      </c>
      <c r="N387" s="51" t="s">
        <v>549</v>
      </c>
    </row>
    <row r="388" customFormat="false" ht="15" hidden="false" customHeight="false" outlineLevel="0" collapsed="false">
      <c r="A388" s="51" t="s">
        <v>109</v>
      </c>
      <c r="B388" s="51" t="s">
        <v>148</v>
      </c>
      <c r="C388" s="51" t="s">
        <v>523</v>
      </c>
      <c r="D388" s="51" t="s">
        <v>566</v>
      </c>
      <c r="E388" s="51" t="s">
        <v>513</v>
      </c>
      <c r="F388" s="52" t="n">
        <v>-10704.22</v>
      </c>
      <c r="G388" s="52" t="n">
        <v>15367.89</v>
      </c>
      <c r="H388" s="53" t="n">
        <v>1.048</v>
      </c>
      <c r="I388" s="52" t="n">
        <v>1500</v>
      </c>
      <c r="J388" s="51" t="s">
        <v>674</v>
      </c>
      <c r="K388" s="54" t="n">
        <f aca="false">IF(G388=0,"",F388/G388)</f>
        <v>-0.696531534257468</v>
      </c>
      <c r="L388" s="55" t="n">
        <v>0.693</v>
      </c>
      <c r="M388" s="52" t="n">
        <v>10600</v>
      </c>
      <c r="N388" s="51" t="s">
        <v>549</v>
      </c>
    </row>
    <row r="389" customFormat="false" ht="15" hidden="false" customHeight="false" outlineLevel="0" collapsed="false">
      <c r="A389" s="51" t="s">
        <v>109</v>
      </c>
      <c r="B389" s="51" t="s">
        <v>148</v>
      </c>
      <c r="C389" s="51" t="s">
        <v>523</v>
      </c>
      <c r="D389" s="51" t="s">
        <v>566</v>
      </c>
      <c r="E389" s="51" t="s">
        <v>515</v>
      </c>
      <c r="F389" s="52" t="n">
        <v>-10140.38</v>
      </c>
      <c r="G389" s="52" t="n">
        <v>12908.29</v>
      </c>
      <c r="H389" s="53" t="n">
        <v>1.011</v>
      </c>
      <c r="I389" s="52" t="n">
        <v>500</v>
      </c>
      <c r="J389" s="51" t="s">
        <v>675</v>
      </c>
      <c r="K389" s="54" t="n">
        <f aca="false">IF(G389=0,"",F389/G389)</f>
        <v>-0.785571132969588</v>
      </c>
      <c r="L389" s="55" t="n">
        <v>0.679</v>
      </c>
      <c r="M389" s="52" t="n">
        <v>7500</v>
      </c>
      <c r="N389" s="51" t="s">
        <v>549</v>
      </c>
    </row>
    <row r="390" customFormat="false" ht="15" hidden="false" customHeight="false" outlineLevel="0" collapsed="false">
      <c r="A390" s="51" t="s">
        <v>109</v>
      </c>
      <c r="B390" s="51" t="s">
        <v>148</v>
      </c>
      <c r="C390" s="51" t="s">
        <v>519</v>
      </c>
      <c r="D390" s="51" t="s">
        <v>567</v>
      </c>
      <c r="E390" s="51" t="s">
        <v>513</v>
      </c>
      <c r="F390" s="52" t="n">
        <v>-12787.78</v>
      </c>
      <c r="G390" s="52" t="n">
        <v>13242.39</v>
      </c>
      <c r="H390" s="53" t="n">
        <v>1.2667</v>
      </c>
      <c r="I390" s="52" t="n">
        <v>3310.6</v>
      </c>
      <c r="J390" s="51" t="s">
        <v>601</v>
      </c>
      <c r="K390" s="54" t="n">
        <f aca="false">IF(G390=0,"",F390/G390)</f>
        <v>-0.965670094295667</v>
      </c>
      <c r="L390" s="55" t="n">
        <v>0.481</v>
      </c>
      <c r="M390" s="52" t="n">
        <v>12927.78</v>
      </c>
      <c r="N390" s="51" t="s">
        <v>549</v>
      </c>
    </row>
    <row r="391" customFormat="false" ht="15" hidden="false" customHeight="false" outlineLevel="0" collapsed="false">
      <c r="A391" s="51" t="s">
        <v>109</v>
      </c>
      <c r="B391" s="51" t="s">
        <v>148</v>
      </c>
      <c r="C391" s="51" t="s">
        <v>519</v>
      </c>
      <c r="D391" s="51" t="s">
        <v>567</v>
      </c>
      <c r="E391" s="51" t="s">
        <v>515</v>
      </c>
      <c r="F391" s="52" t="n">
        <v>-10022.32</v>
      </c>
      <c r="G391" s="52" t="n">
        <v>10476.92</v>
      </c>
      <c r="H391" s="53" t="n">
        <v>1.0021</v>
      </c>
      <c r="I391" s="52" t="n">
        <v>500</v>
      </c>
      <c r="J391" s="51" t="s">
        <v>676</v>
      </c>
      <c r="K391" s="54" t="n">
        <f aca="false">IF(G391=0,"",F391/G391)</f>
        <v>-0.956609385200994</v>
      </c>
      <c r="L391" s="55" t="n">
        <v>0.555</v>
      </c>
      <c r="M391" s="52" t="n">
        <v>7000</v>
      </c>
      <c r="N391" s="51" t="s">
        <v>549</v>
      </c>
    </row>
    <row r="392" customFormat="false" ht="15" hidden="false" customHeight="false" outlineLevel="0" collapsed="false">
      <c r="A392" s="51" t="s">
        <v>109</v>
      </c>
      <c r="B392" s="51" t="s">
        <v>148</v>
      </c>
      <c r="C392" s="51" t="s">
        <v>528</v>
      </c>
      <c r="D392" s="51" t="s">
        <v>570</v>
      </c>
      <c r="E392" s="51" t="s">
        <v>513</v>
      </c>
      <c r="F392" s="52" t="n">
        <v>-11910.93</v>
      </c>
      <c r="G392" s="52" t="n">
        <v>12427.09</v>
      </c>
      <c r="H392" s="53" t="n">
        <v>1.1817</v>
      </c>
      <c r="I392" s="52" t="n">
        <v>3106.77</v>
      </c>
      <c r="J392" s="51" t="s">
        <v>677</v>
      </c>
      <c r="K392" s="54" t="n">
        <f aca="false">IF(G392=0,"",F392/G392)</f>
        <v>-0.958464934268602</v>
      </c>
      <c r="L392" s="55" t="n">
        <v>0.249</v>
      </c>
      <c r="M392" s="52" t="n">
        <v>12272.33</v>
      </c>
      <c r="N392" s="51" t="s">
        <v>549</v>
      </c>
    </row>
    <row r="393" customFormat="false" ht="15" hidden="false" customHeight="false" outlineLevel="0" collapsed="false">
      <c r="A393" s="51" t="s">
        <v>109</v>
      </c>
      <c r="B393" s="51" t="s">
        <v>148</v>
      </c>
      <c r="C393" s="51" t="s">
        <v>528</v>
      </c>
      <c r="D393" s="51" t="s">
        <v>570</v>
      </c>
      <c r="E393" s="51" t="s">
        <v>515</v>
      </c>
      <c r="F393" s="52" t="n">
        <v>-10180.8</v>
      </c>
      <c r="G393" s="52" t="n">
        <v>10696.97</v>
      </c>
      <c r="H393" s="53" t="n">
        <v>1.0172</v>
      </c>
      <c r="I393" s="52" t="n">
        <v>500</v>
      </c>
      <c r="J393" s="51" t="s">
        <v>591</v>
      </c>
      <c r="K393" s="54" t="n">
        <f aca="false">IF(G393=0,"",F393/G393)</f>
        <v>-0.951746148675747</v>
      </c>
      <c r="L393" s="55" t="n">
        <v>0.461</v>
      </c>
      <c r="M393" s="52" t="n">
        <v>7000</v>
      </c>
      <c r="N393" s="51" t="s">
        <v>549</v>
      </c>
    </row>
    <row r="394" customFormat="false" ht="15" hidden="false" customHeight="false" outlineLevel="0" collapsed="false">
      <c r="A394" s="51" t="s">
        <v>109</v>
      </c>
      <c r="B394" s="51" t="s">
        <v>148</v>
      </c>
      <c r="C394" s="51" t="s">
        <v>531</v>
      </c>
      <c r="D394" s="51" t="s">
        <v>571</v>
      </c>
      <c r="E394" s="51" t="s">
        <v>513</v>
      </c>
      <c r="F394" s="52" t="n">
        <v>-14153.43</v>
      </c>
      <c r="G394" s="52" t="n">
        <v>65250</v>
      </c>
      <c r="H394" s="53" t="n">
        <v>1.068</v>
      </c>
      <c r="I394" s="52" t="n">
        <v>21750</v>
      </c>
      <c r="J394" s="51" t="s">
        <v>565</v>
      </c>
      <c r="K394" s="54" t="n">
        <f aca="false">IF(G394=0,"",F394/G394)</f>
        <v>-0.216910804597701</v>
      </c>
      <c r="L394" s="55" t="n">
        <v>0.89</v>
      </c>
      <c r="M394" s="52" t="n">
        <v>65250</v>
      </c>
      <c r="N394" s="51" t="s">
        <v>549</v>
      </c>
    </row>
    <row r="395" customFormat="false" ht="15" hidden="false" customHeight="false" outlineLevel="0" collapsed="false">
      <c r="A395" s="51" t="s">
        <v>109</v>
      </c>
      <c r="B395" s="51" t="s">
        <v>148</v>
      </c>
      <c r="C395" s="51" t="s">
        <v>531</v>
      </c>
      <c r="D395" s="51" t="s">
        <v>571</v>
      </c>
      <c r="E395" s="51" t="s">
        <v>515</v>
      </c>
      <c r="F395" s="52" t="n">
        <v>-10331.78</v>
      </c>
      <c r="G395" s="52" t="n">
        <v>12408.29</v>
      </c>
      <c r="H395" s="53" t="n">
        <v>1.0275</v>
      </c>
      <c r="I395" s="52" t="n">
        <v>500</v>
      </c>
      <c r="J395" s="51" t="s">
        <v>678</v>
      </c>
      <c r="K395" s="54" t="n">
        <f aca="false">IF(G395=0,"",F395/G395)</f>
        <v>-0.832651396767806</v>
      </c>
      <c r="L395" s="55" t="n">
        <v>0.686</v>
      </c>
      <c r="M395" s="52" t="n">
        <v>7500</v>
      </c>
      <c r="N395" s="51" t="s">
        <v>549</v>
      </c>
    </row>
    <row r="396" customFormat="false" ht="15" hidden="false" customHeight="false" outlineLevel="0" collapsed="false">
      <c r="A396" s="51" t="s">
        <v>109</v>
      </c>
      <c r="B396" s="51" t="s">
        <v>148</v>
      </c>
      <c r="C396" s="51" t="s">
        <v>532</v>
      </c>
      <c r="D396" s="51" t="s">
        <v>573</v>
      </c>
      <c r="E396" s="51" t="s">
        <v>513</v>
      </c>
      <c r="F396" s="52" t="n">
        <v>-19371.51</v>
      </c>
      <c r="G396" s="52" t="n">
        <v>27350</v>
      </c>
      <c r="H396" s="53" t="n">
        <v>1.5213</v>
      </c>
      <c r="I396" s="52" t="n">
        <v>13200</v>
      </c>
      <c r="J396" s="51" t="s">
        <v>669</v>
      </c>
      <c r="K396" s="54" t="n">
        <f aca="false">IF(G396=0,"",F396/G396)</f>
        <v>-0.708281901279708</v>
      </c>
      <c r="L396" s="55" t="n">
        <v>0.444</v>
      </c>
      <c r="M396" s="52" t="n">
        <v>27350</v>
      </c>
      <c r="N396" s="51" t="s">
        <v>549</v>
      </c>
    </row>
    <row r="397" customFormat="false" ht="15" hidden="false" customHeight="false" outlineLevel="0" collapsed="false">
      <c r="A397" s="51" t="s">
        <v>109</v>
      </c>
      <c r="B397" s="51" t="s">
        <v>148</v>
      </c>
      <c r="C397" s="51" t="s">
        <v>532</v>
      </c>
      <c r="D397" s="51" t="s">
        <v>573</v>
      </c>
      <c r="E397" s="51" t="s">
        <v>515</v>
      </c>
      <c r="F397" s="52" t="n">
        <v>-10374.64</v>
      </c>
      <c r="G397" s="52" t="n">
        <v>12908.29</v>
      </c>
      <c r="H397" s="53" t="n">
        <v>1.0299</v>
      </c>
      <c r="I397" s="52" t="n">
        <v>500</v>
      </c>
      <c r="J397" s="51" t="s">
        <v>671</v>
      </c>
      <c r="K397" s="54" t="n">
        <f aca="false">IF(G397=0,"",F397/G397)</f>
        <v>-0.803719160322552</v>
      </c>
      <c r="L397" s="55" t="n">
        <v>0.647</v>
      </c>
      <c r="M397" s="52" t="n">
        <v>7500</v>
      </c>
      <c r="N397" s="51" t="s">
        <v>549</v>
      </c>
    </row>
    <row r="398" customFormat="false" ht="15" hidden="false" customHeight="false" outlineLevel="0" collapsed="false">
      <c r="A398" s="8" t="s">
        <v>109</v>
      </c>
      <c r="B398" s="8" t="s">
        <v>148</v>
      </c>
      <c r="C398" s="8" t="s">
        <v>518</v>
      </c>
      <c r="D398" s="8" t="s">
        <v>574</v>
      </c>
      <c r="E398" s="8" t="s">
        <v>513</v>
      </c>
      <c r="F398" s="56" t="n">
        <v>-2176.2</v>
      </c>
      <c r="G398" s="56" t="n">
        <v>6028.79</v>
      </c>
      <c r="H398" s="43" t="n">
        <v>0.5858</v>
      </c>
      <c r="I398" s="56" t="n">
        <v>200</v>
      </c>
      <c r="J398" s="8" t="s">
        <v>581</v>
      </c>
      <c r="K398" s="19" t="n">
        <f aca="false">IF(G398=0,"",F398/G398)</f>
        <v>-0.360967955427208</v>
      </c>
      <c r="L398" s="27" t="n">
        <v>0.95</v>
      </c>
      <c r="M398" s="56" t="n">
        <v>800</v>
      </c>
      <c r="N398" s="8" t="s">
        <v>549</v>
      </c>
    </row>
    <row r="399" customFormat="false" ht="15" hidden="false" customHeight="false" outlineLevel="0" collapsed="false">
      <c r="A399" s="8" t="s">
        <v>109</v>
      </c>
      <c r="B399" s="8" t="s">
        <v>148</v>
      </c>
      <c r="C399" s="8" t="s">
        <v>518</v>
      </c>
      <c r="D399" s="8" t="s">
        <v>574</v>
      </c>
      <c r="E399" s="8" t="s">
        <v>515</v>
      </c>
      <c r="F399" s="56" t="n">
        <v>-2176.2</v>
      </c>
      <c r="G399" s="56" t="n">
        <v>6028.79</v>
      </c>
      <c r="H399" s="43" t="n">
        <v>0.5858</v>
      </c>
      <c r="I399" s="56" t="n">
        <v>200</v>
      </c>
      <c r="J399" s="8" t="s">
        <v>581</v>
      </c>
      <c r="K399" s="19" t="n">
        <f aca="false">IF(G399=0,"",F399/G399)</f>
        <v>-0.360967955427208</v>
      </c>
      <c r="L399" s="27" t="n">
        <v>0.95</v>
      </c>
      <c r="M399" s="56" t="n">
        <v>800</v>
      </c>
      <c r="N399" s="8" t="s">
        <v>549</v>
      </c>
    </row>
    <row r="400" customFormat="false" ht="15" hidden="false" customHeight="false" outlineLevel="0" collapsed="false">
      <c r="A400" s="8" t="s">
        <v>109</v>
      </c>
      <c r="B400" s="8" t="s">
        <v>148</v>
      </c>
      <c r="C400" s="8" t="s">
        <v>522</v>
      </c>
      <c r="D400" s="8" t="s">
        <v>576</v>
      </c>
      <c r="E400" s="8" t="s">
        <v>513</v>
      </c>
      <c r="F400" s="56" t="n">
        <v>-2379.81</v>
      </c>
      <c r="G400" s="56" t="n">
        <v>9126.5</v>
      </c>
      <c r="H400" s="43" t="n">
        <v>0.8867</v>
      </c>
      <c r="I400" s="56" t="n">
        <v>700</v>
      </c>
      <c r="J400" s="8" t="s">
        <v>581</v>
      </c>
      <c r="K400" s="19" t="n">
        <f aca="false">IF(G400=0,"",F400/G400)</f>
        <v>-0.260758231523585</v>
      </c>
      <c r="L400" s="27" t="n">
        <v>0.959</v>
      </c>
      <c r="M400" s="56" t="n">
        <v>4200</v>
      </c>
      <c r="N400" s="8" t="s">
        <v>549</v>
      </c>
    </row>
    <row r="401" customFormat="false" ht="15" hidden="false" customHeight="false" outlineLevel="0" collapsed="false">
      <c r="A401" s="8" t="s">
        <v>109</v>
      </c>
      <c r="B401" s="8" t="s">
        <v>148</v>
      </c>
      <c r="C401" s="8" t="s">
        <v>522</v>
      </c>
      <c r="D401" s="8" t="s">
        <v>576</v>
      </c>
      <c r="E401" s="8" t="s">
        <v>515</v>
      </c>
      <c r="F401" s="56" t="n">
        <v>-2472.71</v>
      </c>
      <c r="G401" s="56" t="n">
        <v>9126.5</v>
      </c>
      <c r="H401" s="43" t="n">
        <v>0.8867</v>
      </c>
      <c r="I401" s="56" t="n">
        <v>500</v>
      </c>
      <c r="J401" s="8" t="s">
        <v>581</v>
      </c>
      <c r="K401" s="19" t="n">
        <f aca="false">IF(G401=0,"",F401/G401)</f>
        <v>-0.270937380156687</v>
      </c>
      <c r="L401" s="27" t="n">
        <v>0.958</v>
      </c>
      <c r="M401" s="56" t="n">
        <v>3700</v>
      </c>
      <c r="N401" s="8" t="s">
        <v>549</v>
      </c>
    </row>
    <row r="402" customFormat="false" ht="15" hidden="false" customHeight="false" outlineLevel="0" collapsed="false">
      <c r="A402" s="51" t="s">
        <v>109</v>
      </c>
      <c r="B402" s="51" t="s">
        <v>148</v>
      </c>
      <c r="C402" s="51" t="s">
        <v>525</v>
      </c>
      <c r="D402" s="51" t="s">
        <v>578</v>
      </c>
      <c r="E402" s="51" t="s">
        <v>513</v>
      </c>
      <c r="F402" s="52" t="n">
        <v>-11382.33</v>
      </c>
      <c r="G402" s="52" t="n">
        <v>12257.92</v>
      </c>
      <c r="H402" s="53" t="n">
        <v>1.1271</v>
      </c>
      <c r="I402" s="52" t="n">
        <v>3101.98</v>
      </c>
      <c r="J402" s="51" t="s">
        <v>605</v>
      </c>
      <c r="K402" s="54" t="n">
        <f aca="false">IF(G402=0,"",F402/G402)</f>
        <v>-0.928569447345063</v>
      </c>
      <c r="L402" s="55" t="n">
        <v>0.324</v>
      </c>
      <c r="M402" s="52" t="n">
        <v>12186.84</v>
      </c>
      <c r="N402" s="51" t="s">
        <v>549</v>
      </c>
    </row>
    <row r="403" customFormat="false" ht="15" hidden="false" customHeight="false" outlineLevel="0" collapsed="false">
      <c r="A403" s="51" t="s">
        <v>109</v>
      </c>
      <c r="B403" s="51" t="s">
        <v>148</v>
      </c>
      <c r="C403" s="51" t="s">
        <v>525</v>
      </c>
      <c r="D403" s="51" t="s">
        <v>578</v>
      </c>
      <c r="E403" s="51" t="s">
        <v>515</v>
      </c>
      <c r="F403" s="52" t="n">
        <v>-10161</v>
      </c>
      <c r="G403" s="52" t="n">
        <v>11036.58</v>
      </c>
      <c r="H403" s="53" t="n">
        <v>1.0148</v>
      </c>
      <c r="I403" s="52" t="n">
        <v>500</v>
      </c>
      <c r="J403" s="51" t="s">
        <v>601</v>
      </c>
      <c r="K403" s="54" t="n">
        <f aca="false">IF(G403=0,"",F403/G403)</f>
        <v>-0.92066564098661</v>
      </c>
      <c r="L403" s="55" t="n">
        <v>0.499</v>
      </c>
      <c r="M403" s="52" t="n">
        <v>6500</v>
      </c>
      <c r="N403" s="51" t="s">
        <v>549</v>
      </c>
    </row>
    <row r="404" customFormat="false" ht="15" hidden="false" customHeight="false" outlineLevel="0" collapsed="false">
      <c r="A404" s="8" t="s">
        <v>109</v>
      </c>
      <c r="B404" s="8" t="s">
        <v>148</v>
      </c>
      <c r="C404" s="8" t="s">
        <v>516</v>
      </c>
      <c r="D404" s="8" t="s">
        <v>580</v>
      </c>
      <c r="E404" s="8" t="s">
        <v>513</v>
      </c>
      <c r="F404" s="56" t="n">
        <v>-3672.07</v>
      </c>
      <c r="G404" s="56" t="n">
        <v>5766.83</v>
      </c>
      <c r="H404" s="43" t="n">
        <v>0.5523</v>
      </c>
      <c r="I404" s="56" t="n">
        <v>104.42</v>
      </c>
      <c r="J404" s="8" t="s">
        <v>581</v>
      </c>
      <c r="K404" s="19" t="n">
        <f aca="false">IF(G404=0,"",F404/G404)</f>
        <v>-0.636757109191705</v>
      </c>
      <c r="L404" s="27" t="n">
        <v>0.905</v>
      </c>
      <c r="M404" s="56" t="n">
        <v>1370.34</v>
      </c>
      <c r="N404" s="8" t="s">
        <v>549</v>
      </c>
    </row>
    <row r="405" customFormat="false" ht="15" hidden="false" customHeight="false" outlineLevel="0" collapsed="false">
      <c r="A405" s="8" t="s">
        <v>109</v>
      </c>
      <c r="B405" s="8" t="s">
        <v>148</v>
      </c>
      <c r="C405" s="8" t="s">
        <v>516</v>
      </c>
      <c r="D405" s="8" t="s">
        <v>580</v>
      </c>
      <c r="E405" s="8" t="s">
        <v>515</v>
      </c>
      <c r="F405" s="56" t="n">
        <v>-3672.07</v>
      </c>
      <c r="G405" s="56" t="n">
        <v>5766.83</v>
      </c>
      <c r="H405" s="43" t="n">
        <v>0.5523</v>
      </c>
      <c r="I405" s="56" t="n">
        <v>104.42</v>
      </c>
      <c r="J405" s="8" t="s">
        <v>581</v>
      </c>
      <c r="K405" s="19" t="n">
        <f aca="false">IF(G405=0,"",F405/G405)</f>
        <v>-0.636757109191705</v>
      </c>
      <c r="L405" s="27" t="n">
        <v>0.905</v>
      </c>
      <c r="M405" s="56" t="n">
        <v>1370.34</v>
      </c>
      <c r="N405" s="8" t="s">
        <v>549</v>
      </c>
    </row>
    <row r="406" customFormat="false" ht="15" hidden="false" customHeight="false" outlineLevel="0" collapsed="false">
      <c r="A406" s="51" t="s">
        <v>109</v>
      </c>
      <c r="B406" s="51" t="s">
        <v>148</v>
      </c>
      <c r="C406" s="51" t="s">
        <v>521</v>
      </c>
      <c r="D406" s="51" t="s">
        <v>582</v>
      </c>
      <c r="E406" s="51" t="s">
        <v>513</v>
      </c>
      <c r="F406" s="52" t="n">
        <v>-10663.18</v>
      </c>
      <c r="G406" s="52" t="n">
        <v>11456.35</v>
      </c>
      <c r="H406" s="53" t="n">
        <v>1.0614</v>
      </c>
      <c r="I406" s="52" t="n">
        <v>700</v>
      </c>
      <c r="J406" s="51" t="s">
        <v>676</v>
      </c>
      <c r="K406" s="54" t="n">
        <f aca="false">IF(G406=0,"",F406/G406)</f>
        <v>-0.930765907117014</v>
      </c>
      <c r="L406" s="55" t="n">
        <v>0.521</v>
      </c>
      <c r="M406" s="52" t="n">
        <v>6300</v>
      </c>
      <c r="N406" s="51" t="s">
        <v>549</v>
      </c>
    </row>
    <row r="407" customFormat="false" ht="15" hidden="false" customHeight="false" outlineLevel="0" collapsed="false">
      <c r="A407" s="51" t="s">
        <v>109</v>
      </c>
      <c r="B407" s="51" t="s">
        <v>148</v>
      </c>
      <c r="C407" s="51" t="s">
        <v>521</v>
      </c>
      <c r="D407" s="51" t="s">
        <v>582</v>
      </c>
      <c r="E407" s="51" t="s">
        <v>515</v>
      </c>
      <c r="F407" s="52" t="n">
        <v>-10131.23</v>
      </c>
      <c r="G407" s="52" t="n">
        <v>10924.4</v>
      </c>
      <c r="H407" s="53" t="n">
        <v>1.0122</v>
      </c>
      <c r="I407" s="52" t="n">
        <v>500</v>
      </c>
      <c r="J407" s="51" t="s">
        <v>679</v>
      </c>
      <c r="K407" s="54" t="n">
        <f aca="false">IF(G407=0,"",F407/G407)</f>
        <v>-0.927394639522537</v>
      </c>
      <c r="L407" s="55" t="n">
        <v>0.521</v>
      </c>
      <c r="M407" s="52" t="n">
        <v>6300</v>
      </c>
      <c r="N407" s="51" t="s">
        <v>549</v>
      </c>
    </row>
    <row r="409" customFormat="false" ht="15" hidden="false" customHeight="false" outlineLevel="0" collapsed="false">
      <c r="A409" s="8" t="s">
        <v>109</v>
      </c>
      <c r="B409" s="8" t="s">
        <v>24</v>
      </c>
      <c r="C409" s="8" t="s">
        <v>47</v>
      </c>
      <c r="D409" s="8" t="s">
        <v>547</v>
      </c>
      <c r="E409" s="8" t="s">
        <v>513</v>
      </c>
      <c r="F409" s="56" t="n">
        <v>3087.46</v>
      </c>
      <c r="G409" s="56" t="n">
        <v>400</v>
      </c>
      <c r="H409" s="43" t="n">
        <v>0.0344</v>
      </c>
      <c r="I409" s="56" t="n">
        <v>50</v>
      </c>
      <c r="J409" s="8" t="s">
        <v>581</v>
      </c>
      <c r="K409" s="19" t="n">
        <f aca="false">IF(G409=0,"",F409/G409)</f>
        <v>7.71865</v>
      </c>
      <c r="L409" s="27" t="n">
        <v>1.605</v>
      </c>
      <c r="M409" s="56" t="n">
        <v>400</v>
      </c>
      <c r="N409" s="8" t="n">
        <v>2</v>
      </c>
    </row>
    <row r="410" customFormat="false" ht="15" hidden="false" customHeight="false" outlineLevel="0" collapsed="false">
      <c r="A410" s="8" t="s">
        <v>109</v>
      </c>
      <c r="B410" s="8" t="s">
        <v>24</v>
      </c>
      <c r="C410" s="8" t="s">
        <v>47</v>
      </c>
      <c r="D410" s="8" t="s">
        <v>547</v>
      </c>
      <c r="E410" s="8" t="s">
        <v>515</v>
      </c>
      <c r="F410" s="56" t="n">
        <v>3087.46</v>
      </c>
      <c r="G410" s="56" t="n">
        <v>400</v>
      </c>
      <c r="H410" s="43" t="n">
        <v>0.0344</v>
      </c>
      <c r="I410" s="56" t="n">
        <v>50</v>
      </c>
      <c r="J410" s="8" t="s">
        <v>581</v>
      </c>
      <c r="K410" s="19" t="n">
        <f aca="false">IF(G410=0,"",F410/G410)</f>
        <v>7.71865</v>
      </c>
      <c r="L410" s="27" t="n">
        <v>1.605</v>
      </c>
      <c r="M410" s="56" t="n">
        <v>400</v>
      </c>
      <c r="N410" s="8" t="n">
        <v>2</v>
      </c>
    </row>
    <row r="411" customFormat="false" ht="15" hidden="false" customHeight="false" outlineLevel="0" collapsed="false">
      <c r="A411" s="8" t="s">
        <v>109</v>
      </c>
      <c r="B411" s="8" t="s">
        <v>24</v>
      </c>
      <c r="C411" s="8" t="s">
        <v>535</v>
      </c>
      <c r="D411" s="8" t="s">
        <v>550</v>
      </c>
      <c r="E411" s="8" t="s">
        <v>513</v>
      </c>
      <c r="F411" s="56" t="n">
        <v>36918.04</v>
      </c>
      <c r="G411" s="56" t="n">
        <v>12750</v>
      </c>
      <c r="H411" s="43" t="n">
        <v>0.5898</v>
      </c>
      <c r="I411" s="56" t="n">
        <v>12800</v>
      </c>
      <c r="J411" s="8" t="s">
        <v>581</v>
      </c>
      <c r="K411" s="19" t="n">
        <f aca="false">IF(G411=0,"",F411/G411)</f>
        <v>2.89553254901961</v>
      </c>
      <c r="L411" s="27" t="n">
        <v>2.206</v>
      </c>
      <c r="M411" s="56" t="n">
        <v>12750</v>
      </c>
      <c r="N411" s="8" t="s">
        <v>549</v>
      </c>
    </row>
    <row r="412" customFormat="false" ht="15" hidden="false" customHeight="false" outlineLevel="0" collapsed="false">
      <c r="A412" s="8" t="s">
        <v>109</v>
      </c>
      <c r="B412" s="8" t="s">
        <v>24</v>
      </c>
      <c r="C412" s="8" t="s">
        <v>535</v>
      </c>
      <c r="D412" s="8" t="s">
        <v>550</v>
      </c>
      <c r="E412" s="8" t="s">
        <v>515</v>
      </c>
      <c r="F412" s="56" t="n">
        <v>13145.01</v>
      </c>
      <c r="G412" s="56" t="n">
        <v>2750</v>
      </c>
      <c r="H412" s="43" t="n">
        <v>0.209</v>
      </c>
      <c r="I412" s="56" t="n">
        <v>500</v>
      </c>
      <c r="J412" s="8" t="s">
        <v>581</v>
      </c>
      <c r="K412" s="19" t="n">
        <f aca="false">IF(G412=0,"",F412/G412)</f>
        <v>4.78000363636364</v>
      </c>
      <c r="L412" s="27" t="n">
        <v>1.807</v>
      </c>
      <c r="M412" s="56" t="n">
        <v>2750</v>
      </c>
      <c r="N412" s="8" t="n">
        <v>13</v>
      </c>
    </row>
    <row r="413" customFormat="false" ht="15" hidden="false" customHeight="false" outlineLevel="0" collapsed="false">
      <c r="A413" s="8" t="s">
        <v>109</v>
      </c>
      <c r="B413" s="8" t="s">
        <v>24</v>
      </c>
      <c r="C413" s="8" t="s">
        <v>527</v>
      </c>
      <c r="D413" s="8" t="s">
        <v>553</v>
      </c>
      <c r="E413" s="8" t="s">
        <v>513</v>
      </c>
      <c r="F413" s="56" t="n">
        <v>5834.31</v>
      </c>
      <c r="G413" s="56" t="n">
        <v>1348.31</v>
      </c>
      <c r="H413" s="43" t="n">
        <v>0.1031</v>
      </c>
      <c r="I413" s="56" t="n">
        <v>499.44</v>
      </c>
      <c r="J413" s="8" t="s">
        <v>581</v>
      </c>
      <c r="K413" s="19" t="n">
        <f aca="false">IF(G413=0,"",F413/G413)</f>
        <v>4.32712803435412</v>
      </c>
      <c r="L413" s="27" t="n">
        <v>1.707</v>
      </c>
      <c r="M413" s="56" t="n">
        <v>1348.31</v>
      </c>
      <c r="N413" s="8" t="n">
        <v>14</v>
      </c>
    </row>
    <row r="414" customFormat="false" ht="15" hidden="false" customHeight="false" outlineLevel="0" collapsed="false">
      <c r="A414" s="8" t="s">
        <v>109</v>
      </c>
      <c r="B414" s="8" t="s">
        <v>24</v>
      </c>
      <c r="C414" s="8" t="s">
        <v>527</v>
      </c>
      <c r="D414" s="8" t="s">
        <v>553</v>
      </c>
      <c r="E414" s="8" t="s">
        <v>515</v>
      </c>
      <c r="F414" s="56" t="n">
        <v>5834.31</v>
      </c>
      <c r="G414" s="56" t="n">
        <v>1348.31</v>
      </c>
      <c r="H414" s="43" t="n">
        <v>0.1031</v>
      </c>
      <c r="I414" s="56" t="n">
        <v>499.44</v>
      </c>
      <c r="J414" s="8" t="s">
        <v>581</v>
      </c>
      <c r="K414" s="19" t="n">
        <f aca="false">IF(G414=0,"",F414/G414)</f>
        <v>4.32712803435412</v>
      </c>
      <c r="L414" s="27" t="n">
        <v>1.707</v>
      </c>
      <c r="M414" s="56" t="n">
        <v>1348.31</v>
      </c>
      <c r="N414" s="8" t="n">
        <v>14</v>
      </c>
    </row>
    <row r="415" customFormat="false" ht="15" hidden="false" customHeight="false" outlineLevel="0" collapsed="false">
      <c r="A415" s="8" t="s">
        <v>109</v>
      </c>
      <c r="B415" s="8" t="s">
        <v>24</v>
      </c>
      <c r="C415" s="8" t="s">
        <v>529</v>
      </c>
      <c r="D415" s="8" t="s">
        <v>556</v>
      </c>
      <c r="E415" s="8" t="s">
        <v>513</v>
      </c>
      <c r="F415" s="56" t="n">
        <v>7841.54</v>
      </c>
      <c r="G415" s="56" t="n">
        <v>2462.89</v>
      </c>
      <c r="H415" s="43" t="n">
        <v>0.1756</v>
      </c>
      <c r="I415" s="56" t="n">
        <v>1281.45</v>
      </c>
      <c r="J415" s="8" t="s">
        <v>581</v>
      </c>
      <c r="K415" s="19" t="n">
        <f aca="false">IF(G415=0,"",F415/G415)</f>
        <v>3.18387747727264</v>
      </c>
      <c r="L415" s="27" t="n">
        <v>1.719</v>
      </c>
      <c r="M415" s="56" t="n">
        <v>2462.89</v>
      </c>
      <c r="N415" s="8" t="s">
        <v>549</v>
      </c>
    </row>
    <row r="416" customFormat="false" ht="15" hidden="false" customHeight="false" outlineLevel="0" collapsed="false">
      <c r="A416" s="8" t="s">
        <v>109</v>
      </c>
      <c r="B416" s="8" t="s">
        <v>24</v>
      </c>
      <c r="C416" s="8" t="s">
        <v>529</v>
      </c>
      <c r="D416" s="8" t="s">
        <v>556</v>
      </c>
      <c r="E416" s="8" t="s">
        <v>515</v>
      </c>
      <c r="F416" s="56" t="n">
        <v>7593.82</v>
      </c>
      <c r="G416" s="56" t="n">
        <v>2039.06</v>
      </c>
      <c r="H416" s="43" t="n">
        <v>0.1483</v>
      </c>
      <c r="I416" s="56" t="n">
        <v>500</v>
      </c>
      <c r="J416" s="8" t="s">
        <v>581</v>
      </c>
      <c r="K416" s="19" t="n">
        <f aca="false">IF(G416=0,"",F416/G416)</f>
        <v>3.72417682657695</v>
      </c>
      <c r="L416" s="27" t="n">
        <v>1.725</v>
      </c>
      <c r="M416" s="56" t="n">
        <v>2039.06</v>
      </c>
      <c r="N416" s="8" t="n">
        <v>17</v>
      </c>
    </row>
    <row r="417" customFormat="false" ht="15" hidden="false" customHeight="false" outlineLevel="0" collapsed="false">
      <c r="A417" s="8" t="s">
        <v>109</v>
      </c>
      <c r="B417" s="8" t="s">
        <v>24</v>
      </c>
      <c r="C417" s="8" t="s">
        <v>534</v>
      </c>
      <c r="D417" s="8" t="s">
        <v>559</v>
      </c>
      <c r="E417" s="8" t="s">
        <v>513</v>
      </c>
      <c r="F417" s="56" t="n">
        <v>36918.04</v>
      </c>
      <c r="G417" s="56" t="n">
        <v>12750</v>
      </c>
      <c r="H417" s="43" t="n">
        <v>0.5898</v>
      </c>
      <c r="I417" s="56" t="n">
        <v>12800</v>
      </c>
      <c r="J417" s="8" t="s">
        <v>581</v>
      </c>
      <c r="K417" s="19" t="n">
        <f aca="false">IF(G417=0,"",F417/G417)</f>
        <v>2.89553254901961</v>
      </c>
      <c r="L417" s="27" t="n">
        <v>2.206</v>
      </c>
      <c r="M417" s="56" t="n">
        <v>12750</v>
      </c>
      <c r="N417" s="8" t="s">
        <v>549</v>
      </c>
    </row>
    <row r="418" customFormat="false" ht="15" hidden="false" customHeight="false" outlineLevel="0" collapsed="false">
      <c r="A418" s="8" t="s">
        <v>109</v>
      </c>
      <c r="B418" s="8" t="s">
        <v>24</v>
      </c>
      <c r="C418" s="8" t="s">
        <v>534</v>
      </c>
      <c r="D418" s="8" t="s">
        <v>559</v>
      </c>
      <c r="E418" s="8" t="s">
        <v>515</v>
      </c>
      <c r="F418" s="56" t="n">
        <v>13448.9</v>
      </c>
      <c r="G418" s="56" t="n">
        <v>2750</v>
      </c>
      <c r="H418" s="43" t="n">
        <v>0.209</v>
      </c>
      <c r="I418" s="56" t="n">
        <v>500</v>
      </c>
      <c r="J418" s="8" t="s">
        <v>581</v>
      </c>
      <c r="K418" s="19" t="n">
        <f aca="false">IF(G418=0,"",F418/G418)</f>
        <v>4.89050909090909</v>
      </c>
      <c r="L418" s="27" t="n">
        <v>1.818</v>
      </c>
      <c r="M418" s="56" t="n">
        <v>2750</v>
      </c>
      <c r="N418" s="8" t="n">
        <v>11</v>
      </c>
    </row>
    <row r="419" customFormat="false" ht="15" hidden="false" customHeight="false" outlineLevel="0" collapsed="false">
      <c r="A419" s="8" t="s">
        <v>109</v>
      </c>
      <c r="B419" s="8" t="s">
        <v>24</v>
      </c>
      <c r="C419" s="8" t="s">
        <v>530</v>
      </c>
      <c r="D419" s="8" t="s">
        <v>560</v>
      </c>
      <c r="E419" s="8" t="s">
        <v>513</v>
      </c>
      <c r="F419" s="56" t="n">
        <v>7841.54</v>
      </c>
      <c r="G419" s="56" t="n">
        <v>2462.89</v>
      </c>
      <c r="H419" s="43" t="n">
        <v>0.1756</v>
      </c>
      <c r="I419" s="56" t="n">
        <v>1281.45</v>
      </c>
      <c r="J419" s="8" t="s">
        <v>581</v>
      </c>
      <c r="K419" s="19" t="n">
        <f aca="false">IF(G419=0,"",F419/G419)</f>
        <v>3.18387747727264</v>
      </c>
      <c r="L419" s="27" t="n">
        <v>1.719</v>
      </c>
      <c r="M419" s="56" t="n">
        <v>2462.89</v>
      </c>
      <c r="N419" s="8" t="s">
        <v>549</v>
      </c>
    </row>
    <row r="420" customFormat="false" ht="15" hidden="false" customHeight="false" outlineLevel="0" collapsed="false">
      <c r="A420" s="8" t="s">
        <v>109</v>
      </c>
      <c r="B420" s="8" t="s">
        <v>24</v>
      </c>
      <c r="C420" s="8" t="s">
        <v>530</v>
      </c>
      <c r="D420" s="8" t="s">
        <v>560</v>
      </c>
      <c r="E420" s="8" t="s">
        <v>515</v>
      </c>
      <c r="F420" s="56" t="n">
        <v>7593.82</v>
      </c>
      <c r="G420" s="56" t="n">
        <v>2039.06</v>
      </c>
      <c r="H420" s="43" t="n">
        <v>0.1483</v>
      </c>
      <c r="I420" s="56" t="n">
        <v>500</v>
      </c>
      <c r="J420" s="8" t="s">
        <v>581</v>
      </c>
      <c r="K420" s="19" t="n">
        <f aca="false">IF(G420=0,"",F420/G420)</f>
        <v>3.72417682657695</v>
      </c>
      <c r="L420" s="27" t="n">
        <v>1.725</v>
      </c>
      <c r="M420" s="56" t="n">
        <v>2039.06</v>
      </c>
      <c r="N420" s="8" t="n">
        <v>18</v>
      </c>
    </row>
    <row r="421" customFormat="false" ht="15" hidden="false" customHeight="false" outlineLevel="0" collapsed="false">
      <c r="A421" s="8" t="s">
        <v>109</v>
      </c>
      <c r="B421" s="8" t="s">
        <v>24</v>
      </c>
      <c r="C421" s="8" t="s">
        <v>524</v>
      </c>
      <c r="D421" s="8" t="s">
        <v>561</v>
      </c>
      <c r="E421" s="8" t="s">
        <v>513</v>
      </c>
      <c r="F421" s="56" t="n">
        <v>7290.15</v>
      </c>
      <c r="G421" s="56" t="n">
        <v>1307.5</v>
      </c>
      <c r="H421" s="43" t="n">
        <v>0.0849</v>
      </c>
      <c r="I421" s="56" t="n">
        <v>375</v>
      </c>
      <c r="J421" s="8" t="s">
        <v>581</v>
      </c>
      <c r="K421" s="19" t="n">
        <f aca="false">IF(G421=0,"",F421/G421)</f>
        <v>5.57564053537285</v>
      </c>
      <c r="L421" s="27" t="n">
        <v>1.701</v>
      </c>
      <c r="M421" s="56" t="n">
        <v>1250</v>
      </c>
      <c r="N421" s="8" t="n">
        <v>8</v>
      </c>
    </row>
    <row r="422" customFormat="false" ht="15" hidden="false" customHeight="false" outlineLevel="0" collapsed="false">
      <c r="A422" s="8" t="s">
        <v>109</v>
      </c>
      <c r="B422" s="8" t="s">
        <v>24</v>
      </c>
      <c r="C422" s="8" t="s">
        <v>524</v>
      </c>
      <c r="D422" s="8" t="s">
        <v>561</v>
      </c>
      <c r="E422" s="8" t="s">
        <v>515</v>
      </c>
      <c r="F422" s="56" t="n">
        <v>7290.15</v>
      </c>
      <c r="G422" s="56" t="n">
        <v>1307.5</v>
      </c>
      <c r="H422" s="43" t="n">
        <v>0.0849</v>
      </c>
      <c r="I422" s="56" t="n">
        <v>375</v>
      </c>
      <c r="J422" s="8" t="s">
        <v>581</v>
      </c>
      <c r="K422" s="19" t="n">
        <f aca="false">IF(G422=0,"",F422/G422)</f>
        <v>5.57564053537285</v>
      </c>
      <c r="L422" s="27" t="n">
        <v>1.701</v>
      </c>
      <c r="M422" s="56" t="n">
        <v>1250</v>
      </c>
      <c r="N422" s="8" t="n">
        <v>8</v>
      </c>
    </row>
    <row r="423" customFormat="false" ht="15" hidden="false" customHeight="false" outlineLevel="0" collapsed="false">
      <c r="A423" s="8" t="s">
        <v>109</v>
      </c>
      <c r="B423" s="8" t="s">
        <v>24</v>
      </c>
      <c r="C423" s="8" t="s">
        <v>533</v>
      </c>
      <c r="D423" s="8" t="s">
        <v>563</v>
      </c>
      <c r="E423" s="8" t="s">
        <v>513</v>
      </c>
      <c r="F423" s="56" t="n">
        <v>8090.52</v>
      </c>
      <c r="G423" s="56" t="n">
        <v>2700</v>
      </c>
      <c r="H423" s="43" t="n">
        <v>0.1917</v>
      </c>
      <c r="I423" s="56" t="n">
        <v>1700</v>
      </c>
      <c r="J423" s="8" t="s">
        <v>581</v>
      </c>
      <c r="K423" s="19" t="n">
        <f aca="false">IF(G423=0,"",F423/G423)</f>
        <v>2.99648888888889</v>
      </c>
      <c r="L423" s="27" t="n">
        <v>1.778</v>
      </c>
      <c r="M423" s="56" t="n">
        <v>2700</v>
      </c>
      <c r="N423" s="8" t="s">
        <v>549</v>
      </c>
    </row>
    <row r="424" customFormat="false" ht="15" hidden="false" customHeight="false" outlineLevel="0" collapsed="false">
      <c r="A424" s="8" t="s">
        <v>109</v>
      </c>
      <c r="B424" s="8" t="s">
        <v>24</v>
      </c>
      <c r="C424" s="8" t="s">
        <v>533</v>
      </c>
      <c r="D424" s="8" t="s">
        <v>563</v>
      </c>
      <c r="E424" s="8" t="s">
        <v>515</v>
      </c>
      <c r="F424" s="56" t="n">
        <v>7868.64</v>
      </c>
      <c r="G424" s="56" t="n">
        <v>2000</v>
      </c>
      <c r="H424" s="43" t="n">
        <v>0.1452</v>
      </c>
      <c r="I424" s="56" t="n">
        <v>500</v>
      </c>
      <c r="J424" s="8" t="s">
        <v>581</v>
      </c>
      <c r="K424" s="19" t="n">
        <f aca="false">IF(G424=0,"",F424/G424)</f>
        <v>3.93432</v>
      </c>
      <c r="L424" s="27" t="n">
        <v>1.753</v>
      </c>
      <c r="M424" s="56" t="n">
        <v>2000</v>
      </c>
      <c r="N424" s="8" t="n">
        <v>16</v>
      </c>
    </row>
    <row r="425" customFormat="false" ht="15" hidden="false" customHeight="false" outlineLevel="0" collapsed="false">
      <c r="A425" s="8" t="s">
        <v>109</v>
      </c>
      <c r="B425" s="8" t="s">
        <v>24</v>
      </c>
      <c r="C425" s="8" t="s">
        <v>523</v>
      </c>
      <c r="D425" s="8" t="s">
        <v>566</v>
      </c>
      <c r="E425" s="8" t="s">
        <v>513</v>
      </c>
      <c r="F425" s="56" t="n">
        <v>38044.18</v>
      </c>
      <c r="G425" s="56" t="n">
        <v>4777.84</v>
      </c>
      <c r="H425" s="43" t="n">
        <v>0.193</v>
      </c>
      <c r="I425" s="56" t="n">
        <v>1000</v>
      </c>
      <c r="J425" s="8" t="s">
        <v>581</v>
      </c>
      <c r="K425" s="19" t="n">
        <f aca="false">IF(G425=0,"",F425/G425)</f>
        <v>7.96263164944829</v>
      </c>
      <c r="L425" s="27" t="n">
        <v>1.785</v>
      </c>
      <c r="M425" s="56" t="n">
        <v>4200</v>
      </c>
      <c r="N425" s="8" t="s">
        <v>549</v>
      </c>
    </row>
    <row r="426" customFormat="false" ht="15" hidden="false" customHeight="false" outlineLevel="0" collapsed="false">
      <c r="A426" s="8" t="s">
        <v>109</v>
      </c>
      <c r="B426" s="8" t="s">
        <v>24</v>
      </c>
      <c r="C426" s="8" t="s">
        <v>523</v>
      </c>
      <c r="D426" s="8" t="s">
        <v>566</v>
      </c>
      <c r="E426" s="8" t="s">
        <v>515</v>
      </c>
      <c r="F426" s="56" t="n">
        <v>26929.46</v>
      </c>
      <c r="G426" s="56" t="n">
        <v>3700</v>
      </c>
      <c r="H426" s="43" t="n">
        <v>0.193</v>
      </c>
      <c r="I426" s="56" t="n">
        <v>500</v>
      </c>
      <c r="J426" s="8" t="s">
        <v>581</v>
      </c>
      <c r="K426" s="19" t="n">
        <f aca="false">IF(G426=0,"",F426/G426)</f>
        <v>7.27823243243243</v>
      </c>
      <c r="L426" s="27" t="n">
        <v>1.714</v>
      </c>
      <c r="M426" s="56" t="n">
        <v>3700</v>
      </c>
      <c r="N426" s="8" t="n">
        <v>5</v>
      </c>
    </row>
    <row r="427" customFormat="false" ht="15" hidden="false" customHeight="false" outlineLevel="0" collapsed="false">
      <c r="A427" s="8" t="s">
        <v>109</v>
      </c>
      <c r="B427" s="8" t="s">
        <v>24</v>
      </c>
      <c r="C427" s="8" t="s">
        <v>519</v>
      </c>
      <c r="D427" s="8" t="s">
        <v>567</v>
      </c>
      <c r="E427" s="8" t="s">
        <v>513</v>
      </c>
      <c r="F427" s="56" t="n">
        <v>3675.78</v>
      </c>
      <c r="G427" s="56" t="n">
        <v>632.1</v>
      </c>
      <c r="H427" s="43" t="n">
        <v>0.0527</v>
      </c>
      <c r="I427" s="56" t="n">
        <v>210.7</v>
      </c>
      <c r="J427" s="8" t="s">
        <v>581</v>
      </c>
      <c r="K427" s="19" t="n">
        <f aca="false">IF(G427=0,"",F427/G427)</f>
        <v>5.81518747033697</v>
      </c>
      <c r="L427" s="27" t="n">
        <v>1.663</v>
      </c>
      <c r="M427" s="56" t="n">
        <v>632.1</v>
      </c>
      <c r="N427" s="8" t="n">
        <v>7</v>
      </c>
    </row>
    <row r="428" customFormat="false" ht="15" hidden="false" customHeight="false" outlineLevel="0" collapsed="false">
      <c r="A428" s="8" t="s">
        <v>109</v>
      </c>
      <c r="B428" s="8" t="s">
        <v>24</v>
      </c>
      <c r="C428" s="8" t="s">
        <v>519</v>
      </c>
      <c r="D428" s="8" t="s">
        <v>567</v>
      </c>
      <c r="E428" s="8" t="s">
        <v>515</v>
      </c>
      <c r="F428" s="56" t="n">
        <v>3675.78</v>
      </c>
      <c r="G428" s="56" t="n">
        <v>632.1</v>
      </c>
      <c r="H428" s="43" t="n">
        <v>0.0527</v>
      </c>
      <c r="I428" s="56" t="n">
        <v>210.7</v>
      </c>
      <c r="J428" s="8" t="s">
        <v>581</v>
      </c>
      <c r="K428" s="19" t="n">
        <f aca="false">IF(G428=0,"",F428/G428)</f>
        <v>5.81518747033697</v>
      </c>
      <c r="L428" s="27" t="n">
        <v>1.663</v>
      </c>
      <c r="M428" s="56" t="n">
        <v>632.1</v>
      </c>
      <c r="N428" s="8" t="n">
        <v>7</v>
      </c>
    </row>
    <row r="429" customFormat="false" ht="15" hidden="false" customHeight="false" outlineLevel="0" collapsed="false">
      <c r="A429" s="8" t="s">
        <v>109</v>
      </c>
      <c r="B429" s="8" t="s">
        <v>24</v>
      </c>
      <c r="C429" s="8" t="s">
        <v>528</v>
      </c>
      <c r="D429" s="8" t="s">
        <v>570</v>
      </c>
      <c r="E429" s="8" t="s">
        <v>513</v>
      </c>
      <c r="F429" s="56" t="n">
        <v>19213.61</v>
      </c>
      <c r="G429" s="56" t="n">
        <v>4131.36</v>
      </c>
      <c r="H429" s="43" t="n">
        <v>0.2547</v>
      </c>
      <c r="I429" s="56" t="n">
        <v>1377.12</v>
      </c>
      <c r="J429" s="8" t="s">
        <v>581</v>
      </c>
      <c r="K429" s="19" t="n">
        <f aca="false">IF(G429=0,"",F429/G429)</f>
        <v>4.65067435420782</v>
      </c>
      <c r="L429" s="27" t="n">
        <v>1.629</v>
      </c>
      <c r="M429" s="56" t="n">
        <v>4131.36</v>
      </c>
      <c r="N429" s="8" t="s">
        <v>549</v>
      </c>
    </row>
    <row r="430" customFormat="false" ht="15" hidden="false" customHeight="false" outlineLevel="0" collapsed="false">
      <c r="A430" s="8" t="s">
        <v>109</v>
      </c>
      <c r="B430" s="8" t="s">
        <v>24</v>
      </c>
      <c r="C430" s="8" t="s">
        <v>528</v>
      </c>
      <c r="D430" s="8" t="s">
        <v>570</v>
      </c>
      <c r="E430" s="8" t="s">
        <v>515</v>
      </c>
      <c r="F430" s="56" t="n">
        <v>17940.82</v>
      </c>
      <c r="G430" s="56" t="n">
        <v>3242.92</v>
      </c>
      <c r="H430" s="43" t="n">
        <v>0.1999</v>
      </c>
      <c r="I430" s="56" t="n">
        <v>500</v>
      </c>
      <c r="J430" s="8" t="s">
        <v>581</v>
      </c>
      <c r="K430" s="19" t="n">
        <f aca="false">IF(G430=0,"",F430/G430)</f>
        <v>5.53230421965389</v>
      </c>
      <c r="L430" s="27" t="n">
        <v>1.608</v>
      </c>
      <c r="M430" s="56" t="n">
        <v>3242.92</v>
      </c>
      <c r="N430" s="8" t="n">
        <v>9</v>
      </c>
    </row>
    <row r="431" customFormat="false" ht="15" hidden="false" customHeight="false" outlineLevel="0" collapsed="false">
      <c r="A431" s="8" t="s">
        <v>109</v>
      </c>
      <c r="B431" s="8" t="s">
        <v>24</v>
      </c>
      <c r="C431" s="8" t="s">
        <v>531</v>
      </c>
      <c r="D431" s="8" t="s">
        <v>571</v>
      </c>
      <c r="E431" s="8" t="s">
        <v>513</v>
      </c>
      <c r="F431" s="56" t="n">
        <v>66933.6</v>
      </c>
      <c r="G431" s="56" t="n">
        <v>9200</v>
      </c>
      <c r="H431" s="43" t="n">
        <v>0.55</v>
      </c>
      <c r="I431" s="56" t="n">
        <v>3300</v>
      </c>
      <c r="J431" s="8" t="s">
        <v>581</v>
      </c>
      <c r="K431" s="19" t="n">
        <f aca="false">IF(G431=0,"",F431/G431)</f>
        <v>7.27539130434783</v>
      </c>
      <c r="L431" s="27" t="n">
        <v>2.089</v>
      </c>
      <c r="M431" s="56" t="n">
        <v>9200</v>
      </c>
      <c r="N431" s="8" t="s">
        <v>549</v>
      </c>
    </row>
    <row r="432" customFormat="false" ht="15" hidden="false" customHeight="false" outlineLevel="0" collapsed="false">
      <c r="A432" s="8" t="s">
        <v>109</v>
      </c>
      <c r="B432" s="8" t="s">
        <v>24</v>
      </c>
      <c r="C432" s="8" t="s">
        <v>531</v>
      </c>
      <c r="D432" s="8" t="s">
        <v>571</v>
      </c>
      <c r="E432" s="8" t="s">
        <v>515</v>
      </c>
      <c r="F432" s="56" t="n">
        <v>25104.82</v>
      </c>
      <c r="G432" s="56" t="n">
        <v>3950</v>
      </c>
      <c r="H432" s="43" t="n">
        <v>0.2391</v>
      </c>
      <c r="I432" s="56" t="n">
        <v>500</v>
      </c>
      <c r="J432" s="8" t="s">
        <v>581</v>
      </c>
      <c r="K432" s="19" t="n">
        <f aca="false">IF(G432=0,"",F432/G432)</f>
        <v>6.35565063291139</v>
      </c>
      <c r="L432" s="27" t="n">
        <v>1.691</v>
      </c>
      <c r="M432" s="56" t="n">
        <v>3950</v>
      </c>
      <c r="N432" s="8" t="n">
        <v>6</v>
      </c>
    </row>
    <row r="433" customFormat="false" ht="15" hidden="false" customHeight="false" outlineLevel="0" collapsed="false">
      <c r="A433" s="8" t="s">
        <v>109</v>
      </c>
      <c r="B433" s="8" t="s">
        <v>24</v>
      </c>
      <c r="C433" s="8" t="s">
        <v>532</v>
      </c>
      <c r="D433" s="8" t="s">
        <v>573</v>
      </c>
      <c r="E433" s="8" t="s">
        <v>513</v>
      </c>
      <c r="F433" s="56" t="n">
        <v>40761.55</v>
      </c>
      <c r="G433" s="56" t="n">
        <v>14150</v>
      </c>
      <c r="H433" s="43" t="n">
        <v>0.6723</v>
      </c>
      <c r="I433" s="56" t="n">
        <v>13200</v>
      </c>
      <c r="J433" s="8" t="s">
        <v>581</v>
      </c>
      <c r="K433" s="19" t="n">
        <f aca="false">IF(G433=0,"",F433/G433)</f>
        <v>2.88067491166078</v>
      </c>
      <c r="L433" s="27" t="n">
        <v>2.114</v>
      </c>
      <c r="M433" s="56" t="n">
        <v>14150</v>
      </c>
      <c r="N433" s="8" t="s">
        <v>549</v>
      </c>
    </row>
    <row r="434" customFormat="false" ht="15" hidden="false" customHeight="false" outlineLevel="0" collapsed="false">
      <c r="A434" s="8" t="s">
        <v>109</v>
      </c>
      <c r="B434" s="8" t="s">
        <v>24</v>
      </c>
      <c r="C434" s="8" t="s">
        <v>532</v>
      </c>
      <c r="D434" s="8" t="s">
        <v>573</v>
      </c>
      <c r="E434" s="8" t="s">
        <v>515</v>
      </c>
      <c r="F434" s="56" t="n">
        <v>16393.74</v>
      </c>
      <c r="G434" s="56" t="n">
        <v>3000</v>
      </c>
      <c r="H434" s="43" t="n">
        <v>0.2292</v>
      </c>
      <c r="I434" s="56" t="n">
        <v>500</v>
      </c>
      <c r="J434" s="8" t="s">
        <v>581</v>
      </c>
      <c r="K434" s="19" t="n">
        <f aca="false">IF(G434=0,"",F434/G434)</f>
        <v>5.46458</v>
      </c>
      <c r="L434" s="27" t="n">
        <v>1.676</v>
      </c>
      <c r="M434" s="56" t="n">
        <v>3000</v>
      </c>
      <c r="N434" s="8" t="n">
        <v>10</v>
      </c>
    </row>
    <row r="435" customFormat="false" ht="15" hidden="false" customHeight="false" outlineLevel="0" collapsed="false">
      <c r="A435" s="48" t="s">
        <v>109</v>
      </c>
      <c r="B435" s="48" t="s">
        <v>24</v>
      </c>
      <c r="C435" s="48" t="s">
        <v>518</v>
      </c>
      <c r="D435" s="48" t="s">
        <v>574</v>
      </c>
      <c r="E435" s="48" t="s">
        <v>513</v>
      </c>
      <c r="F435" s="57" t="n">
        <v>5797.07</v>
      </c>
      <c r="G435" s="57" t="n">
        <v>709.54</v>
      </c>
      <c r="H435" s="58" t="n">
        <v>0.0532</v>
      </c>
      <c r="I435" s="57" t="n">
        <v>200</v>
      </c>
      <c r="J435" s="48" t="s">
        <v>581</v>
      </c>
      <c r="K435" s="59" t="n">
        <f aca="false">IF(G435=0,"",F435/G435)</f>
        <v>8.17018068044085</v>
      </c>
      <c r="L435" s="50" t="n">
        <v>1.729</v>
      </c>
      <c r="M435" s="57" t="n">
        <v>550</v>
      </c>
      <c r="N435" s="48" t="n">
        <v>1</v>
      </c>
    </row>
    <row r="436" customFormat="false" ht="15" hidden="false" customHeight="false" outlineLevel="0" collapsed="false">
      <c r="A436" s="48" t="s">
        <v>109</v>
      </c>
      <c r="B436" s="48" t="s">
        <v>24</v>
      </c>
      <c r="C436" s="48" t="s">
        <v>518</v>
      </c>
      <c r="D436" s="48" t="s">
        <v>574</v>
      </c>
      <c r="E436" s="48" t="s">
        <v>515</v>
      </c>
      <c r="F436" s="57" t="n">
        <v>5797.07</v>
      </c>
      <c r="G436" s="57" t="n">
        <v>709.54</v>
      </c>
      <c r="H436" s="58" t="n">
        <v>0.0532</v>
      </c>
      <c r="I436" s="57" t="n">
        <v>200</v>
      </c>
      <c r="J436" s="48" t="s">
        <v>581</v>
      </c>
      <c r="K436" s="59" t="n">
        <f aca="false">IF(G436=0,"",F436/G436)</f>
        <v>8.17018068044085</v>
      </c>
      <c r="L436" s="50" t="n">
        <v>1.729</v>
      </c>
      <c r="M436" s="57" t="n">
        <v>550</v>
      </c>
      <c r="N436" s="48" t="n">
        <v>1</v>
      </c>
    </row>
    <row r="437" customFormat="false" ht="15" hidden="false" customHeight="false" outlineLevel="0" collapsed="false">
      <c r="A437" s="8" t="s">
        <v>109</v>
      </c>
      <c r="B437" s="8" t="s">
        <v>24</v>
      </c>
      <c r="C437" s="8" t="s">
        <v>522</v>
      </c>
      <c r="D437" s="8" t="s">
        <v>576</v>
      </c>
      <c r="E437" s="8" t="s">
        <v>513</v>
      </c>
      <c r="F437" s="56" t="n">
        <v>11576.66</v>
      </c>
      <c r="G437" s="56" t="n">
        <v>1583.33</v>
      </c>
      <c r="H437" s="43" t="n">
        <v>0.0867</v>
      </c>
      <c r="I437" s="56" t="n">
        <v>500</v>
      </c>
      <c r="J437" s="8" t="s">
        <v>581</v>
      </c>
      <c r="K437" s="19" t="n">
        <f aca="false">IF(G437=0,"",F437/G437)</f>
        <v>7.31159012966343</v>
      </c>
      <c r="L437" s="27" t="n">
        <v>1.511</v>
      </c>
      <c r="M437" s="56" t="n">
        <v>1500</v>
      </c>
      <c r="N437" s="8" t="n">
        <v>4</v>
      </c>
    </row>
    <row r="438" customFormat="false" ht="15" hidden="false" customHeight="false" outlineLevel="0" collapsed="false">
      <c r="A438" s="8" t="s">
        <v>109</v>
      </c>
      <c r="B438" s="8" t="s">
        <v>24</v>
      </c>
      <c r="C438" s="8" t="s">
        <v>522</v>
      </c>
      <c r="D438" s="8" t="s">
        <v>576</v>
      </c>
      <c r="E438" s="8" t="s">
        <v>515</v>
      </c>
      <c r="F438" s="56" t="n">
        <v>11576.66</v>
      </c>
      <c r="G438" s="56" t="n">
        <v>1583.33</v>
      </c>
      <c r="H438" s="43" t="n">
        <v>0.0867</v>
      </c>
      <c r="I438" s="56" t="n">
        <v>500</v>
      </c>
      <c r="J438" s="8" t="s">
        <v>581</v>
      </c>
      <c r="K438" s="19" t="n">
        <f aca="false">IF(G438=0,"",F438/G438)</f>
        <v>7.31159012966343</v>
      </c>
      <c r="L438" s="27" t="n">
        <v>1.511</v>
      </c>
      <c r="M438" s="56" t="n">
        <v>1500</v>
      </c>
      <c r="N438" s="8" t="n">
        <v>4</v>
      </c>
    </row>
    <row r="439" customFormat="false" ht="15" hidden="false" customHeight="false" outlineLevel="0" collapsed="false">
      <c r="A439" s="8" t="s">
        <v>109</v>
      </c>
      <c r="B439" s="8" t="s">
        <v>24</v>
      </c>
      <c r="C439" s="8" t="s">
        <v>525</v>
      </c>
      <c r="D439" s="8" t="s">
        <v>578</v>
      </c>
      <c r="E439" s="8" t="s">
        <v>513</v>
      </c>
      <c r="F439" s="56" t="n">
        <v>5359.75</v>
      </c>
      <c r="G439" s="56" t="n">
        <v>1254.66</v>
      </c>
      <c r="H439" s="43" t="n">
        <v>0.0978</v>
      </c>
      <c r="I439" s="56" t="n">
        <v>468.22</v>
      </c>
      <c r="J439" s="8" t="s">
        <v>581</v>
      </c>
      <c r="K439" s="19" t="n">
        <f aca="false">IF(G439=0,"",F439/G439)</f>
        <v>4.27187445204278</v>
      </c>
      <c r="L439" s="27" t="n">
        <v>1.706</v>
      </c>
      <c r="M439" s="56" t="n">
        <v>1254.66</v>
      </c>
      <c r="N439" s="8" t="n">
        <v>15</v>
      </c>
    </row>
    <row r="440" customFormat="false" ht="15" hidden="false" customHeight="false" outlineLevel="0" collapsed="false">
      <c r="A440" s="8" t="s">
        <v>109</v>
      </c>
      <c r="B440" s="8" t="s">
        <v>24</v>
      </c>
      <c r="C440" s="8" t="s">
        <v>525</v>
      </c>
      <c r="D440" s="8" t="s">
        <v>578</v>
      </c>
      <c r="E440" s="8" t="s">
        <v>515</v>
      </c>
      <c r="F440" s="56" t="n">
        <v>5359.75</v>
      </c>
      <c r="G440" s="56" t="n">
        <v>1254.66</v>
      </c>
      <c r="H440" s="43" t="n">
        <v>0.0978</v>
      </c>
      <c r="I440" s="56" t="n">
        <v>468.22</v>
      </c>
      <c r="J440" s="8" t="s">
        <v>581</v>
      </c>
      <c r="K440" s="19" t="n">
        <f aca="false">IF(G440=0,"",F440/G440)</f>
        <v>4.27187445204278</v>
      </c>
      <c r="L440" s="27" t="n">
        <v>1.706</v>
      </c>
      <c r="M440" s="56" t="n">
        <v>1254.66</v>
      </c>
      <c r="N440" s="8" t="n">
        <v>15</v>
      </c>
    </row>
    <row r="441" customFormat="false" ht="15" hidden="false" customHeight="false" outlineLevel="0" collapsed="false">
      <c r="A441" s="8" t="s">
        <v>109</v>
      </c>
      <c r="B441" s="8" t="s">
        <v>24</v>
      </c>
      <c r="C441" s="8" t="s">
        <v>516</v>
      </c>
      <c r="D441" s="8" t="s">
        <v>580</v>
      </c>
      <c r="E441" s="8" t="s">
        <v>513</v>
      </c>
      <c r="F441" s="56" t="n">
        <v>8159.27</v>
      </c>
      <c r="G441" s="56" t="n">
        <v>1091.07</v>
      </c>
      <c r="H441" s="43" t="n">
        <v>0.0773</v>
      </c>
      <c r="I441" s="56" t="n">
        <v>185.43</v>
      </c>
      <c r="J441" s="8" t="s">
        <v>581</v>
      </c>
      <c r="K441" s="19" t="n">
        <f aca="false">IF(G441=0,"",F441/G441)</f>
        <v>7.47822779473361</v>
      </c>
      <c r="L441" s="27" t="n">
        <v>1.584</v>
      </c>
      <c r="M441" s="56" t="n">
        <v>1081.05</v>
      </c>
      <c r="N441" s="8" t="n">
        <v>3</v>
      </c>
    </row>
    <row r="442" customFormat="false" ht="15" hidden="false" customHeight="false" outlineLevel="0" collapsed="false">
      <c r="A442" s="8" t="s">
        <v>109</v>
      </c>
      <c r="B442" s="8" t="s">
        <v>24</v>
      </c>
      <c r="C442" s="8" t="s">
        <v>516</v>
      </c>
      <c r="D442" s="8" t="s">
        <v>580</v>
      </c>
      <c r="E442" s="8" t="s">
        <v>515</v>
      </c>
      <c r="F442" s="56" t="n">
        <v>8159.27</v>
      </c>
      <c r="G442" s="56" t="n">
        <v>1091.07</v>
      </c>
      <c r="H442" s="43" t="n">
        <v>0.0773</v>
      </c>
      <c r="I442" s="56" t="n">
        <v>185.43</v>
      </c>
      <c r="J442" s="8" t="s">
        <v>581</v>
      </c>
      <c r="K442" s="19" t="n">
        <f aca="false">IF(G442=0,"",F442/G442)</f>
        <v>7.47822779473361</v>
      </c>
      <c r="L442" s="27" t="n">
        <v>1.584</v>
      </c>
      <c r="M442" s="56" t="n">
        <v>1081.05</v>
      </c>
      <c r="N442" s="8" t="n">
        <v>3</v>
      </c>
    </row>
    <row r="443" customFormat="false" ht="15" hidden="false" customHeight="false" outlineLevel="0" collapsed="false">
      <c r="A443" s="8" t="s">
        <v>109</v>
      </c>
      <c r="B443" s="8" t="s">
        <v>24</v>
      </c>
      <c r="C443" s="8" t="s">
        <v>521</v>
      </c>
      <c r="D443" s="8" t="s">
        <v>582</v>
      </c>
      <c r="E443" s="8" t="s">
        <v>513</v>
      </c>
      <c r="F443" s="56" t="n">
        <v>4653.18</v>
      </c>
      <c r="G443" s="56" t="n">
        <v>953.36</v>
      </c>
      <c r="H443" s="43" t="n">
        <v>0.0709</v>
      </c>
      <c r="I443" s="56" t="n">
        <v>250</v>
      </c>
      <c r="J443" s="8" t="s">
        <v>581</v>
      </c>
      <c r="K443" s="19" t="n">
        <f aca="false">IF(G443=0,"",F443/G443)</f>
        <v>4.88082151548209</v>
      </c>
      <c r="L443" s="27" t="n">
        <v>1.651</v>
      </c>
      <c r="M443" s="56" t="n">
        <v>750</v>
      </c>
      <c r="N443" s="8" t="n">
        <v>12</v>
      </c>
    </row>
    <row r="444" customFormat="false" ht="15" hidden="false" customHeight="false" outlineLevel="0" collapsed="false">
      <c r="A444" s="8" t="s">
        <v>109</v>
      </c>
      <c r="B444" s="8" t="s">
        <v>24</v>
      </c>
      <c r="C444" s="8" t="s">
        <v>521</v>
      </c>
      <c r="D444" s="8" t="s">
        <v>582</v>
      </c>
      <c r="E444" s="8" t="s">
        <v>515</v>
      </c>
      <c r="F444" s="56" t="n">
        <v>4653.18</v>
      </c>
      <c r="G444" s="56" t="n">
        <v>953.36</v>
      </c>
      <c r="H444" s="43" t="n">
        <v>0.0709</v>
      </c>
      <c r="I444" s="56" t="n">
        <v>250</v>
      </c>
      <c r="J444" s="8" t="s">
        <v>581</v>
      </c>
      <c r="K444" s="19" t="n">
        <f aca="false">IF(G444=0,"",F444/G444)</f>
        <v>4.88082151548209</v>
      </c>
      <c r="L444" s="27" t="n">
        <v>1.651</v>
      </c>
      <c r="M444" s="56" t="n">
        <v>750</v>
      </c>
      <c r="N444" s="8" t="n">
        <v>12</v>
      </c>
    </row>
    <row r="446" customFormat="false" ht="15" hidden="false" customHeight="false" outlineLevel="0" collapsed="false">
      <c r="A446" s="48" t="s">
        <v>109</v>
      </c>
      <c r="B446" s="48" t="s">
        <v>59</v>
      </c>
      <c r="C446" s="48" t="s">
        <v>47</v>
      </c>
      <c r="D446" s="48" t="s">
        <v>547</v>
      </c>
      <c r="E446" s="48" t="s">
        <v>513</v>
      </c>
      <c r="F446" s="57" t="n">
        <v>1682.55</v>
      </c>
      <c r="G446" s="57" t="n">
        <v>288.64</v>
      </c>
      <c r="H446" s="58" t="n">
        <v>0.0242</v>
      </c>
      <c r="I446" s="57" t="n">
        <v>50</v>
      </c>
      <c r="J446" s="48" t="s">
        <v>581</v>
      </c>
      <c r="K446" s="59" t="n">
        <f aca="false">IF(G446=0,"",F446/G446)</f>
        <v>5.82923364745011</v>
      </c>
      <c r="L446" s="50" t="n">
        <v>1.601</v>
      </c>
      <c r="M446" s="57" t="n">
        <v>150</v>
      </c>
      <c r="N446" s="48" t="n">
        <v>1</v>
      </c>
    </row>
    <row r="447" customFormat="false" ht="15" hidden="false" customHeight="false" outlineLevel="0" collapsed="false">
      <c r="A447" s="48" t="s">
        <v>109</v>
      </c>
      <c r="B447" s="48" t="s">
        <v>59</v>
      </c>
      <c r="C447" s="48" t="s">
        <v>47</v>
      </c>
      <c r="D447" s="48" t="s">
        <v>547</v>
      </c>
      <c r="E447" s="48" t="s">
        <v>515</v>
      </c>
      <c r="F447" s="57" t="n">
        <v>1682.55</v>
      </c>
      <c r="G447" s="57" t="n">
        <v>288.64</v>
      </c>
      <c r="H447" s="58" t="n">
        <v>0.0242</v>
      </c>
      <c r="I447" s="57" t="n">
        <v>50</v>
      </c>
      <c r="J447" s="48" t="s">
        <v>581</v>
      </c>
      <c r="K447" s="59" t="n">
        <f aca="false">IF(G447=0,"",F447/G447)</f>
        <v>5.82923364745011</v>
      </c>
      <c r="L447" s="50" t="n">
        <v>1.601</v>
      </c>
      <c r="M447" s="57" t="n">
        <v>150</v>
      </c>
      <c r="N447" s="48" t="n">
        <v>1</v>
      </c>
    </row>
    <row r="448" customFormat="false" ht="15" hidden="false" customHeight="false" outlineLevel="0" collapsed="false">
      <c r="A448" s="8" t="s">
        <v>109</v>
      </c>
      <c r="B448" s="8" t="s">
        <v>59</v>
      </c>
      <c r="C448" s="8" t="s">
        <v>535</v>
      </c>
      <c r="D448" s="8" t="s">
        <v>550</v>
      </c>
      <c r="E448" s="8" t="s">
        <v>513</v>
      </c>
      <c r="F448" s="56" t="n">
        <v>4282.56</v>
      </c>
      <c r="G448" s="56" t="n">
        <v>1368.38</v>
      </c>
      <c r="H448" s="43" t="n">
        <v>0.0962</v>
      </c>
      <c r="I448" s="56" t="n">
        <v>1418.38</v>
      </c>
      <c r="J448" s="8" t="s">
        <v>581</v>
      </c>
      <c r="K448" s="19" t="n">
        <f aca="false">IF(G448=0,"",F448/G448)</f>
        <v>3.12965696663208</v>
      </c>
      <c r="L448" s="27" t="n">
        <v>1.863</v>
      </c>
      <c r="M448" s="56" t="n">
        <v>1063.79</v>
      </c>
      <c r="N448" s="8" t="s">
        <v>549</v>
      </c>
    </row>
    <row r="449" customFormat="false" ht="15" hidden="false" customHeight="false" outlineLevel="0" collapsed="false">
      <c r="A449" s="8" t="s">
        <v>109</v>
      </c>
      <c r="B449" s="8" t="s">
        <v>59</v>
      </c>
      <c r="C449" s="8" t="s">
        <v>535</v>
      </c>
      <c r="D449" s="8" t="s">
        <v>550</v>
      </c>
      <c r="E449" s="8" t="s">
        <v>515</v>
      </c>
      <c r="F449" s="56" t="n">
        <v>3563.57</v>
      </c>
      <c r="G449" s="56" t="n">
        <v>1159.19</v>
      </c>
      <c r="H449" s="43" t="n">
        <v>0.0815</v>
      </c>
      <c r="I449" s="56" t="n">
        <v>500</v>
      </c>
      <c r="J449" s="8" t="s">
        <v>581</v>
      </c>
      <c r="K449" s="19" t="n">
        <f aca="false">IF(G449=0,"",F449/G449)</f>
        <v>3.0741897359363</v>
      </c>
      <c r="L449" s="27" t="n">
        <v>1.75</v>
      </c>
      <c r="M449" s="56" t="n">
        <v>854.6</v>
      </c>
      <c r="N449" s="8" t="n">
        <v>16</v>
      </c>
    </row>
    <row r="450" customFormat="false" ht="15" hidden="false" customHeight="false" outlineLevel="0" collapsed="false">
      <c r="A450" s="8" t="s">
        <v>109</v>
      </c>
      <c r="B450" s="8" t="s">
        <v>59</v>
      </c>
      <c r="C450" s="8" t="s">
        <v>527</v>
      </c>
      <c r="D450" s="8" t="s">
        <v>553</v>
      </c>
      <c r="E450" s="8" t="s">
        <v>513</v>
      </c>
      <c r="F450" s="56" t="n">
        <v>2338.54</v>
      </c>
      <c r="G450" s="56" t="n">
        <v>543.5</v>
      </c>
      <c r="H450" s="43" t="n">
        <v>0.043</v>
      </c>
      <c r="I450" s="56" t="n">
        <v>231.17</v>
      </c>
      <c r="J450" s="8" t="s">
        <v>581</v>
      </c>
      <c r="K450" s="19" t="n">
        <f aca="false">IF(G450=0,"",F450/G450)</f>
        <v>4.30274149034039</v>
      </c>
      <c r="L450" s="27" t="n">
        <v>1.649</v>
      </c>
      <c r="M450" s="56" t="n">
        <v>303.41</v>
      </c>
      <c r="N450" s="8" t="n">
        <v>8</v>
      </c>
    </row>
    <row r="451" customFormat="false" ht="15" hidden="false" customHeight="false" outlineLevel="0" collapsed="false">
      <c r="A451" s="8" t="s">
        <v>109</v>
      </c>
      <c r="B451" s="8" t="s">
        <v>59</v>
      </c>
      <c r="C451" s="8" t="s">
        <v>527</v>
      </c>
      <c r="D451" s="8" t="s">
        <v>553</v>
      </c>
      <c r="E451" s="8" t="s">
        <v>515</v>
      </c>
      <c r="F451" s="56" t="n">
        <v>2338.54</v>
      </c>
      <c r="G451" s="56" t="n">
        <v>543.5</v>
      </c>
      <c r="H451" s="43" t="n">
        <v>0.043</v>
      </c>
      <c r="I451" s="56" t="n">
        <v>231.17</v>
      </c>
      <c r="J451" s="8" t="s">
        <v>581</v>
      </c>
      <c r="K451" s="19" t="n">
        <f aca="false">IF(G451=0,"",F451/G451)</f>
        <v>4.30274149034039</v>
      </c>
      <c r="L451" s="27" t="n">
        <v>1.649</v>
      </c>
      <c r="M451" s="56" t="n">
        <v>303.41</v>
      </c>
      <c r="N451" s="8" t="n">
        <v>8</v>
      </c>
    </row>
    <row r="452" customFormat="false" ht="15" hidden="false" customHeight="false" outlineLevel="0" collapsed="false">
      <c r="A452" s="8" t="s">
        <v>109</v>
      </c>
      <c r="B452" s="8" t="s">
        <v>59</v>
      </c>
      <c r="C452" s="8" t="s">
        <v>529</v>
      </c>
      <c r="D452" s="8" t="s">
        <v>556</v>
      </c>
      <c r="E452" s="8" t="s">
        <v>513</v>
      </c>
      <c r="F452" s="56" t="n">
        <v>2711.28</v>
      </c>
      <c r="G452" s="56" t="n">
        <v>660.06</v>
      </c>
      <c r="H452" s="43" t="n">
        <v>0.0508</v>
      </c>
      <c r="I452" s="56" t="n">
        <v>380.03</v>
      </c>
      <c r="J452" s="8" t="s">
        <v>581</v>
      </c>
      <c r="K452" s="19" t="n">
        <f aca="false">IF(G452=0,"",F452/G452)</f>
        <v>4.10762657940187</v>
      </c>
      <c r="L452" s="27" t="n">
        <v>1.71</v>
      </c>
      <c r="M452" s="56" t="n">
        <v>422.26</v>
      </c>
      <c r="N452" s="8" t="n">
        <v>10</v>
      </c>
    </row>
    <row r="453" customFormat="false" ht="15" hidden="false" customHeight="false" outlineLevel="0" collapsed="false">
      <c r="A453" s="8" t="s">
        <v>109</v>
      </c>
      <c r="B453" s="8" t="s">
        <v>59</v>
      </c>
      <c r="C453" s="8" t="s">
        <v>529</v>
      </c>
      <c r="D453" s="8" t="s">
        <v>556</v>
      </c>
      <c r="E453" s="8" t="s">
        <v>515</v>
      </c>
      <c r="F453" s="56" t="n">
        <v>2711.28</v>
      </c>
      <c r="G453" s="56" t="n">
        <v>660.06</v>
      </c>
      <c r="H453" s="43" t="n">
        <v>0.0508</v>
      </c>
      <c r="I453" s="56" t="n">
        <v>380.03</v>
      </c>
      <c r="J453" s="8" t="s">
        <v>581</v>
      </c>
      <c r="K453" s="19" t="n">
        <f aca="false">IF(G453=0,"",F453/G453)</f>
        <v>4.10762657940187</v>
      </c>
      <c r="L453" s="27" t="n">
        <v>1.71</v>
      </c>
      <c r="M453" s="56" t="n">
        <v>422.26</v>
      </c>
      <c r="N453" s="8" t="n">
        <v>10</v>
      </c>
    </row>
    <row r="454" customFormat="false" ht="15" hidden="false" customHeight="false" outlineLevel="0" collapsed="false">
      <c r="A454" s="8" t="s">
        <v>109</v>
      </c>
      <c r="B454" s="8" t="s">
        <v>59</v>
      </c>
      <c r="C454" s="8" t="s">
        <v>534</v>
      </c>
      <c r="D454" s="8" t="s">
        <v>559</v>
      </c>
      <c r="E454" s="8" t="s">
        <v>513</v>
      </c>
      <c r="F454" s="56" t="n">
        <v>4645.82</v>
      </c>
      <c r="G454" s="56" t="n">
        <v>1504.6</v>
      </c>
      <c r="H454" s="43" t="n">
        <v>0.1035</v>
      </c>
      <c r="I454" s="56" t="n">
        <v>1600</v>
      </c>
      <c r="J454" s="8" t="s">
        <v>581</v>
      </c>
      <c r="K454" s="19" t="n">
        <f aca="false">IF(G454=0,"",F454/G454)</f>
        <v>3.08774425096371</v>
      </c>
      <c r="L454" s="27" t="n">
        <v>1.902</v>
      </c>
      <c r="M454" s="56" t="n">
        <v>1200</v>
      </c>
      <c r="N454" s="8" t="s">
        <v>549</v>
      </c>
    </row>
    <row r="455" customFormat="false" ht="15" hidden="false" customHeight="false" outlineLevel="0" collapsed="false">
      <c r="A455" s="8" t="s">
        <v>109</v>
      </c>
      <c r="B455" s="8" t="s">
        <v>59</v>
      </c>
      <c r="C455" s="8" t="s">
        <v>534</v>
      </c>
      <c r="D455" s="8" t="s">
        <v>559</v>
      </c>
      <c r="E455" s="8" t="s">
        <v>515</v>
      </c>
      <c r="F455" s="56" t="n">
        <v>3834.09</v>
      </c>
      <c r="G455" s="56" t="n">
        <v>1204.6</v>
      </c>
      <c r="H455" s="43" t="n">
        <v>0.0829</v>
      </c>
      <c r="I455" s="56" t="n">
        <v>500</v>
      </c>
      <c r="J455" s="8" t="s">
        <v>581</v>
      </c>
      <c r="K455" s="19" t="n">
        <f aca="false">IF(G455=0,"",F455/G455)</f>
        <v>3.18287398306492</v>
      </c>
      <c r="L455" s="27" t="n">
        <v>1.791</v>
      </c>
      <c r="M455" s="56" t="n">
        <v>900</v>
      </c>
      <c r="N455" s="8" t="n">
        <v>15</v>
      </c>
    </row>
    <row r="456" customFormat="false" ht="15" hidden="false" customHeight="false" outlineLevel="0" collapsed="false">
      <c r="A456" s="8" t="s">
        <v>109</v>
      </c>
      <c r="B456" s="8" t="s">
        <v>59</v>
      </c>
      <c r="C456" s="8" t="s">
        <v>530</v>
      </c>
      <c r="D456" s="8" t="s">
        <v>560</v>
      </c>
      <c r="E456" s="8" t="s">
        <v>513</v>
      </c>
      <c r="F456" s="56" t="n">
        <v>4194.66</v>
      </c>
      <c r="G456" s="56" t="n">
        <v>1329.67</v>
      </c>
      <c r="H456" s="43" t="n">
        <v>0.0939</v>
      </c>
      <c r="I456" s="56" t="n">
        <v>1353.59</v>
      </c>
      <c r="J456" s="8" t="s">
        <v>581</v>
      </c>
      <c r="K456" s="19" t="n">
        <f aca="false">IF(G456=0,"",F456/G456)</f>
        <v>3.15466243504027</v>
      </c>
      <c r="L456" s="27" t="n">
        <v>1.856</v>
      </c>
      <c r="M456" s="56" t="n">
        <v>1028.63</v>
      </c>
      <c r="N456" s="8" t="s">
        <v>549</v>
      </c>
    </row>
    <row r="457" customFormat="false" ht="15" hidden="false" customHeight="false" outlineLevel="0" collapsed="false">
      <c r="A457" s="8" t="s">
        <v>109</v>
      </c>
      <c r="B457" s="8" t="s">
        <v>59</v>
      </c>
      <c r="C457" s="8" t="s">
        <v>530</v>
      </c>
      <c r="D457" s="8" t="s">
        <v>560</v>
      </c>
      <c r="E457" s="8" t="s">
        <v>515</v>
      </c>
      <c r="F457" s="56" t="n">
        <v>3515.46</v>
      </c>
      <c r="G457" s="56" t="n">
        <v>1146.17</v>
      </c>
      <c r="H457" s="43" t="n">
        <v>0.081</v>
      </c>
      <c r="I457" s="56" t="n">
        <v>500</v>
      </c>
      <c r="J457" s="8" t="s">
        <v>581</v>
      </c>
      <c r="K457" s="19" t="n">
        <f aca="false">IF(G457=0,"",F457/G457)</f>
        <v>3.06713663767155</v>
      </c>
      <c r="L457" s="27" t="n">
        <v>1.745</v>
      </c>
      <c r="M457" s="56" t="n">
        <v>845.13</v>
      </c>
      <c r="N457" s="8" t="n">
        <v>17</v>
      </c>
    </row>
    <row r="458" customFormat="false" ht="15" hidden="false" customHeight="false" outlineLevel="0" collapsed="false">
      <c r="A458" s="8" t="s">
        <v>109</v>
      </c>
      <c r="B458" s="8" t="s">
        <v>59</v>
      </c>
      <c r="C458" s="8" t="s">
        <v>524</v>
      </c>
      <c r="D458" s="8" t="s">
        <v>561</v>
      </c>
      <c r="E458" s="8" t="s">
        <v>513</v>
      </c>
      <c r="F458" s="56" t="n">
        <v>2687.25</v>
      </c>
      <c r="G458" s="56" t="n">
        <v>743.76</v>
      </c>
      <c r="H458" s="43" t="n">
        <v>0.057</v>
      </c>
      <c r="I458" s="56" t="n">
        <v>275</v>
      </c>
      <c r="J458" s="8" t="s">
        <v>581</v>
      </c>
      <c r="K458" s="19" t="n">
        <f aca="false">IF(G458=0,"",F458/G458)</f>
        <v>3.61306066473056</v>
      </c>
      <c r="L458" s="27" t="n">
        <v>1.569</v>
      </c>
      <c r="M458" s="56" t="n">
        <v>600</v>
      </c>
      <c r="N458" s="8" t="n">
        <v>13</v>
      </c>
    </row>
    <row r="459" customFormat="false" ht="15" hidden="false" customHeight="false" outlineLevel="0" collapsed="false">
      <c r="A459" s="8" t="s">
        <v>109</v>
      </c>
      <c r="B459" s="8" t="s">
        <v>59</v>
      </c>
      <c r="C459" s="8" t="s">
        <v>524</v>
      </c>
      <c r="D459" s="8" t="s">
        <v>561</v>
      </c>
      <c r="E459" s="8" t="s">
        <v>515</v>
      </c>
      <c r="F459" s="56" t="n">
        <v>2687.25</v>
      </c>
      <c r="G459" s="56" t="n">
        <v>743.76</v>
      </c>
      <c r="H459" s="43" t="n">
        <v>0.057</v>
      </c>
      <c r="I459" s="56" t="n">
        <v>275</v>
      </c>
      <c r="J459" s="8" t="s">
        <v>581</v>
      </c>
      <c r="K459" s="19" t="n">
        <f aca="false">IF(G459=0,"",F459/G459)</f>
        <v>3.61306066473056</v>
      </c>
      <c r="L459" s="27" t="n">
        <v>1.569</v>
      </c>
      <c r="M459" s="56" t="n">
        <v>600</v>
      </c>
      <c r="N459" s="8" t="n">
        <v>13</v>
      </c>
    </row>
    <row r="460" customFormat="false" ht="15" hidden="false" customHeight="false" outlineLevel="0" collapsed="false">
      <c r="A460" s="8" t="s">
        <v>109</v>
      </c>
      <c r="B460" s="8" t="s">
        <v>59</v>
      </c>
      <c r="C460" s="8" t="s">
        <v>533</v>
      </c>
      <c r="D460" s="8" t="s">
        <v>563</v>
      </c>
      <c r="E460" s="8" t="s">
        <v>513</v>
      </c>
      <c r="F460" s="56" t="n">
        <v>2940.03</v>
      </c>
      <c r="G460" s="56" t="n">
        <v>582.97</v>
      </c>
      <c r="H460" s="43" t="n">
        <v>0.0444</v>
      </c>
      <c r="I460" s="56" t="n">
        <v>400</v>
      </c>
      <c r="J460" s="8" t="s">
        <v>581</v>
      </c>
      <c r="K460" s="19" t="n">
        <f aca="false">IF(G460=0,"",F460/G460)</f>
        <v>5.0431926171158</v>
      </c>
      <c r="L460" s="27" t="n">
        <v>1.805</v>
      </c>
      <c r="M460" s="56" t="n">
        <v>400</v>
      </c>
      <c r="N460" s="8" t="n">
        <v>4</v>
      </c>
    </row>
    <row r="461" customFormat="false" ht="15" hidden="false" customHeight="false" outlineLevel="0" collapsed="false">
      <c r="A461" s="8" t="s">
        <v>109</v>
      </c>
      <c r="B461" s="8" t="s">
        <v>59</v>
      </c>
      <c r="C461" s="8" t="s">
        <v>533</v>
      </c>
      <c r="D461" s="8" t="s">
        <v>563</v>
      </c>
      <c r="E461" s="8" t="s">
        <v>515</v>
      </c>
      <c r="F461" s="56" t="n">
        <v>2940.03</v>
      </c>
      <c r="G461" s="56" t="n">
        <v>582.97</v>
      </c>
      <c r="H461" s="43" t="n">
        <v>0.0444</v>
      </c>
      <c r="I461" s="56" t="n">
        <v>400</v>
      </c>
      <c r="J461" s="8" t="s">
        <v>581</v>
      </c>
      <c r="K461" s="19" t="n">
        <f aca="false">IF(G461=0,"",F461/G461)</f>
        <v>5.0431926171158</v>
      </c>
      <c r="L461" s="27" t="n">
        <v>1.805</v>
      </c>
      <c r="M461" s="56" t="n">
        <v>400</v>
      </c>
      <c r="N461" s="8" t="n">
        <v>4</v>
      </c>
    </row>
    <row r="462" customFormat="false" ht="15" hidden="false" customHeight="false" outlineLevel="0" collapsed="false">
      <c r="A462" s="8" t="s">
        <v>109</v>
      </c>
      <c r="B462" s="8" t="s">
        <v>59</v>
      </c>
      <c r="C462" s="8" t="s">
        <v>523</v>
      </c>
      <c r="D462" s="8" t="s">
        <v>566</v>
      </c>
      <c r="E462" s="8" t="s">
        <v>513</v>
      </c>
      <c r="F462" s="56" t="n">
        <v>2700.82</v>
      </c>
      <c r="G462" s="56" t="n">
        <v>627.3</v>
      </c>
      <c r="H462" s="43" t="n">
        <v>0.048</v>
      </c>
      <c r="I462" s="56" t="n">
        <v>250</v>
      </c>
      <c r="J462" s="8" t="s">
        <v>581</v>
      </c>
      <c r="K462" s="19" t="n">
        <f aca="false">IF(G462=0,"",F462/G462)</f>
        <v>4.30546787820819</v>
      </c>
      <c r="L462" s="27" t="n">
        <v>1.621</v>
      </c>
      <c r="M462" s="56" t="n">
        <v>450</v>
      </c>
      <c r="N462" s="8" t="n">
        <v>7</v>
      </c>
    </row>
    <row r="463" customFormat="false" ht="15" hidden="false" customHeight="false" outlineLevel="0" collapsed="false">
      <c r="A463" s="8" t="s">
        <v>109</v>
      </c>
      <c r="B463" s="8" t="s">
        <v>59</v>
      </c>
      <c r="C463" s="8" t="s">
        <v>523</v>
      </c>
      <c r="D463" s="8" t="s">
        <v>566</v>
      </c>
      <c r="E463" s="8" t="s">
        <v>515</v>
      </c>
      <c r="F463" s="56" t="n">
        <v>2700.82</v>
      </c>
      <c r="G463" s="56" t="n">
        <v>627.3</v>
      </c>
      <c r="H463" s="43" t="n">
        <v>0.048</v>
      </c>
      <c r="I463" s="56" t="n">
        <v>250</v>
      </c>
      <c r="J463" s="8" t="s">
        <v>581</v>
      </c>
      <c r="K463" s="19" t="n">
        <f aca="false">IF(G463=0,"",F463/G463)</f>
        <v>4.30546787820819</v>
      </c>
      <c r="L463" s="27" t="n">
        <v>1.621</v>
      </c>
      <c r="M463" s="56" t="n">
        <v>450</v>
      </c>
      <c r="N463" s="8" t="n">
        <v>7</v>
      </c>
    </row>
    <row r="464" customFormat="false" ht="15" hidden="false" customHeight="false" outlineLevel="0" collapsed="false">
      <c r="A464" s="8" t="s">
        <v>109</v>
      </c>
      <c r="B464" s="8" t="s">
        <v>59</v>
      </c>
      <c r="C464" s="8" t="s">
        <v>519</v>
      </c>
      <c r="D464" s="8" t="s">
        <v>567</v>
      </c>
      <c r="E464" s="8" t="s">
        <v>513</v>
      </c>
      <c r="F464" s="56" t="n">
        <v>1774.85</v>
      </c>
      <c r="G464" s="56" t="n">
        <v>347.6</v>
      </c>
      <c r="H464" s="43" t="n">
        <v>0.029</v>
      </c>
      <c r="I464" s="56" t="n">
        <v>120.68</v>
      </c>
      <c r="J464" s="8" t="s">
        <v>581</v>
      </c>
      <c r="K464" s="19" t="n">
        <f aca="false">IF(G464=0,"",F464/G464)</f>
        <v>5.10601265822785</v>
      </c>
      <c r="L464" s="27" t="n">
        <v>1.618</v>
      </c>
      <c r="M464" s="56" t="n">
        <v>162.16</v>
      </c>
      <c r="N464" s="8" t="n">
        <v>3</v>
      </c>
    </row>
    <row r="465" customFormat="false" ht="15" hidden="false" customHeight="false" outlineLevel="0" collapsed="false">
      <c r="A465" s="8" t="s">
        <v>109</v>
      </c>
      <c r="B465" s="8" t="s">
        <v>59</v>
      </c>
      <c r="C465" s="8" t="s">
        <v>519</v>
      </c>
      <c r="D465" s="8" t="s">
        <v>567</v>
      </c>
      <c r="E465" s="8" t="s">
        <v>515</v>
      </c>
      <c r="F465" s="56" t="n">
        <v>1774.85</v>
      </c>
      <c r="G465" s="56" t="n">
        <v>347.6</v>
      </c>
      <c r="H465" s="43" t="n">
        <v>0.029</v>
      </c>
      <c r="I465" s="56" t="n">
        <v>120.68</v>
      </c>
      <c r="J465" s="8" t="s">
        <v>581</v>
      </c>
      <c r="K465" s="19" t="n">
        <f aca="false">IF(G465=0,"",F465/G465)</f>
        <v>5.10601265822785</v>
      </c>
      <c r="L465" s="27" t="n">
        <v>1.618</v>
      </c>
      <c r="M465" s="56" t="n">
        <v>162.16</v>
      </c>
      <c r="N465" s="8" t="n">
        <v>3</v>
      </c>
    </row>
    <row r="466" customFormat="false" ht="15" hidden="false" customHeight="false" outlineLevel="0" collapsed="false">
      <c r="A466" s="8" t="s">
        <v>109</v>
      </c>
      <c r="B466" s="8" t="s">
        <v>59</v>
      </c>
      <c r="C466" s="8" t="s">
        <v>528</v>
      </c>
      <c r="D466" s="8" t="s">
        <v>570</v>
      </c>
      <c r="E466" s="8" t="s">
        <v>513</v>
      </c>
      <c r="F466" s="56" t="n">
        <v>5082.19</v>
      </c>
      <c r="G466" s="56" t="n">
        <v>2356.91</v>
      </c>
      <c r="H466" s="43" t="n">
        <v>0.1419</v>
      </c>
      <c r="I466" s="56" t="n">
        <v>819.85</v>
      </c>
      <c r="J466" s="8" t="s">
        <v>581</v>
      </c>
      <c r="K466" s="19" t="n">
        <f aca="false">IF(G466=0,"",F466/G466)</f>
        <v>2.15629362173354</v>
      </c>
      <c r="L466" s="27" t="n">
        <v>1.482</v>
      </c>
      <c r="M466" s="56" t="n">
        <v>1076.05</v>
      </c>
      <c r="N466" s="8" t="s">
        <v>549</v>
      </c>
    </row>
    <row r="467" customFormat="false" ht="15" hidden="false" customHeight="false" outlineLevel="0" collapsed="false">
      <c r="A467" s="8" t="s">
        <v>109</v>
      </c>
      <c r="B467" s="8" t="s">
        <v>59</v>
      </c>
      <c r="C467" s="8" t="s">
        <v>528</v>
      </c>
      <c r="D467" s="8" t="s">
        <v>570</v>
      </c>
      <c r="E467" s="8" t="s">
        <v>515</v>
      </c>
      <c r="F467" s="56" t="n">
        <v>4873.81</v>
      </c>
      <c r="G467" s="56" t="n">
        <v>2242.02</v>
      </c>
      <c r="H467" s="43" t="n">
        <v>0.135</v>
      </c>
      <c r="I467" s="56" t="n">
        <v>500</v>
      </c>
      <c r="J467" s="8" t="s">
        <v>581</v>
      </c>
      <c r="K467" s="19" t="n">
        <f aca="false">IF(G467=0,"",F467/G467)</f>
        <v>2.17384769092158</v>
      </c>
      <c r="L467" s="27" t="n">
        <v>1.467</v>
      </c>
      <c r="M467" s="56" t="n">
        <v>1016.34</v>
      </c>
      <c r="N467" s="8" t="n">
        <v>18</v>
      </c>
    </row>
    <row r="468" customFormat="false" ht="15" hidden="false" customHeight="false" outlineLevel="0" collapsed="false">
      <c r="A468" s="8" t="s">
        <v>109</v>
      </c>
      <c r="B468" s="8" t="s">
        <v>59</v>
      </c>
      <c r="C468" s="8" t="s">
        <v>531</v>
      </c>
      <c r="D468" s="8" t="s">
        <v>571</v>
      </c>
      <c r="E468" s="8" t="s">
        <v>513</v>
      </c>
      <c r="F468" s="56" t="n">
        <v>7641.27</v>
      </c>
      <c r="G468" s="56" t="n">
        <v>1757.28</v>
      </c>
      <c r="H468" s="43" t="n">
        <v>0.1203</v>
      </c>
      <c r="I468" s="56" t="n">
        <v>800</v>
      </c>
      <c r="J468" s="8" t="s">
        <v>581</v>
      </c>
      <c r="K468" s="19" t="n">
        <f aca="false">IF(G468=0,"",F468/G468)</f>
        <v>4.34835086042065</v>
      </c>
      <c r="L468" s="27" t="n">
        <v>1.632</v>
      </c>
      <c r="M468" s="56" t="n">
        <v>1500</v>
      </c>
      <c r="N468" s="8" t="s">
        <v>549</v>
      </c>
    </row>
    <row r="469" customFormat="false" ht="15" hidden="false" customHeight="false" outlineLevel="0" collapsed="false">
      <c r="A469" s="8" t="s">
        <v>109</v>
      </c>
      <c r="B469" s="8" t="s">
        <v>59</v>
      </c>
      <c r="C469" s="8" t="s">
        <v>531</v>
      </c>
      <c r="D469" s="8" t="s">
        <v>571</v>
      </c>
      <c r="E469" s="8" t="s">
        <v>515</v>
      </c>
      <c r="F469" s="56" t="n">
        <v>7110.95</v>
      </c>
      <c r="G469" s="56" t="n">
        <v>1614.78</v>
      </c>
      <c r="H469" s="43" t="n">
        <v>0.11</v>
      </c>
      <c r="I469" s="56" t="n">
        <v>500</v>
      </c>
      <c r="J469" s="8" t="s">
        <v>581</v>
      </c>
      <c r="K469" s="19" t="n">
        <f aca="false">IF(G469=0,"",F469/G469)</f>
        <v>4.40366489552756</v>
      </c>
      <c r="L469" s="27" t="n">
        <v>1.595</v>
      </c>
      <c r="M469" s="56" t="n">
        <v>1350</v>
      </c>
      <c r="N469" s="8" t="n">
        <v>6</v>
      </c>
    </row>
    <row r="470" customFormat="false" ht="15" hidden="false" customHeight="false" outlineLevel="0" collapsed="false">
      <c r="A470" s="8" t="s">
        <v>109</v>
      </c>
      <c r="B470" s="8" t="s">
        <v>59</v>
      </c>
      <c r="C470" s="8" t="s">
        <v>532</v>
      </c>
      <c r="D470" s="8" t="s">
        <v>573</v>
      </c>
      <c r="E470" s="8" t="s">
        <v>513</v>
      </c>
      <c r="F470" s="56" t="n">
        <v>6169.49</v>
      </c>
      <c r="G470" s="56" t="n">
        <v>1987.57</v>
      </c>
      <c r="H470" s="43" t="n">
        <v>0.122</v>
      </c>
      <c r="I470" s="56" t="n">
        <v>1850</v>
      </c>
      <c r="J470" s="8" t="s">
        <v>581</v>
      </c>
      <c r="K470" s="19" t="n">
        <f aca="false">IF(G470=0,"",F470/G470)</f>
        <v>3.10403658739063</v>
      </c>
      <c r="L470" s="27" t="n">
        <v>1.942</v>
      </c>
      <c r="M470" s="56" t="n">
        <v>1550</v>
      </c>
      <c r="N470" s="8" t="s">
        <v>549</v>
      </c>
    </row>
    <row r="471" customFormat="false" ht="15" hidden="false" customHeight="false" outlineLevel="0" collapsed="false">
      <c r="A471" s="8" t="s">
        <v>109</v>
      </c>
      <c r="B471" s="8" t="s">
        <v>59</v>
      </c>
      <c r="C471" s="8" t="s">
        <v>532</v>
      </c>
      <c r="D471" s="8" t="s">
        <v>573</v>
      </c>
      <c r="E471" s="8" t="s">
        <v>515</v>
      </c>
      <c r="F471" s="56" t="n">
        <v>5927.45</v>
      </c>
      <c r="G471" s="56" t="n">
        <v>1443.24</v>
      </c>
      <c r="H471" s="43" t="n">
        <v>0.0856</v>
      </c>
      <c r="I471" s="56" t="n">
        <v>500</v>
      </c>
      <c r="J471" s="8" t="s">
        <v>581</v>
      </c>
      <c r="K471" s="19" t="n">
        <f aca="false">IF(G471=0,"",F471/G471)</f>
        <v>4.10704387350683</v>
      </c>
      <c r="L471" s="27" t="n">
        <v>1.872</v>
      </c>
      <c r="M471" s="56" t="n">
        <v>1000</v>
      </c>
      <c r="N471" s="8" t="n">
        <v>11</v>
      </c>
    </row>
    <row r="472" customFormat="false" ht="15" hidden="false" customHeight="false" outlineLevel="0" collapsed="false">
      <c r="A472" s="8" t="s">
        <v>109</v>
      </c>
      <c r="B472" s="8" t="s">
        <v>59</v>
      </c>
      <c r="C472" s="8" t="s">
        <v>518</v>
      </c>
      <c r="D472" s="8" t="s">
        <v>574</v>
      </c>
      <c r="E472" s="8" t="s">
        <v>513</v>
      </c>
      <c r="F472" s="56" t="n">
        <v>4048.96</v>
      </c>
      <c r="G472" s="56" t="n">
        <v>1012.41</v>
      </c>
      <c r="H472" s="43" t="n">
        <v>0.0786</v>
      </c>
      <c r="I472" s="56" t="n">
        <v>200</v>
      </c>
      <c r="J472" s="8" t="s">
        <v>581</v>
      </c>
      <c r="K472" s="19" t="n">
        <f aca="false">IF(G472=0,"",F472/G472)</f>
        <v>3.99932833535821</v>
      </c>
      <c r="L472" s="27" t="n">
        <v>1.757</v>
      </c>
      <c r="M472" s="56" t="n">
        <v>300</v>
      </c>
      <c r="N472" s="8" t="n">
        <v>12</v>
      </c>
    </row>
    <row r="473" customFormat="false" ht="15" hidden="false" customHeight="false" outlineLevel="0" collapsed="false">
      <c r="A473" s="8" t="s">
        <v>109</v>
      </c>
      <c r="B473" s="8" t="s">
        <v>59</v>
      </c>
      <c r="C473" s="8" t="s">
        <v>518</v>
      </c>
      <c r="D473" s="8" t="s">
        <v>574</v>
      </c>
      <c r="E473" s="8" t="s">
        <v>515</v>
      </c>
      <c r="F473" s="56" t="n">
        <v>4048.96</v>
      </c>
      <c r="G473" s="56" t="n">
        <v>1012.41</v>
      </c>
      <c r="H473" s="43" t="n">
        <v>0.0786</v>
      </c>
      <c r="I473" s="56" t="n">
        <v>200</v>
      </c>
      <c r="J473" s="8" t="s">
        <v>581</v>
      </c>
      <c r="K473" s="19" t="n">
        <f aca="false">IF(G473=0,"",F473/G473)</f>
        <v>3.99932833535821</v>
      </c>
      <c r="L473" s="27" t="n">
        <v>1.757</v>
      </c>
      <c r="M473" s="56" t="n">
        <v>300</v>
      </c>
      <c r="N473" s="8" t="n">
        <v>12</v>
      </c>
    </row>
    <row r="474" customFormat="false" ht="15" hidden="false" customHeight="false" outlineLevel="0" collapsed="false">
      <c r="A474" s="8" t="s">
        <v>109</v>
      </c>
      <c r="B474" s="8" t="s">
        <v>59</v>
      </c>
      <c r="C474" s="8" t="s">
        <v>522</v>
      </c>
      <c r="D474" s="8" t="s">
        <v>576</v>
      </c>
      <c r="E474" s="8" t="s">
        <v>513</v>
      </c>
      <c r="F474" s="56" t="n">
        <v>63526.16</v>
      </c>
      <c r="G474" s="56" t="n">
        <v>25072.72</v>
      </c>
      <c r="H474" s="43" t="n">
        <v>0.3373</v>
      </c>
      <c r="I474" s="56" t="n">
        <v>4400</v>
      </c>
      <c r="J474" s="8" t="s">
        <v>581</v>
      </c>
      <c r="K474" s="19" t="n">
        <f aca="false">IF(G474=0,"",F474/G474)</f>
        <v>2.53367644196561</v>
      </c>
      <c r="L474" s="27" t="n">
        <v>1.483</v>
      </c>
      <c r="M474" s="56" t="n">
        <v>13050</v>
      </c>
      <c r="N474" s="8" t="s">
        <v>549</v>
      </c>
    </row>
    <row r="475" customFormat="false" ht="15" hidden="false" customHeight="false" outlineLevel="0" collapsed="false">
      <c r="A475" s="8" t="s">
        <v>109</v>
      </c>
      <c r="B475" s="8" t="s">
        <v>59</v>
      </c>
      <c r="C475" s="8" t="s">
        <v>522</v>
      </c>
      <c r="D475" s="8" t="s">
        <v>576</v>
      </c>
      <c r="E475" s="8" t="s">
        <v>515</v>
      </c>
      <c r="F475" s="56" t="n">
        <v>15431.73</v>
      </c>
      <c r="G475" s="56" t="n">
        <v>2886.37</v>
      </c>
      <c r="H475" s="43" t="n">
        <v>0.1338</v>
      </c>
      <c r="I475" s="56" t="n">
        <v>500</v>
      </c>
      <c r="J475" s="8" t="s">
        <v>581</v>
      </c>
      <c r="K475" s="19" t="n">
        <f aca="false">IF(G475=0,"",F475/G475)</f>
        <v>5.34641435436205</v>
      </c>
      <c r="L475" s="27" t="n">
        <v>1.57</v>
      </c>
      <c r="M475" s="56" t="n">
        <v>1500</v>
      </c>
      <c r="N475" s="8" t="n">
        <v>2</v>
      </c>
    </row>
    <row r="476" customFormat="false" ht="15" hidden="false" customHeight="false" outlineLevel="0" collapsed="false">
      <c r="A476" s="8" t="s">
        <v>109</v>
      </c>
      <c r="B476" s="8" t="s">
        <v>59</v>
      </c>
      <c r="C476" s="8" t="s">
        <v>525</v>
      </c>
      <c r="D476" s="8" t="s">
        <v>578</v>
      </c>
      <c r="E476" s="8" t="s">
        <v>513</v>
      </c>
      <c r="F476" s="56" t="n">
        <v>2114.55</v>
      </c>
      <c r="G476" s="56" t="n">
        <v>500.16</v>
      </c>
      <c r="H476" s="43" t="n">
        <v>0.0403</v>
      </c>
      <c r="I476" s="56" t="n">
        <v>216.72</v>
      </c>
      <c r="J476" s="8" t="s">
        <v>581</v>
      </c>
      <c r="K476" s="19" t="n">
        <f aca="false">IF(G476=0,"",F476/G476)</f>
        <v>4.22774712092131</v>
      </c>
      <c r="L476" s="27" t="n">
        <v>1.626</v>
      </c>
      <c r="M476" s="56" t="n">
        <v>284.44</v>
      </c>
      <c r="N476" s="8" t="n">
        <v>9</v>
      </c>
    </row>
    <row r="477" customFormat="false" ht="15" hidden="false" customHeight="false" outlineLevel="0" collapsed="false">
      <c r="A477" s="8" t="s">
        <v>109</v>
      </c>
      <c r="B477" s="8" t="s">
        <v>59</v>
      </c>
      <c r="C477" s="8" t="s">
        <v>525</v>
      </c>
      <c r="D477" s="8" t="s">
        <v>578</v>
      </c>
      <c r="E477" s="8" t="s">
        <v>515</v>
      </c>
      <c r="F477" s="56" t="n">
        <v>2114.55</v>
      </c>
      <c r="G477" s="56" t="n">
        <v>500.16</v>
      </c>
      <c r="H477" s="43" t="n">
        <v>0.0403</v>
      </c>
      <c r="I477" s="56" t="n">
        <v>216.72</v>
      </c>
      <c r="J477" s="8" t="s">
        <v>581</v>
      </c>
      <c r="K477" s="19" t="n">
        <f aca="false">IF(G477=0,"",F477/G477)</f>
        <v>4.22774712092131</v>
      </c>
      <c r="L477" s="27" t="n">
        <v>1.626</v>
      </c>
      <c r="M477" s="56" t="n">
        <v>284.44</v>
      </c>
      <c r="N477" s="8" t="n">
        <v>9</v>
      </c>
    </row>
    <row r="478" customFormat="false" ht="15" hidden="false" customHeight="false" outlineLevel="0" collapsed="false">
      <c r="A478" s="8" t="s">
        <v>109</v>
      </c>
      <c r="B478" s="8" t="s">
        <v>59</v>
      </c>
      <c r="C478" s="8" t="s">
        <v>516</v>
      </c>
      <c r="D478" s="8" t="s">
        <v>580</v>
      </c>
      <c r="E478" s="8" t="s">
        <v>513</v>
      </c>
      <c r="F478" s="56" t="n">
        <v>3903.58</v>
      </c>
      <c r="G478" s="56" t="n">
        <v>823.85</v>
      </c>
      <c r="H478" s="43" t="n">
        <v>0.0565</v>
      </c>
      <c r="I478" s="56" t="n">
        <v>145.88</v>
      </c>
      <c r="J478" s="8" t="s">
        <v>581</v>
      </c>
      <c r="K478" s="19" t="n">
        <f aca="false">IF(G478=0,"",F478/G478)</f>
        <v>4.73821690841779</v>
      </c>
      <c r="L478" s="27" t="n">
        <v>1.57</v>
      </c>
      <c r="M478" s="56" t="n">
        <v>429.4</v>
      </c>
      <c r="N478" s="8" t="n">
        <v>5</v>
      </c>
    </row>
    <row r="479" customFormat="false" ht="15" hidden="false" customHeight="false" outlineLevel="0" collapsed="false">
      <c r="A479" s="8" t="s">
        <v>109</v>
      </c>
      <c r="B479" s="8" t="s">
        <v>59</v>
      </c>
      <c r="C479" s="8" t="s">
        <v>516</v>
      </c>
      <c r="D479" s="8" t="s">
        <v>580</v>
      </c>
      <c r="E479" s="8" t="s">
        <v>515</v>
      </c>
      <c r="F479" s="56" t="n">
        <v>3903.58</v>
      </c>
      <c r="G479" s="56" t="n">
        <v>823.85</v>
      </c>
      <c r="H479" s="43" t="n">
        <v>0.0565</v>
      </c>
      <c r="I479" s="56" t="n">
        <v>145.88</v>
      </c>
      <c r="J479" s="8" t="s">
        <v>581</v>
      </c>
      <c r="K479" s="19" t="n">
        <f aca="false">IF(G479=0,"",F479/G479)</f>
        <v>4.73821690841779</v>
      </c>
      <c r="L479" s="27" t="n">
        <v>1.57</v>
      </c>
      <c r="M479" s="56" t="n">
        <v>429.4</v>
      </c>
      <c r="N479" s="8" t="n">
        <v>5</v>
      </c>
    </row>
    <row r="480" customFormat="false" ht="15" hidden="false" customHeight="false" outlineLevel="0" collapsed="false">
      <c r="A480" s="8" t="s">
        <v>109</v>
      </c>
      <c r="B480" s="8" t="s">
        <v>59</v>
      </c>
      <c r="C480" s="8" t="s">
        <v>521</v>
      </c>
      <c r="D480" s="8" t="s">
        <v>582</v>
      </c>
      <c r="E480" s="8" t="s">
        <v>513</v>
      </c>
      <c r="F480" s="56" t="n">
        <v>2770.35</v>
      </c>
      <c r="G480" s="56" t="n">
        <v>821.59</v>
      </c>
      <c r="H480" s="43" t="n">
        <v>0.0614</v>
      </c>
      <c r="I480" s="56" t="n">
        <v>300</v>
      </c>
      <c r="J480" s="8" t="s">
        <v>581</v>
      </c>
      <c r="K480" s="19" t="n">
        <f aca="false">IF(G480=0,"",F480/G480)</f>
        <v>3.37193734100951</v>
      </c>
      <c r="L480" s="27" t="n">
        <v>1.616</v>
      </c>
      <c r="M480" s="56" t="n">
        <v>400</v>
      </c>
      <c r="N480" s="8" t="n">
        <v>14</v>
      </c>
    </row>
    <row r="481" customFormat="false" ht="15" hidden="false" customHeight="false" outlineLevel="0" collapsed="false">
      <c r="A481" s="8" t="s">
        <v>109</v>
      </c>
      <c r="B481" s="8" t="s">
        <v>59</v>
      </c>
      <c r="C481" s="8" t="s">
        <v>521</v>
      </c>
      <c r="D481" s="8" t="s">
        <v>582</v>
      </c>
      <c r="E481" s="8" t="s">
        <v>515</v>
      </c>
      <c r="F481" s="56" t="n">
        <v>2770.35</v>
      </c>
      <c r="G481" s="56" t="n">
        <v>821.59</v>
      </c>
      <c r="H481" s="43" t="n">
        <v>0.0614</v>
      </c>
      <c r="I481" s="56" t="n">
        <v>300</v>
      </c>
      <c r="J481" s="8" t="s">
        <v>581</v>
      </c>
      <c r="K481" s="19" t="n">
        <f aca="false">IF(G481=0,"",F481/G481)</f>
        <v>3.37193734100951</v>
      </c>
      <c r="L481" s="27" t="n">
        <v>1.616</v>
      </c>
      <c r="M481" s="56" t="n">
        <v>400</v>
      </c>
      <c r="N481" s="8" t="n">
        <v>14</v>
      </c>
    </row>
  </sheetData>
  <mergeCells count="2">
    <mergeCell ref="A2:N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7" min="6" style="0" width="11"/>
    <col collapsed="false" customWidth="true" hidden="false" outlineLevel="0" max="10" min="8" style="0" width="9"/>
    <col collapsed="false" customWidth="true" hidden="false" outlineLevel="0" max="11" min="11" style="0" width="16"/>
    <col collapsed="false" customWidth="true" hidden="false" outlineLevel="0" max="14" min="12" style="0" width="9"/>
    <col collapsed="false" customWidth="true" hidden="false" outlineLevel="0" max="15" min="15" style="0" width="10"/>
    <col collapsed="false" customWidth="true" hidden="false" outlineLevel="0" max="17" min="16" style="0" width="11"/>
  </cols>
  <sheetData>
    <row r="1" customFormat="false" ht="15" hidden="false" customHeight="false" outlineLevel="0" collapsed="false">
      <c r="A1" s="3" t="s">
        <v>680</v>
      </c>
    </row>
    <row r="2" customFormat="false" ht="39.75" hidden="false" customHeight="true" outlineLevel="0" collapsed="false">
      <c r="A2" s="4" t="s">
        <v>681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4" customFormat="false" ht="15" hidden="false" customHeight="false" outlineLevel="0" collapsed="false">
      <c r="A4" s="60" t="s">
        <v>682</v>
      </c>
    </row>
    <row r="5" customFormat="false" ht="15" hidden="false" customHeight="false" outlineLevel="0" collapsed="false">
      <c r="A5" s="61" t="s">
        <v>683</v>
      </c>
    </row>
    <row r="6" customFormat="false" ht="15" hidden="false" customHeight="false" outlineLevel="0" collapsed="false">
      <c r="A6" s="61" t="s">
        <v>684</v>
      </c>
    </row>
    <row r="7" customFormat="false" ht="15" hidden="false" customHeight="false" outlineLevel="0" collapsed="false">
      <c r="A7" s="61" t="s">
        <v>685</v>
      </c>
    </row>
    <row r="8" customFormat="false" ht="15" hidden="false" customHeight="false" outlineLevel="0" collapsed="false">
      <c r="A8" s="61" t="s">
        <v>686</v>
      </c>
    </row>
    <row r="9" customFormat="false" ht="15" hidden="false" customHeight="false" outlineLevel="0" collapsed="false">
      <c r="A9" s="61" t="s">
        <v>687</v>
      </c>
    </row>
    <row r="11" customFormat="false" ht="15" hidden="false" customHeight="false" outlineLevel="0" collapsed="false">
      <c r="A11" s="6" t="s">
        <v>688</v>
      </c>
      <c r="B11" s="6"/>
      <c r="C11" s="6"/>
      <c r="D11" s="6"/>
      <c r="E11" s="6"/>
      <c r="F11" s="6"/>
      <c r="G11" s="6"/>
      <c r="H11" s="6"/>
      <c r="I11" s="6"/>
      <c r="J11" s="6"/>
    </row>
    <row r="12" customFormat="false" ht="54" hidden="false" customHeight="true" outlineLevel="0" collapsed="false">
      <c r="A12" s="7" t="s">
        <v>135</v>
      </c>
      <c r="B12" s="7" t="s">
        <v>136</v>
      </c>
      <c r="C12" s="7" t="s">
        <v>689</v>
      </c>
      <c r="D12" s="7" t="s">
        <v>690</v>
      </c>
      <c r="E12" s="7" t="s">
        <v>506</v>
      </c>
      <c r="F12" s="7" t="s">
        <v>538</v>
      </c>
      <c r="G12" s="7" t="s">
        <v>539</v>
      </c>
      <c r="H12" s="7" t="s">
        <v>540</v>
      </c>
      <c r="I12" s="7" t="s">
        <v>691</v>
      </c>
      <c r="J12" s="7" t="s">
        <v>692</v>
      </c>
      <c r="K12" s="7" t="s">
        <v>542</v>
      </c>
      <c r="L12" s="7" t="s">
        <v>543</v>
      </c>
      <c r="M12" s="7" t="s">
        <v>693</v>
      </c>
      <c r="N12" s="7" t="s">
        <v>694</v>
      </c>
      <c r="O12" s="7" t="s">
        <v>695</v>
      </c>
      <c r="P12" s="7" t="s">
        <v>696</v>
      </c>
      <c r="Q12" s="7" t="s">
        <v>697</v>
      </c>
    </row>
    <row r="13" customFormat="false" ht="15" hidden="false" customHeight="false" outlineLevel="0" collapsed="false">
      <c r="A13" s="5" t="s">
        <v>23</v>
      </c>
      <c r="B13" s="5" t="s">
        <v>148</v>
      </c>
      <c r="C13" s="5" t="s">
        <v>698</v>
      </c>
      <c r="D13" s="5" t="s">
        <v>549</v>
      </c>
      <c r="E13" s="5" t="s">
        <v>549</v>
      </c>
      <c r="F13" s="62" t="n">
        <v>-10035.04</v>
      </c>
      <c r="G13" s="62" t="n">
        <v>10184.86</v>
      </c>
      <c r="H13" s="42" t="n">
        <v>1.0035</v>
      </c>
      <c r="I13" s="62" t="n">
        <v>50</v>
      </c>
      <c r="J13" s="62" t="n">
        <v>50</v>
      </c>
      <c r="K13" s="5" t="s">
        <v>548</v>
      </c>
      <c r="L13" s="21" t="n">
        <f aca="false">IF(G13=0,"",F13/G13)</f>
        <v>-0.985289930347594</v>
      </c>
      <c r="M13" s="21" t="n">
        <v>1</v>
      </c>
      <c r="N13" s="63" t="n">
        <f aca="false">IF(I13=0,"",F13/I13)</f>
        <v>-200.7008</v>
      </c>
      <c r="O13" s="63" t="n">
        <f aca="false">IF(I13=0,"",G13/I13)</f>
        <v>203.6972</v>
      </c>
      <c r="P13" s="62" t="s">
        <v>699</v>
      </c>
      <c r="Q13" s="62" t="s">
        <v>699</v>
      </c>
    </row>
    <row r="14" customFormat="false" ht="15" hidden="false" customHeight="false" outlineLevel="0" collapsed="false">
      <c r="A14" s="51" t="s">
        <v>23</v>
      </c>
      <c r="B14" s="51" t="s">
        <v>148</v>
      </c>
      <c r="C14" s="51" t="s">
        <v>700</v>
      </c>
      <c r="D14" s="51" t="n">
        <v>1</v>
      </c>
      <c r="E14" s="51" t="s">
        <v>513</v>
      </c>
      <c r="F14" s="52" t="n">
        <v>-11542.87</v>
      </c>
      <c r="G14" s="52" t="n">
        <v>12800</v>
      </c>
      <c r="H14" s="53" t="n">
        <v>1.1371</v>
      </c>
      <c r="I14" s="52" t="n">
        <v>495.95</v>
      </c>
      <c r="J14" s="52" t="n">
        <v>6400</v>
      </c>
      <c r="K14" s="51" t="s">
        <v>554</v>
      </c>
      <c r="L14" s="54" t="n">
        <f aca="false">IF(G14=0,"",F14/G14)</f>
        <v>-0.90178671875</v>
      </c>
      <c r="M14" s="54" t="str">
        <f aca="false">IF(OR(L13="",L13&lt;=0,L14=""),"",L14/L13)</f>
        <v/>
      </c>
      <c r="N14" s="64" t="n">
        <f aca="false">IF(I14=0,"",F14/I14)</f>
        <v>-23.2742615182982</v>
      </c>
      <c r="O14" s="64" t="n">
        <f aca="false">IF(I14=0,"",G14/I14)</f>
        <v>25.8090533319891</v>
      </c>
      <c r="P14" s="52" t="s">
        <v>699</v>
      </c>
      <c r="Q14" s="52" t="s">
        <v>699</v>
      </c>
    </row>
    <row r="15" customFormat="false" ht="15" hidden="false" customHeight="false" outlineLevel="0" collapsed="false">
      <c r="A15" s="51" t="s">
        <v>23</v>
      </c>
      <c r="B15" s="51" t="s">
        <v>148</v>
      </c>
      <c r="C15" s="51" t="s">
        <v>700</v>
      </c>
      <c r="D15" s="51" t="n">
        <v>1</v>
      </c>
      <c r="E15" s="51" t="s">
        <v>515</v>
      </c>
      <c r="F15" s="52" t="n">
        <v>-10372.82</v>
      </c>
      <c r="G15" s="52" t="n">
        <v>10667.63</v>
      </c>
      <c r="H15" s="53" t="n">
        <v>1.0362</v>
      </c>
      <c r="I15" s="52" t="n">
        <v>387.04</v>
      </c>
      <c r="J15" s="52" t="n">
        <v>500</v>
      </c>
      <c r="K15" s="51" t="s">
        <v>565</v>
      </c>
      <c r="L15" s="54" t="n">
        <f aca="false">IF(G15=0,"",F15/G15)</f>
        <v>-0.972364058370978</v>
      </c>
      <c r="M15" s="54" t="str">
        <f aca="false">IF(OR(L13="",L13&lt;=0,L15=""),"",L15/L13)</f>
        <v/>
      </c>
      <c r="N15" s="64" t="n">
        <f aca="false">IF(I15=0,"",F15/I15)</f>
        <v>-26.8003823894171</v>
      </c>
      <c r="O15" s="64" t="n">
        <f aca="false">IF(I15=0,"",G15/I15)</f>
        <v>27.5620866060356</v>
      </c>
      <c r="P15" s="52" t="s">
        <v>699</v>
      </c>
      <c r="Q15" s="52" t="s">
        <v>699</v>
      </c>
    </row>
    <row r="16" customFormat="false" ht="15" hidden="false" customHeight="false" outlineLevel="0" collapsed="false">
      <c r="A16" s="51" t="s">
        <v>23</v>
      </c>
      <c r="B16" s="51" t="s">
        <v>148</v>
      </c>
      <c r="C16" s="51" t="s">
        <v>700</v>
      </c>
      <c r="D16" s="51" t="n">
        <v>2</v>
      </c>
      <c r="E16" s="51" t="s">
        <v>513</v>
      </c>
      <c r="F16" s="52" t="n">
        <v>-12357.22</v>
      </c>
      <c r="G16" s="52" t="n">
        <v>12531.92</v>
      </c>
      <c r="H16" s="53" t="n">
        <v>1.2317</v>
      </c>
      <c r="I16" s="52" t="n">
        <v>493.42</v>
      </c>
      <c r="J16" s="52" t="n">
        <v>4177.31</v>
      </c>
      <c r="K16" s="51" t="s">
        <v>568</v>
      </c>
      <c r="L16" s="54" t="n">
        <f aca="false">IF(G16=0,"",F16/G16)</f>
        <v>-0.986059598210011</v>
      </c>
      <c r="M16" s="54" t="str">
        <f aca="false">IF(OR(L13="",L13&lt;=0,L16=""),"",L16/L13)</f>
        <v/>
      </c>
      <c r="N16" s="64" t="n">
        <f aca="false">IF(I16=0,"",F16/I16)</f>
        <v>-25.0440192939078</v>
      </c>
      <c r="O16" s="64" t="n">
        <f aca="false">IF(I16=0,"",G16/I16)</f>
        <v>25.3980787159013</v>
      </c>
      <c r="P16" s="52" t="s">
        <v>699</v>
      </c>
      <c r="Q16" s="52" t="s">
        <v>699</v>
      </c>
    </row>
    <row r="17" customFormat="false" ht="15" hidden="false" customHeight="false" outlineLevel="0" collapsed="false">
      <c r="A17" s="51" t="s">
        <v>23</v>
      </c>
      <c r="B17" s="51" t="s">
        <v>148</v>
      </c>
      <c r="C17" s="51" t="s">
        <v>700</v>
      </c>
      <c r="D17" s="51" t="n">
        <v>2</v>
      </c>
      <c r="E17" s="51" t="s">
        <v>515</v>
      </c>
      <c r="F17" s="52" t="n">
        <v>-10102.43</v>
      </c>
      <c r="G17" s="52" t="n">
        <v>10277.13</v>
      </c>
      <c r="H17" s="53" t="n">
        <v>1.0101</v>
      </c>
      <c r="I17" s="52" t="n">
        <v>317.1</v>
      </c>
      <c r="J17" s="52" t="n">
        <v>500</v>
      </c>
      <c r="K17" s="51" t="s">
        <v>583</v>
      </c>
      <c r="L17" s="54" t="n">
        <f aca="false">IF(G17=0,"",F17/G17)</f>
        <v>-0.983001090771451</v>
      </c>
      <c r="M17" s="54" t="str">
        <f aca="false">IF(OR(L13="",L13&lt;=0,L17=""),"",L17/L13)</f>
        <v/>
      </c>
      <c r="N17" s="64" t="n">
        <f aca="false">IF(I17=0,"",F17/I17)</f>
        <v>-31.8588142541785</v>
      </c>
      <c r="O17" s="64" t="n">
        <f aca="false">IF(I17=0,"",G17/I17)</f>
        <v>32.4097445600757</v>
      </c>
      <c r="P17" s="52" t="s">
        <v>699</v>
      </c>
      <c r="Q17" s="52" t="s">
        <v>699</v>
      </c>
    </row>
    <row r="18" customFormat="false" ht="15" hidden="false" customHeight="false" outlineLevel="0" collapsed="false">
      <c r="A18" s="51" t="s">
        <v>23</v>
      </c>
      <c r="B18" s="51" t="s">
        <v>148</v>
      </c>
      <c r="C18" s="51" t="s">
        <v>700</v>
      </c>
      <c r="D18" s="51" t="n">
        <v>3</v>
      </c>
      <c r="E18" s="51" t="s">
        <v>513</v>
      </c>
      <c r="F18" s="52" t="n">
        <v>-12514.58</v>
      </c>
      <c r="G18" s="52" t="n">
        <v>12664.41</v>
      </c>
      <c r="H18" s="53" t="n">
        <v>1.2477</v>
      </c>
      <c r="I18" s="52" t="n">
        <v>446.12</v>
      </c>
      <c r="J18" s="52" t="n">
        <v>3166.1</v>
      </c>
      <c r="K18" s="51" t="s">
        <v>568</v>
      </c>
      <c r="L18" s="54" t="n">
        <f aca="false">IF(G18=0,"",F18/G18)</f>
        <v>-0.988169208040485</v>
      </c>
      <c r="M18" s="54" t="str">
        <f aca="false">IF(OR(L13="",L13&lt;=0,L18=""),"",L18/L13)</f>
        <v/>
      </c>
      <c r="N18" s="64" t="n">
        <f aca="false">IF(I18=0,"",F18/I18)</f>
        <v>-28.0520487761141</v>
      </c>
      <c r="O18" s="64" t="n">
        <f aca="false">IF(I18=0,"",G18/I18)</f>
        <v>28.3879001165606</v>
      </c>
      <c r="P18" s="52" t="s">
        <v>699</v>
      </c>
      <c r="Q18" s="52" t="s">
        <v>699</v>
      </c>
    </row>
    <row r="19" customFormat="false" ht="15" hidden="false" customHeight="false" outlineLevel="0" collapsed="false">
      <c r="A19" s="51" t="s">
        <v>23</v>
      </c>
      <c r="B19" s="51" t="s">
        <v>148</v>
      </c>
      <c r="C19" s="51" t="s">
        <v>700</v>
      </c>
      <c r="D19" s="51" t="n">
        <v>3</v>
      </c>
      <c r="E19" s="51" t="s">
        <v>515</v>
      </c>
      <c r="F19" s="52" t="n">
        <v>-10456.31</v>
      </c>
      <c r="G19" s="52" t="n">
        <v>10606.13</v>
      </c>
      <c r="H19" s="53" t="n">
        <v>1.045</v>
      </c>
      <c r="I19" s="52" t="n">
        <v>298.43</v>
      </c>
      <c r="J19" s="52" t="n">
        <v>500</v>
      </c>
      <c r="K19" s="51" t="s">
        <v>569</v>
      </c>
      <c r="L19" s="54" t="n">
        <f aca="false">IF(G19=0,"",F19/G19)</f>
        <v>-0.985874206708762</v>
      </c>
      <c r="M19" s="54" t="str">
        <f aca="false">IF(OR(L13="",L13&lt;=0,L19=""),"",L19/L13)</f>
        <v/>
      </c>
      <c r="N19" s="64" t="n">
        <f aca="false">IF(I19=0,"",F19/I19)</f>
        <v>-35.0377307911403</v>
      </c>
      <c r="O19" s="64" t="n">
        <f aca="false">IF(I19=0,"",G19/I19)</f>
        <v>35.5397580672184</v>
      </c>
      <c r="P19" s="52" t="s">
        <v>699</v>
      </c>
      <c r="Q19" s="52" t="s">
        <v>699</v>
      </c>
    </row>
    <row r="20" customFormat="false" ht="15" hidden="false" customHeight="false" outlineLevel="0" collapsed="false">
      <c r="A20" s="51" t="s">
        <v>23</v>
      </c>
      <c r="B20" s="51" t="s">
        <v>148</v>
      </c>
      <c r="C20" s="51" t="s">
        <v>700</v>
      </c>
      <c r="D20" s="51" t="n">
        <v>4</v>
      </c>
      <c r="E20" s="51" t="s">
        <v>513</v>
      </c>
      <c r="F20" s="52" t="n">
        <v>-10778.99</v>
      </c>
      <c r="G20" s="52" t="n">
        <v>10928.82</v>
      </c>
      <c r="H20" s="53" t="n">
        <v>1.0767</v>
      </c>
      <c r="I20" s="52" t="n">
        <v>415.27</v>
      </c>
      <c r="J20" s="52" t="n">
        <v>2185.76</v>
      </c>
      <c r="K20" s="51" t="s">
        <v>565</v>
      </c>
      <c r="L20" s="54" t="n">
        <f aca="false">IF(G20=0,"",F20/G20)</f>
        <v>-0.986290377186192</v>
      </c>
      <c r="M20" s="54" t="str">
        <f aca="false">IF(OR(L13="",L13&lt;=0,L20=""),"",L20/L13)</f>
        <v/>
      </c>
      <c r="N20" s="64" t="n">
        <f aca="false">IF(I20=0,"",F20/I20)</f>
        <v>-25.9565824644207</v>
      </c>
      <c r="O20" s="64" t="n">
        <f aca="false">IF(I20=0,"",G20/I20)</f>
        <v>26.3173838707347</v>
      </c>
      <c r="P20" s="52" t="s">
        <v>699</v>
      </c>
      <c r="Q20" s="52" t="s">
        <v>699</v>
      </c>
    </row>
    <row r="21" customFormat="false" ht="15" hidden="false" customHeight="false" outlineLevel="0" collapsed="false">
      <c r="A21" s="51" t="s">
        <v>23</v>
      </c>
      <c r="B21" s="51" t="s">
        <v>148</v>
      </c>
      <c r="C21" s="51" t="s">
        <v>700</v>
      </c>
      <c r="D21" s="51" t="n">
        <v>4</v>
      </c>
      <c r="E21" s="51" t="s">
        <v>515</v>
      </c>
      <c r="F21" s="52" t="n">
        <v>-10066.81</v>
      </c>
      <c r="G21" s="52" t="n">
        <v>10216.63</v>
      </c>
      <c r="H21" s="53" t="n">
        <v>1.0066</v>
      </c>
      <c r="I21" s="52" t="n">
        <v>294.45</v>
      </c>
      <c r="J21" s="52" t="n">
        <v>500</v>
      </c>
      <c r="K21" s="51" t="s">
        <v>674</v>
      </c>
      <c r="L21" s="54" t="n">
        <f aca="false">IF(G21=0,"",F21/G21)</f>
        <v>-0.985335673309105</v>
      </c>
      <c r="M21" s="54" t="str">
        <f aca="false">IF(OR(L13="",L13&lt;=0,L21=""),"",L21/L13)</f>
        <v/>
      </c>
      <c r="N21" s="64" t="n">
        <f aca="false">IF(I21=0,"",F21/I21)</f>
        <v>-34.1885209713024</v>
      </c>
      <c r="O21" s="64" t="n">
        <f aca="false">IF(I21=0,"",G21/I21)</f>
        <v>34.6973340125658</v>
      </c>
      <c r="P21" s="52" t="s">
        <v>699</v>
      </c>
      <c r="Q21" s="52" t="s">
        <v>699</v>
      </c>
    </row>
    <row r="22" customFormat="false" ht="15" hidden="false" customHeight="false" outlineLevel="0" collapsed="false">
      <c r="A22" s="51" t="s">
        <v>23</v>
      </c>
      <c r="B22" s="51" t="s">
        <v>148</v>
      </c>
      <c r="C22" s="51" t="s">
        <v>700</v>
      </c>
      <c r="D22" s="51" t="n">
        <v>5</v>
      </c>
      <c r="E22" s="51" t="s">
        <v>513</v>
      </c>
      <c r="F22" s="52" t="n">
        <v>-10831.28</v>
      </c>
      <c r="G22" s="52" t="n">
        <v>10981.1</v>
      </c>
      <c r="H22" s="53" t="n">
        <v>1.0819</v>
      </c>
      <c r="I22" s="52" t="n">
        <v>387.62</v>
      </c>
      <c r="J22" s="52" t="n">
        <v>1896.58</v>
      </c>
      <c r="K22" s="51" t="s">
        <v>558</v>
      </c>
      <c r="L22" s="54" t="n">
        <f aca="false">IF(G22=0,"",F22/G22)</f>
        <v>-0.986356558086166</v>
      </c>
      <c r="M22" s="54" t="str">
        <f aca="false">IF(OR(L13="",L13&lt;=0,L22=""),"",L22/L13)</f>
        <v/>
      </c>
      <c r="N22" s="64" t="n">
        <f aca="false">IF(I22=0,"",F22/I22)</f>
        <v>-27.9430369949951</v>
      </c>
      <c r="O22" s="64" t="n">
        <f aca="false">IF(I22=0,"",G22/I22)</f>
        <v>28.3295495588463</v>
      </c>
      <c r="P22" s="52" t="s">
        <v>699</v>
      </c>
      <c r="Q22" s="52" t="s">
        <v>699</v>
      </c>
    </row>
    <row r="23" customFormat="false" ht="15" hidden="false" customHeight="false" outlineLevel="0" collapsed="false">
      <c r="A23" s="51" t="s">
        <v>23</v>
      </c>
      <c r="B23" s="51" t="s">
        <v>148</v>
      </c>
      <c r="C23" s="51" t="s">
        <v>700</v>
      </c>
      <c r="D23" s="51" t="n">
        <v>5</v>
      </c>
      <c r="E23" s="51" t="s">
        <v>515</v>
      </c>
      <c r="F23" s="52" t="n">
        <v>-10165.7</v>
      </c>
      <c r="G23" s="52" t="n">
        <v>10315.53</v>
      </c>
      <c r="H23" s="53" t="n">
        <v>1.0163</v>
      </c>
      <c r="I23" s="52" t="n">
        <v>290.36</v>
      </c>
      <c r="J23" s="52" t="n">
        <v>500</v>
      </c>
      <c r="K23" s="51" t="s">
        <v>584</v>
      </c>
      <c r="L23" s="54" t="n">
        <f aca="false">IF(G23=0,"",F23/G23)</f>
        <v>-0.985475297924586</v>
      </c>
      <c r="M23" s="54" t="str">
        <f aca="false">IF(OR(L13="",L13&lt;=0,L23=""),"",L23/L13)</f>
        <v/>
      </c>
      <c r="N23" s="64" t="n">
        <f aca="false">IF(I23=0,"",F23/I23)</f>
        <v>-35.0106764017082</v>
      </c>
      <c r="O23" s="64" t="n">
        <f aca="false">IF(I23=0,"",G23/I23)</f>
        <v>35.5266910042706</v>
      </c>
      <c r="P23" s="52" t="s">
        <v>699</v>
      </c>
      <c r="Q23" s="52" t="s">
        <v>699</v>
      </c>
    </row>
    <row r="24" customFormat="false" ht="15" hidden="false" customHeight="false" outlineLevel="0" collapsed="false">
      <c r="A24" s="51" t="s">
        <v>23</v>
      </c>
      <c r="B24" s="51" t="s">
        <v>148</v>
      </c>
      <c r="C24" s="51" t="s">
        <v>528</v>
      </c>
      <c r="D24" s="51" t="n">
        <v>1</v>
      </c>
      <c r="E24" s="51" t="s">
        <v>513</v>
      </c>
      <c r="F24" s="52" t="n">
        <v>-10718.14</v>
      </c>
      <c r="G24" s="52" t="n">
        <v>12800</v>
      </c>
      <c r="H24" s="53" t="n">
        <v>1.0594</v>
      </c>
      <c r="I24" s="52" t="n">
        <v>628.1</v>
      </c>
      <c r="J24" s="52" t="n">
        <v>6400</v>
      </c>
      <c r="K24" s="51" t="s">
        <v>701</v>
      </c>
      <c r="L24" s="54" t="n">
        <f aca="false">IF(G24=0,"",F24/G24)</f>
        <v>-0.8373546875</v>
      </c>
      <c r="M24" s="54" t="str">
        <f aca="false">IF(OR(L13="",L13&lt;=0,L24=""),"",L24/L13)</f>
        <v/>
      </c>
      <c r="N24" s="64" t="n">
        <f aca="false">IF(I24=0,"",F24/I24)</f>
        <v>-17.0643846521255</v>
      </c>
      <c r="O24" s="64" t="n">
        <f aca="false">IF(I24=0,"",G24/I24)</f>
        <v>20.3789205540519</v>
      </c>
      <c r="P24" s="52" t="s">
        <v>699</v>
      </c>
      <c r="Q24" s="52" t="s">
        <v>699</v>
      </c>
    </row>
    <row r="25" customFormat="false" ht="15" hidden="false" customHeight="false" outlineLevel="0" collapsed="false">
      <c r="A25" s="51" t="s">
        <v>23</v>
      </c>
      <c r="B25" s="51" t="s">
        <v>148</v>
      </c>
      <c r="C25" s="51" t="s">
        <v>528</v>
      </c>
      <c r="D25" s="51" t="n">
        <v>1</v>
      </c>
      <c r="E25" s="51" t="s">
        <v>515</v>
      </c>
      <c r="F25" s="52" t="n">
        <v>-10179.94</v>
      </c>
      <c r="G25" s="52" t="n">
        <v>10499.01</v>
      </c>
      <c r="H25" s="53" t="n">
        <v>1.0174</v>
      </c>
      <c r="I25" s="52" t="n">
        <v>391.84</v>
      </c>
      <c r="J25" s="52" t="n">
        <v>500</v>
      </c>
      <c r="K25" s="51" t="s">
        <v>552</v>
      </c>
      <c r="L25" s="54" t="n">
        <f aca="false">IF(G25=0,"",F25/G25)</f>
        <v>-0.969609515563848</v>
      </c>
      <c r="M25" s="54" t="str">
        <f aca="false">IF(OR(L13="",L13&lt;=0,L25=""),"",L25/L13)</f>
        <v/>
      </c>
      <c r="N25" s="64" t="n">
        <f aca="false">IF(I25=0,"",F25/I25)</f>
        <v>-25.9798387096774</v>
      </c>
      <c r="O25" s="64" t="n">
        <f aca="false">IF(I25=0,"",G25/I25)</f>
        <v>26.7941251531237</v>
      </c>
      <c r="P25" s="52" t="s">
        <v>699</v>
      </c>
      <c r="Q25" s="52" t="s">
        <v>699</v>
      </c>
    </row>
    <row r="26" customFormat="false" ht="15" hidden="false" customHeight="false" outlineLevel="0" collapsed="false">
      <c r="A26" s="51" t="s">
        <v>23</v>
      </c>
      <c r="B26" s="51" t="s">
        <v>148</v>
      </c>
      <c r="C26" s="51" t="s">
        <v>528</v>
      </c>
      <c r="D26" s="51" t="n">
        <v>2</v>
      </c>
      <c r="E26" s="51" t="s">
        <v>513</v>
      </c>
      <c r="F26" s="52" t="n">
        <v>-12357.22</v>
      </c>
      <c r="G26" s="52" t="n">
        <v>12531.92</v>
      </c>
      <c r="H26" s="53" t="n">
        <v>1.2317</v>
      </c>
      <c r="I26" s="52" t="n">
        <v>493.42</v>
      </c>
      <c r="J26" s="52" t="n">
        <v>4177.31</v>
      </c>
      <c r="K26" s="51" t="s">
        <v>568</v>
      </c>
      <c r="L26" s="54" t="n">
        <f aca="false">IF(G26=0,"",F26/G26)</f>
        <v>-0.986059598210011</v>
      </c>
      <c r="M26" s="54" t="str">
        <f aca="false">IF(OR(L13="",L13&lt;=0,L26=""),"",L26/L13)</f>
        <v/>
      </c>
      <c r="N26" s="64" t="n">
        <f aca="false">IF(I26=0,"",F26/I26)</f>
        <v>-25.0440192939078</v>
      </c>
      <c r="O26" s="64" t="n">
        <f aca="false">IF(I26=0,"",G26/I26)</f>
        <v>25.3980787159013</v>
      </c>
      <c r="P26" s="52" t="s">
        <v>699</v>
      </c>
      <c r="Q26" s="52" t="s">
        <v>699</v>
      </c>
    </row>
    <row r="27" customFormat="false" ht="15" hidden="false" customHeight="false" outlineLevel="0" collapsed="false">
      <c r="A27" s="51" t="s">
        <v>23</v>
      </c>
      <c r="B27" s="51" t="s">
        <v>148</v>
      </c>
      <c r="C27" s="51" t="s">
        <v>528</v>
      </c>
      <c r="D27" s="51" t="n">
        <v>2</v>
      </c>
      <c r="E27" s="51" t="s">
        <v>515</v>
      </c>
      <c r="F27" s="52" t="n">
        <v>-10102.43</v>
      </c>
      <c r="G27" s="52" t="n">
        <v>10277.13</v>
      </c>
      <c r="H27" s="53" t="n">
        <v>1.0101</v>
      </c>
      <c r="I27" s="52" t="n">
        <v>317.1</v>
      </c>
      <c r="J27" s="52" t="n">
        <v>500</v>
      </c>
      <c r="K27" s="51" t="s">
        <v>583</v>
      </c>
      <c r="L27" s="54" t="n">
        <f aca="false">IF(G27=0,"",F27/G27)</f>
        <v>-0.983001090771451</v>
      </c>
      <c r="M27" s="54" t="str">
        <f aca="false">IF(OR(L13="",L13&lt;=0,L27=""),"",L27/L13)</f>
        <v/>
      </c>
      <c r="N27" s="64" t="n">
        <f aca="false">IF(I27=0,"",F27/I27)</f>
        <v>-31.8588142541785</v>
      </c>
      <c r="O27" s="64" t="n">
        <f aca="false">IF(I27=0,"",G27/I27)</f>
        <v>32.4097445600757</v>
      </c>
      <c r="P27" s="52" t="s">
        <v>699</v>
      </c>
      <c r="Q27" s="52" t="s">
        <v>699</v>
      </c>
    </row>
    <row r="28" customFormat="false" ht="15" hidden="false" customHeight="false" outlineLevel="0" collapsed="false">
      <c r="A28" s="51" t="s">
        <v>23</v>
      </c>
      <c r="B28" s="51" t="s">
        <v>148</v>
      </c>
      <c r="C28" s="51" t="s">
        <v>528</v>
      </c>
      <c r="D28" s="51" t="n">
        <v>3</v>
      </c>
      <c r="E28" s="51" t="s">
        <v>513</v>
      </c>
      <c r="F28" s="52" t="n">
        <v>-12514.58</v>
      </c>
      <c r="G28" s="52" t="n">
        <v>12664.41</v>
      </c>
      <c r="H28" s="53" t="n">
        <v>1.2477</v>
      </c>
      <c r="I28" s="52" t="n">
        <v>446.12</v>
      </c>
      <c r="J28" s="52" t="n">
        <v>3166.1</v>
      </c>
      <c r="K28" s="51" t="s">
        <v>568</v>
      </c>
      <c r="L28" s="54" t="n">
        <f aca="false">IF(G28=0,"",F28/G28)</f>
        <v>-0.988169208040485</v>
      </c>
      <c r="M28" s="54" t="str">
        <f aca="false">IF(OR(L13="",L13&lt;=0,L28=""),"",L28/L13)</f>
        <v/>
      </c>
      <c r="N28" s="64" t="n">
        <f aca="false">IF(I28=0,"",F28/I28)</f>
        <v>-28.0520487761141</v>
      </c>
      <c r="O28" s="64" t="n">
        <f aca="false">IF(I28=0,"",G28/I28)</f>
        <v>28.3879001165606</v>
      </c>
      <c r="P28" s="52" t="s">
        <v>699</v>
      </c>
      <c r="Q28" s="52" t="s">
        <v>699</v>
      </c>
    </row>
    <row r="29" customFormat="false" ht="15" hidden="false" customHeight="false" outlineLevel="0" collapsed="false">
      <c r="A29" s="51" t="s">
        <v>23</v>
      </c>
      <c r="B29" s="51" t="s">
        <v>148</v>
      </c>
      <c r="C29" s="51" t="s">
        <v>528</v>
      </c>
      <c r="D29" s="51" t="n">
        <v>3</v>
      </c>
      <c r="E29" s="51" t="s">
        <v>515</v>
      </c>
      <c r="F29" s="52" t="n">
        <v>-10456.31</v>
      </c>
      <c r="G29" s="52" t="n">
        <v>10606.13</v>
      </c>
      <c r="H29" s="53" t="n">
        <v>1.045</v>
      </c>
      <c r="I29" s="52" t="n">
        <v>298.43</v>
      </c>
      <c r="J29" s="52" t="n">
        <v>500</v>
      </c>
      <c r="K29" s="51" t="s">
        <v>569</v>
      </c>
      <c r="L29" s="54" t="n">
        <f aca="false">IF(G29=0,"",F29/G29)</f>
        <v>-0.985874206708762</v>
      </c>
      <c r="M29" s="54" t="str">
        <f aca="false">IF(OR(L13="",L13&lt;=0,L29=""),"",L29/L13)</f>
        <v/>
      </c>
      <c r="N29" s="64" t="n">
        <f aca="false">IF(I29=0,"",F29/I29)</f>
        <v>-35.0377307911403</v>
      </c>
      <c r="O29" s="64" t="n">
        <f aca="false">IF(I29=0,"",G29/I29)</f>
        <v>35.5397580672184</v>
      </c>
      <c r="P29" s="52" t="s">
        <v>699</v>
      </c>
      <c r="Q29" s="52" t="s">
        <v>699</v>
      </c>
    </row>
    <row r="30" customFormat="false" ht="15" hidden="false" customHeight="false" outlineLevel="0" collapsed="false">
      <c r="A30" s="51" t="s">
        <v>23</v>
      </c>
      <c r="B30" s="51" t="s">
        <v>148</v>
      </c>
      <c r="C30" s="51" t="s">
        <v>528</v>
      </c>
      <c r="D30" s="51" t="n">
        <v>4</v>
      </c>
      <c r="E30" s="51" t="s">
        <v>513</v>
      </c>
      <c r="F30" s="52" t="n">
        <v>-10778.99</v>
      </c>
      <c r="G30" s="52" t="n">
        <v>10928.82</v>
      </c>
      <c r="H30" s="53" t="n">
        <v>1.0767</v>
      </c>
      <c r="I30" s="52" t="n">
        <v>415.27</v>
      </c>
      <c r="J30" s="52" t="n">
        <v>2185.76</v>
      </c>
      <c r="K30" s="51" t="s">
        <v>565</v>
      </c>
      <c r="L30" s="54" t="n">
        <f aca="false">IF(G30=0,"",F30/G30)</f>
        <v>-0.986290377186192</v>
      </c>
      <c r="M30" s="54" t="str">
        <f aca="false">IF(OR(L13="",L13&lt;=0,L30=""),"",L30/L13)</f>
        <v/>
      </c>
      <c r="N30" s="64" t="n">
        <f aca="false">IF(I30=0,"",F30/I30)</f>
        <v>-25.9565824644207</v>
      </c>
      <c r="O30" s="64" t="n">
        <f aca="false">IF(I30=0,"",G30/I30)</f>
        <v>26.3173838707347</v>
      </c>
      <c r="P30" s="52" t="s">
        <v>699</v>
      </c>
      <c r="Q30" s="52" t="s">
        <v>699</v>
      </c>
    </row>
    <row r="31" customFormat="false" ht="15" hidden="false" customHeight="false" outlineLevel="0" collapsed="false">
      <c r="A31" s="51" t="s">
        <v>23</v>
      </c>
      <c r="B31" s="51" t="s">
        <v>148</v>
      </c>
      <c r="C31" s="51" t="s">
        <v>528</v>
      </c>
      <c r="D31" s="51" t="n">
        <v>4</v>
      </c>
      <c r="E31" s="51" t="s">
        <v>515</v>
      </c>
      <c r="F31" s="52" t="n">
        <v>-10066.81</v>
      </c>
      <c r="G31" s="52" t="n">
        <v>10216.63</v>
      </c>
      <c r="H31" s="53" t="n">
        <v>1.0066</v>
      </c>
      <c r="I31" s="52" t="n">
        <v>294.45</v>
      </c>
      <c r="J31" s="52" t="n">
        <v>500</v>
      </c>
      <c r="K31" s="51" t="s">
        <v>674</v>
      </c>
      <c r="L31" s="54" t="n">
        <f aca="false">IF(G31=0,"",F31/G31)</f>
        <v>-0.985335673309105</v>
      </c>
      <c r="M31" s="54" t="str">
        <f aca="false">IF(OR(L13="",L13&lt;=0,L31=""),"",L31/L13)</f>
        <v/>
      </c>
      <c r="N31" s="64" t="n">
        <f aca="false">IF(I31=0,"",F31/I31)</f>
        <v>-34.1885209713024</v>
      </c>
      <c r="O31" s="64" t="n">
        <f aca="false">IF(I31=0,"",G31/I31)</f>
        <v>34.6973340125658</v>
      </c>
      <c r="P31" s="52" t="s">
        <v>699</v>
      </c>
      <c r="Q31" s="52" t="s">
        <v>699</v>
      </c>
    </row>
    <row r="32" customFormat="false" ht="15" hidden="false" customHeight="false" outlineLevel="0" collapsed="false">
      <c r="A32" s="51" t="s">
        <v>23</v>
      </c>
      <c r="B32" s="51" t="s">
        <v>148</v>
      </c>
      <c r="C32" s="51" t="s">
        <v>528</v>
      </c>
      <c r="D32" s="51" t="n">
        <v>5</v>
      </c>
      <c r="E32" s="51" t="s">
        <v>513</v>
      </c>
      <c r="F32" s="52" t="n">
        <v>-10831.28</v>
      </c>
      <c r="G32" s="52" t="n">
        <v>10981.1</v>
      </c>
      <c r="H32" s="53" t="n">
        <v>1.0819</v>
      </c>
      <c r="I32" s="52" t="n">
        <v>387.62</v>
      </c>
      <c r="J32" s="52" t="n">
        <v>1896.58</v>
      </c>
      <c r="K32" s="51" t="s">
        <v>558</v>
      </c>
      <c r="L32" s="54" t="n">
        <f aca="false">IF(G32=0,"",F32/G32)</f>
        <v>-0.986356558086166</v>
      </c>
      <c r="M32" s="54" t="str">
        <f aca="false">IF(OR(L13="",L13&lt;=0,L32=""),"",L32/L13)</f>
        <v/>
      </c>
      <c r="N32" s="64" t="n">
        <f aca="false">IF(I32=0,"",F32/I32)</f>
        <v>-27.9430369949951</v>
      </c>
      <c r="O32" s="64" t="n">
        <f aca="false">IF(I32=0,"",G32/I32)</f>
        <v>28.3295495588463</v>
      </c>
      <c r="P32" s="52" t="s">
        <v>699</v>
      </c>
      <c r="Q32" s="52" t="s">
        <v>699</v>
      </c>
    </row>
    <row r="33" customFormat="false" ht="15" hidden="false" customHeight="false" outlineLevel="0" collapsed="false">
      <c r="A33" s="51" t="s">
        <v>23</v>
      </c>
      <c r="B33" s="51" t="s">
        <v>148</v>
      </c>
      <c r="C33" s="51" t="s">
        <v>528</v>
      </c>
      <c r="D33" s="51" t="n">
        <v>5</v>
      </c>
      <c r="E33" s="51" t="s">
        <v>515</v>
      </c>
      <c r="F33" s="52" t="n">
        <v>-10165.7</v>
      </c>
      <c r="G33" s="52" t="n">
        <v>10315.53</v>
      </c>
      <c r="H33" s="53" t="n">
        <v>1.0163</v>
      </c>
      <c r="I33" s="52" t="n">
        <v>290.36</v>
      </c>
      <c r="J33" s="52" t="n">
        <v>500</v>
      </c>
      <c r="K33" s="51" t="s">
        <v>584</v>
      </c>
      <c r="L33" s="54" t="n">
        <f aca="false">IF(G33=0,"",F33/G33)</f>
        <v>-0.985475297924586</v>
      </c>
      <c r="M33" s="54" t="str">
        <f aca="false">IF(OR(L13="",L13&lt;=0,L33=""),"",L33/L13)</f>
        <v/>
      </c>
      <c r="N33" s="64" t="n">
        <f aca="false">IF(I33=0,"",F33/I33)</f>
        <v>-35.0106764017082</v>
      </c>
      <c r="O33" s="64" t="n">
        <f aca="false">IF(I33=0,"",G33/I33)</f>
        <v>35.5266910042706</v>
      </c>
      <c r="P33" s="52" t="s">
        <v>699</v>
      </c>
      <c r="Q33" s="52" t="s">
        <v>699</v>
      </c>
    </row>
    <row r="35" customFormat="false" ht="15" hidden="false" customHeight="false" outlineLevel="0" collapsed="false">
      <c r="A35" s="5" t="s">
        <v>23</v>
      </c>
      <c r="B35" s="5" t="s">
        <v>24</v>
      </c>
      <c r="C35" s="5" t="s">
        <v>698</v>
      </c>
      <c r="D35" s="5" t="s">
        <v>549</v>
      </c>
      <c r="E35" s="5" t="s">
        <v>549</v>
      </c>
      <c r="F35" s="62" t="n">
        <v>5441.57</v>
      </c>
      <c r="G35" s="62" t="n">
        <v>1480.81</v>
      </c>
      <c r="H35" s="42" t="n">
        <v>0.1332</v>
      </c>
      <c r="I35" s="62" t="n">
        <v>50</v>
      </c>
      <c r="J35" s="62" t="n">
        <v>50</v>
      </c>
      <c r="K35" s="5" t="s">
        <v>581</v>
      </c>
      <c r="L35" s="21" t="n">
        <f aca="false">IF(G35=0,"",F35/G35)</f>
        <v>3.67472531925095</v>
      </c>
      <c r="M35" s="21" t="n">
        <v>1</v>
      </c>
      <c r="N35" s="63" t="n">
        <f aca="false">IF(I35=0,"",F35/I35)</f>
        <v>108.8314</v>
      </c>
      <c r="O35" s="63" t="n">
        <f aca="false">IF(I35=0,"",G35/I35)</f>
        <v>29.6162</v>
      </c>
      <c r="P35" s="62" t="n">
        <v>2544.19</v>
      </c>
      <c r="Q35" s="62" t="n">
        <v>2897.39</v>
      </c>
    </row>
    <row r="36" customFormat="false" ht="15" hidden="false" customHeight="false" outlineLevel="0" collapsed="false">
      <c r="A36" s="51" t="s">
        <v>23</v>
      </c>
      <c r="B36" s="51" t="s">
        <v>24</v>
      </c>
      <c r="C36" s="51" t="s">
        <v>700</v>
      </c>
      <c r="D36" s="51" t="n">
        <v>1</v>
      </c>
      <c r="E36" s="51" t="s">
        <v>513</v>
      </c>
      <c r="F36" s="52" t="n">
        <v>-14587.48</v>
      </c>
      <c r="G36" s="52" t="n">
        <v>25600</v>
      </c>
      <c r="H36" s="53" t="n">
        <v>1.2183</v>
      </c>
      <c r="I36" s="52" t="n">
        <v>302.45</v>
      </c>
      <c r="J36" s="52" t="n">
        <v>12800</v>
      </c>
      <c r="K36" s="51" t="s">
        <v>585</v>
      </c>
      <c r="L36" s="54" t="n">
        <f aca="false">IF(G36=0,"",F36/G36)</f>
        <v>-0.5698234375</v>
      </c>
      <c r="M36" s="54" t="n">
        <f aca="false">IF(OR(L35="",L35&lt;=0,L36=""),"",L36/L35)</f>
        <v>-0.155065586675238</v>
      </c>
      <c r="N36" s="64" t="n">
        <f aca="false">IF(I36=0,"",F36/I36)</f>
        <v>-48.2310464539593</v>
      </c>
      <c r="O36" s="64" t="n">
        <f aca="false">IF(I36=0,"",G36/I36)</f>
        <v>84.6420896015871</v>
      </c>
      <c r="P36" s="52" t="s">
        <v>699</v>
      </c>
      <c r="Q36" s="52" t="s">
        <v>699</v>
      </c>
    </row>
    <row r="37" customFormat="false" ht="15" hidden="false" customHeight="false" outlineLevel="0" collapsed="false">
      <c r="A37" s="8" t="s">
        <v>23</v>
      </c>
      <c r="B37" s="8" t="s">
        <v>24</v>
      </c>
      <c r="C37" s="8" t="s">
        <v>700</v>
      </c>
      <c r="D37" s="8" t="n">
        <v>1</v>
      </c>
      <c r="E37" s="8" t="s">
        <v>515</v>
      </c>
      <c r="F37" s="56" t="n">
        <v>45461.97</v>
      </c>
      <c r="G37" s="56" t="n">
        <v>13108.1</v>
      </c>
      <c r="H37" s="43" t="n">
        <v>0.4775</v>
      </c>
      <c r="I37" s="56" t="n">
        <v>299.87</v>
      </c>
      <c r="J37" s="56" t="n">
        <v>500</v>
      </c>
      <c r="K37" s="8" t="s">
        <v>581</v>
      </c>
      <c r="L37" s="19" t="n">
        <f aca="false">IF(G37=0,"",F37/G37)</f>
        <v>3.46823490818654</v>
      </c>
      <c r="M37" s="19" t="n">
        <f aca="false">IF(OR(L35="",L35&lt;=0,L37=""),"",L37/L35)</f>
        <v>0.943807933076614</v>
      </c>
      <c r="N37" s="65" t="n">
        <f aca="false">IF(I37=0,"",F37/I37)</f>
        <v>151.605595758162</v>
      </c>
      <c r="O37" s="65" t="n">
        <f aca="false">IF(I37=0,"",G37/I37)</f>
        <v>43.7126087971454</v>
      </c>
      <c r="P37" s="56" t="n">
        <v>24204.3</v>
      </c>
      <c r="Q37" s="56" t="n">
        <v>20757.23</v>
      </c>
    </row>
    <row r="38" customFormat="false" ht="15" hidden="false" customHeight="false" outlineLevel="0" collapsed="false">
      <c r="A38" s="8" t="s">
        <v>23</v>
      </c>
      <c r="B38" s="8" t="s">
        <v>24</v>
      </c>
      <c r="C38" s="8" t="s">
        <v>700</v>
      </c>
      <c r="D38" s="8" t="n">
        <v>2</v>
      </c>
      <c r="E38" s="8" t="s">
        <v>513</v>
      </c>
      <c r="F38" s="56" t="n">
        <v>29312.68</v>
      </c>
      <c r="G38" s="56" t="n">
        <v>12974.63</v>
      </c>
      <c r="H38" s="43" t="n">
        <v>0.3816</v>
      </c>
      <c r="I38" s="56" t="n">
        <v>98.07</v>
      </c>
      <c r="J38" s="56" t="n">
        <v>6487.32</v>
      </c>
      <c r="K38" s="8" t="s">
        <v>581</v>
      </c>
      <c r="L38" s="19" t="n">
        <f aca="false">IF(G38=0,"",F38/G38)</f>
        <v>2.25923051370251</v>
      </c>
      <c r="M38" s="19" t="n">
        <f aca="false">IF(OR(L35="",L35&lt;=0,L38=""),"",L38/L35)</f>
        <v>0.61480255459285</v>
      </c>
      <c r="N38" s="65" t="n">
        <f aca="false">IF(I38=0,"",F38/I38)</f>
        <v>298.895482818395</v>
      </c>
      <c r="O38" s="65" t="n">
        <f aca="false">IF(I38=0,"",G38/I38)</f>
        <v>132.299683899256</v>
      </c>
      <c r="P38" s="56" t="n">
        <v>13643.04</v>
      </c>
      <c r="Q38" s="56" t="n">
        <v>15669.64</v>
      </c>
    </row>
    <row r="39" customFormat="false" ht="15" hidden="false" customHeight="false" outlineLevel="0" collapsed="false">
      <c r="A39" s="8" t="s">
        <v>23</v>
      </c>
      <c r="B39" s="8" t="s">
        <v>24</v>
      </c>
      <c r="C39" s="8" t="s">
        <v>700</v>
      </c>
      <c r="D39" s="8" t="n">
        <v>2</v>
      </c>
      <c r="E39" s="8" t="s">
        <v>515</v>
      </c>
      <c r="F39" s="56" t="n">
        <v>27201.9</v>
      </c>
      <c r="G39" s="56" t="n">
        <v>4680.46</v>
      </c>
      <c r="H39" s="43" t="n">
        <v>0.3806</v>
      </c>
      <c r="I39" s="56" t="n">
        <v>103.53</v>
      </c>
      <c r="J39" s="56" t="n">
        <v>500</v>
      </c>
      <c r="K39" s="8" t="s">
        <v>581</v>
      </c>
      <c r="L39" s="19" t="n">
        <f aca="false">IF(G39=0,"",F39/G39)</f>
        <v>5.81180054951864</v>
      </c>
      <c r="M39" s="19" t="n">
        <f aca="false">IF(OR(L35="",L35&lt;=0,L39=""),"",L39/L35)</f>
        <v>1.58156053707527</v>
      </c>
      <c r="N39" s="65" t="n">
        <f aca="false">IF(I39=0,"",F39/I39)</f>
        <v>262.744132135613</v>
      </c>
      <c r="O39" s="65" t="n">
        <f aca="false">IF(I39=0,"",G39/I39)</f>
        <v>45.2087317685695</v>
      </c>
      <c r="P39" s="56" t="n">
        <v>12629.51</v>
      </c>
      <c r="Q39" s="56" t="n">
        <v>14572.4</v>
      </c>
    </row>
    <row r="40" customFormat="false" ht="15" hidden="false" customHeight="false" outlineLevel="0" collapsed="false">
      <c r="A40" s="8" t="s">
        <v>23</v>
      </c>
      <c r="B40" s="8" t="s">
        <v>24</v>
      </c>
      <c r="C40" s="8" t="s">
        <v>700</v>
      </c>
      <c r="D40" s="8" t="n">
        <v>3</v>
      </c>
      <c r="E40" s="8" t="s">
        <v>513</v>
      </c>
      <c r="F40" s="56" t="n">
        <v>18740.77</v>
      </c>
      <c r="G40" s="56" t="n">
        <v>6943.37</v>
      </c>
      <c r="H40" s="43" t="n">
        <v>0.2834</v>
      </c>
      <c r="I40" s="56" t="n">
        <v>86.22</v>
      </c>
      <c r="J40" s="56" t="n">
        <v>2314.46</v>
      </c>
      <c r="K40" s="8" t="s">
        <v>581</v>
      </c>
      <c r="L40" s="19" t="n">
        <f aca="false">IF(G40=0,"",F40/G40)</f>
        <v>2.69908848297009</v>
      </c>
      <c r="M40" s="19" t="n">
        <f aca="false">IF(OR(L35="",L35&lt;=0,L40=""),"",L40/L35)</f>
        <v>0.734500744540074</v>
      </c>
      <c r="N40" s="65" t="n">
        <f aca="false">IF(I40=0,"",F40/I40)</f>
        <v>217.359893296219</v>
      </c>
      <c r="O40" s="65" t="n">
        <f aca="false">IF(I40=0,"",G40/I40)</f>
        <v>80.5308513106008</v>
      </c>
      <c r="P40" s="56" t="n">
        <v>8694.75</v>
      </c>
      <c r="Q40" s="56" t="n">
        <v>10036.31</v>
      </c>
    </row>
    <row r="41" customFormat="false" ht="15" hidden="false" customHeight="false" outlineLevel="0" collapsed="false">
      <c r="A41" s="8" t="s">
        <v>23</v>
      </c>
      <c r="B41" s="8" t="s">
        <v>24</v>
      </c>
      <c r="C41" s="8" t="s">
        <v>700</v>
      </c>
      <c r="D41" s="8" t="n">
        <v>3</v>
      </c>
      <c r="E41" s="8" t="s">
        <v>515</v>
      </c>
      <c r="F41" s="56" t="n">
        <v>17975.08</v>
      </c>
      <c r="G41" s="56" t="n">
        <v>4689.09</v>
      </c>
      <c r="H41" s="43" t="n">
        <v>0.2549</v>
      </c>
      <c r="I41" s="56" t="n">
        <v>90.19</v>
      </c>
      <c r="J41" s="56" t="n">
        <v>500</v>
      </c>
      <c r="K41" s="8" t="s">
        <v>581</v>
      </c>
      <c r="L41" s="19" t="n">
        <f aca="false">IF(G41=0,"",F41/G41)</f>
        <v>3.83338344966721</v>
      </c>
      <c r="M41" s="19" t="n">
        <f aca="false">IF(OR(L35="",L35&lt;=0,L41=""),"",L41/L35)</f>
        <v>1.04317550745496</v>
      </c>
      <c r="N41" s="65" t="n">
        <f aca="false">IF(I41=0,"",F41/I41)</f>
        <v>199.302361680896</v>
      </c>
      <c r="O41" s="65" t="n">
        <f aca="false">IF(I41=0,"",G41/I41)</f>
        <v>51.9912407140481</v>
      </c>
      <c r="P41" s="56" t="n">
        <v>8584.45</v>
      </c>
      <c r="Q41" s="56" t="n">
        <v>9380.91</v>
      </c>
    </row>
    <row r="42" customFormat="false" ht="15" hidden="false" customHeight="false" outlineLevel="0" collapsed="false">
      <c r="A42" s="8" t="s">
        <v>23</v>
      </c>
      <c r="B42" s="8" t="s">
        <v>24</v>
      </c>
      <c r="C42" s="8" t="s">
        <v>700</v>
      </c>
      <c r="D42" s="8" t="n">
        <v>4</v>
      </c>
      <c r="E42" s="8" t="s">
        <v>513</v>
      </c>
      <c r="F42" s="56" t="n">
        <v>14599.84</v>
      </c>
      <c r="G42" s="56" t="n">
        <v>4698.07</v>
      </c>
      <c r="H42" s="43" t="n">
        <v>0.1996</v>
      </c>
      <c r="I42" s="56" t="n">
        <v>77.34</v>
      </c>
      <c r="J42" s="56" t="n">
        <v>1174.52</v>
      </c>
      <c r="K42" s="8" t="s">
        <v>581</v>
      </c>
      <c r="L42" s="19" t="n">
        <f aca="false">IF(G42=0,"",F42/G42)</f>
        <v>3.10762504602954</v>
      </c>
      <c r="M42" s="19" t="n">
        <f aca="false">IF(OR(L35="",L35&lt;=0,L42=""),"",L42/L35)</f>
        <v>0.845675465795901</v>
      </c>
      <c r="N42" s="65" t="n">
        <f aca="false">IF(I42=0,"",F42/I42)</f>
        <v>188.774760796483</v>
      </c>
      <c r="O42" s="65" t="n">
        <f aca="false">IF(I42=0,"",G42/I42)</f>
        <v>60.7456684768554</v>
      </c>
      <c r="P42" s="56" t="n">
        <v>6708.84</v>
      </c>
      <c r="Q42" s="56" t="n">
        <v>7838.6</v>
      </c>
    </row>
    <row r="43" customFormat="false" ht="15" hidden="false" customHeight="false" outlineLevel="0" collapsed="false">
      <c r="A43" s="8" t="s">
        <v>23</v>
      </c>
      <c r="B43" s="8" t="s">
        <v>24</v>
      </c>
      <c r="C43" s="8" t="s">
        <v>700</v>
      </c>
      <c r="D43" s="8" t="n">
        <v>4</v>
      </c>
      <c r="E43" s="8" t="s">
        <v>515</v>
      </c>
      <c r="F43" s="56" t="n">
        <v>14350.53</v>
      </c>
      <c r="G43" s="56" t="n">
        <v>4438.03</v>
      </c>
      <c r="H43" s="43" t="n">
        <v>0.1895</v>
      </c>
      <c r="I43" s="56" t="n">
        <v>78.81</v>
      </c>
      <c r="J43" s="56" t="n">
        <v>500</v>
      </c>
      <c r="K43" s="8" t="s">
        <v>581</v>
      </c>
      <c r="L43" s="19" t="n">
        <f aca="false">IF(G43=0,"",F43/G43)</f>
        <v>3.23353605090547</v>
      </c>
      <c r="M43" s="19" t="n">
        <f aca="false">IF(OR(L35="",L35&lt;=0,L43=""),"",L43/L35)</f>
        <v>0.87993952472197</v>
      </c>
      <c r="N43" s="65" t="n">
        <f aca="false">IF(I43=0,"",F43/I43)</f>
        <v>182.090216977541</v>
      </c>
      <c r="O43" s="65" t="n">
        <f aca="false">IF(I43=0,"",G43/I43)</f>
        <v>56.3130313412004</v>
      </c>
      <c r="P43" s="56" t="n">
        <v>6708.84</v>
      </c>
      <c r="Q43" s="56" t="n">
        <v>7589.3</v>
      </c>
    </row>
    <row r="44" customFormat="false" ht="15" hidden="false" customHeight="false" outlineLevel="0" collapsed="false">
      <c r="A44" s="8" t="s">
        <v>23</v>
      </c>
      <c r="B44" s="8" t="s">
        <v>24</v>
      </c>
      <c r="C44" s="8" t="s">
        <v>700</v>
      </c>
      <c r="D44" s="8" t="n">
        <v>5</v>
      </c>
      <c r="E44" s="8" t="s">
        <v>513</v>
      </c>
      <c r="F44" s="56" t="n">
        <v>12352.54</v>
      </c>
      <c r="G44" s="56" t="n">
        <v>3899.8</v>
      </c>
      <c r="H44" s="43" t="n">
        <v>0.2019</v>
      </c>
      <c r="I44" s="56" t="n">
        <v>71.03</v>
      </c>
      <c r="J44" s="56" t="n">
        <v>779.96</v>
      </c>
      <c r="K44" s="8" t="s">
        <v>581</v>
      </c>
      <c r="L44" s="19" t="n">
        <f aca="false">IF(G44=0,"",F44/G44)</f>
        <v>3.16748038360942</v>
      </c>
      <c r="M44" s="19" t="n">
        <f aca="false">IF(OR(L35="",L35&lt;=0,L44=""),"",L44/L35)</f>
        <v>0.861963849927991</v>
      </c>
      <c r="N44" s="65" t="n">
        <f aca="false">IF(I44=0,"",F44/I44)</f>
        <v>173.905955230184</v>
      </c>
      <c r="O44" s="65" t="n">
        <f aca="false">IF(I44=0,"",G44/I44)</f>
        <v>54.903561875264</v>
      </c>
      <c r="P44" s="56" t="n">
        <v>5654.23</v>
      </c>
      <c r="Q44" s="56" t="n">
        <v>6637.2</v>
      </c>
    </row>
    <row r="45" customFormat="false" ht="15" hidden="false" customHeight="false" outlineLevel="0" collapsed="false">
      <c r="A45" s="8" t="s">
        <v>23</v>
      </c>
      <c r="B45" s="8" t="s">
        <v>24</v>
      </c>
      <c r="C45" s="8" t="s">
        <v>700</v>
      </c>
      <c r="D45" s="8" t="n">
        <v>5</v>
      </c>
      <c r="E45" s="8" t="s">
        <v>515</v>
      </c>
      <c r="F45" s="56" t="n">
        <v>12262.1</v>
      </c>
      <c r="G45" s="56" t="n">
        <v>3762.65</v>
      </c>
      <c r="H45" s="43" t="n">
        <v>0.192</v>
      </c>
      <c r="I45" s="56" t="n">
        <v>71.45</v>
      </c>
      <c r="J45" s="56" t="n">
        <v>500</v>
      </c>
      <c r="K45" s="8" t="s">
        <v>581</v>
      </c>
      <c r="L45" s="19" t="n">
        <f aca="false">IF(G45=0,"",F45/G45)</f>
        <v>3.25889997740954</v>
      </c>
      <c r="M45" s="19" t="n">
        <f aca="false">IF(OR(L35="",L35&lt;=0,L45=""),"",L45/L35)</f>
        <v>0.886841789326944</v>
      </c>
      <c r="N45" s="65" t="n">
        <f aca="false">IF(I45=0,"",F45/I45)</f>
        <v>171.617914625612</v>
      </c>
      <c r="O45" s="65" t="n">
        <f aca="false">IF(I45=0,"",G45/I45)</f>
        <v>52.6613016095171</v>
      </c>
      <c r="P45" s="56" t="n">
        <v>5654.23</v>
      </c>
      <c r="Q45" s="56" t="n">
        <v>6546.75</v>
      </c>
    </row>
    <row r="46" customFormat="false" ht="15" hidden="false" customHeight="false" outlineLevel="0" collapsed="false">
      <c r="A46" s="51" t="s">
        <v>23</v>
      </c>
      <c r="B46" s="51" t="s">
        <v>24</v>
      </c>
      <c r="C46" s="51" t="s">
        <v>528</v>
      </c>
      <c r="D46" s="51" t="n">
        <v>1</v>
      </c>
      <c r="E46" s="51" t="s">
        <v>513</v>
      </c>
      <c r="F46" s="52" t="n">
        <v>-47660.86</v>
      </c>
      <c r="G46" s="52" t="n">
        <v>123076.92</v>
      </c>
      <c r="H46" s="53" t="n">
        <v>1.4409</v>
      </c>
      <c r="I46" s="52" t="n">
        <v>1751.95</v>
      </c>
      <c r="J46" s="52" t="n">
        <v>61538.46</v>
      </c>
      <c r="K46" s="51" t="s">
        <v>702</v>
      </c>
      <c r="L46" s="54" t="n">
        <f aca="false">IF(G46=0,"",F46/G46)</f>
        <v>-0.387244497181112</v>
      </c>
      <c r="M46" s="54" t="n">
        <f aca="false">IF(OR(L35="",L35&lt;=0,L46=""),"",L46/L35)</f>
        <v>-0.105380528757466</v>
      </c>
      <c r="N46" s="64" t="n">
        <f aca="false">IF(I46=0,"",F46/I46)</f>
        <v>-27.2044635977054</v>
      </c>
      <c r="O46" s="64" t="n">
        <f aca="false">IF(I46=0,"",G46/I46)</f>
        <v>70.2513884528668</v>
      </c>
      <c r="P46" s="52" t="s">
        <v>699</v>
      </c>
      <c r="Q46" s="52" t="s">
        <v>699</v>
      </c>
    </row>
    <row r="47" customFormat="false" ht="15" hidden="false" customHeight="false" outlineLevel="0" collapsed="false">
      <c r="A47" s="8" t="s">
        <v>23</v>
      </c>
      <c r="B47" s="8" t="s">
        <v>24</v>
      </c>
      <c r="C47" s="8" t="s">
        <v>528</v>
      </c>
      <c r="D47" s="8" t="n">
        <v>1</v>
      </c>
      <c r="E47" s="8" t="s">
        <v>515</v>
      </c>
      <c r="F47" s="56" t="n">
        <v>54624.29</v>
      </c>
      <c r="G47" s="56" t="n">
        <v>14748.1</v>
      </c>
      <c r="H47" s="43" t="n">
        <v>0.9587</v>
      </c>
      <c r="I47" s="56" t="n">
        <v>485.15</v>
      </c>
      <c r="J47" s="56" t="n">
        <v>500</v>
      </c>
      <c r="K47" s="8" t="s">
        <v>581</v>
      </c>
      <c r="L47" s="19" t="n">
        <f aca="false">IF(G47=0,"",F47/G47)</f>
        <v>3.70381879699758</v>
      </c>
      <c r="M47" s="19" t="n">
        <f aca="false">IF(OR(L35="",L35&lt;=0,L47=""),"",L47/L35)</f>
        <v>1.00791718433871</v>
      </c>
      <c r="N47" s="65" t="n">
        <f aca="false">IF(I47=0,"",F47/I47)</f>
        <v>112.592579614552</v>
      </c>
      <c r="O47" s="65" t="n">
        <f aca="false">IF(I47=0,"",G47/I47)</f>
        <v>30.3990518396372</v>
      </c>
      <c r="P47" s="56" t="n">
        <v>25604.8</v>
      </c>
      <c r="Q47" s="56" t="n">
        <v>32671.92</v>
      </c>
    </row>
    <row r="48" customFormat="false" ht="15" hidden="false" customHeight="false" outlineLevel="0" collapsed="false">
      <c r="A48" s="51" t="s">
        <v>23</v>
      </c>
      <c r="B48" s="51" t="s">
        <v>24</v>
      </c>
      <c r="C48" s="51" t="s">
        <v>528</v>
      </c>
      <c r="D48" s="51" t="n">
        <v>2</v>
      </c>
      <c r="E48" s="51" t="s">
        <v>513</v>
      </c>
      <c r="F48" s="52" t="n">
        <v>-11810.5</v>
      </c>
      <c r="G48" s="52" t="n">
        <v>16596.72</v>
      </c>
      <c r="H48" s="53" t="n">
        <v>1.1224</v>
      </c>
      <c r="I48" s="52" t="n">
        <v>274.17</v>
      </c>
      <c r="J48" s="52" t="n">
        <v>5532.24</v>
      </c>
      <c r="K48" s="51" t="s">
        <v>585</v>
      </c>
      <c r="L48" s="54" t="n">
        <f aca="false">IF(G48=0,"",F48/G48)</f>
        <v>-0.71161651217831</v>
      </c>
      <c r="M48" s="54" t="n">
        <f aca="false">IF(OR(L35="",L35&lt;=0,L48=""),"",L48/L35)</f>
        <v>-0.19365162028583</v>
      </c>
      <c r="N48" s="64" t="n">
        <f aca="false">IF(I48=0,"",F48/I48)</f>
        <v>-43.0772878141299</v>
      </c>
      <c r="O48" s="64" t="n">
        <f aca="false">IF(I48=0,"",G48/I48)</f>
        <v>60.5344129554656</v>
      </c>
      <c r="P48" s="52" t="s">
        <v>699</v>
      </c>
      <c r="Q48" s="52" t="s">
        <v>699</v>
      </c>
    </row>
    <row r="49" customFormat="false" ht="15" hidden="false" customHeight="false" outlineLevel="0" collapsed="false">
      <c r="A49" s="8" t="s">
        <v>23</v>
      </c>
      <c r="B49" s="8" t="s">
        <v>24</v>
      </c>
      <c r="C49" s="8" t="s">
        <v>528</v>
      </c>
      <c r="D49" s="8" t="n">
        <v>2</v>
      </c>
      <c r="E49" s="8" t="s">
        <v>515</v>
      </c>
      <c r="F49" s="56" t="n">
        <v>60097.8</v>
      </c>
      <c r="G49" s="56" t="n">
        <v>14726.29</v>
      </c>
      <c r="H49" s="43" t="n">
        <v>0.7043</v>
      </c>
      <c r="I49" s="56" t="n">
        <v>462.85</v>
      </c>
      <c r="J49" s="56" t="n">
        <v>500</v>
      </c>
      <c r="K49" s="8" t="s">
        <v>581</v>
      </c>
      <c r="L49" s="19" t="n">
        <f aca="false">IF(G49=0,"",F49/G49)</f>
        <v>4.08098713253644</v>
      </c>
      <c r="M49" s="19" t="n">
        <f aca="false">IF(OR(L35="",L35&lt;=0,L49=""),"",L49/L35)</f>
        <v>1.11055569545761</v>
      </c>
      <c r="N49" s="65" t="n">
        <f aca="false">IF(I49=0,"",F49/I49)</f>
        <v>129.842929674841</v>
      </c>
      <c r="O49" s="65" t="n">
        <f aca="false">IF(I49=0,"",G49/I49)</f>
        <v>31.8165496381117</v>
      </c>
      <c r="P49" s="56" t="n">
        <v>30669.59</v>
      </c>
      <c r="Q49" s="56" t="n">
        <v>27036.37</v>
      </c>
    </row>
    <row r="50" customFormat="false" ht="15" hidden="false" customHeight="false" outlineLevel="0" collapsed="false">
      <c r="A50" s="51" t="s">
        <v>23</v>
      </c>
      <c r="B50" s="51" t="s">
        <v>24</v>
      </c>
      <c r="C50" s="51" t="s">
        <v>528</v>
      </c>
      <c r="D50" s="51" t="n">
        <v>3</v>
      </c>
      <c r="E50" s="51" t="s">
        <v>513</v>
      </c>
      <c r="F50" s="52" t="n">
        <v>-10766.87</v>
      </c>
      <c r="G50" s="52" t="n">
        <v>13344.93</v>
      </c>
      <c r="H50" s="53" t="n">
        <v>1.061</v>
      </c>
      <c r="I50" s="52" t="n">
        <v>209.6</v>
      </c>
      <c r="J50" s="52" t="n">
        <v>3336.23</v>
      </c>
      <c r="K50" s="51" t="s">
        <v>588</v>
      </c>
      <c r="L50" s="54" t="n">
        <f aca="false">IF(G50=0,"",F50/G50)</f>
        <v>-0.806813523937555</v>
      </c>
      <c r="M50" s="54" t="n">
        <f aca="false">IF(OR(L35="",L35&lt;=0,L50=""),"",L50/L35)</f>
        <v>-0.219557505349002</v>
      </c>
      <c r="N50" s="64" t="n">
        <f aca="false">IF(I50=0,"",F50/I50)</f>
        <v>-51.3686545801527</v>
      </c>
      <c r="O50" s="64" t="n">
        <f aca="false">IF(I50=0,"",G50/I50)</f>
        <v>63.6685591603054</v>
      </c>
      <c r="P50" s="52" t="s">
        <v>699</v>
      </c>
      <c r="Q50" s="52" t="s">
        <v>699</v>
      </c>
    </row>
    <row r="51" customFormat="false" ht="15" hidden="false" customHeight="false" outlineLevel="0" collapsed="false">
      <c r="A51" s="8" t="s">
        <v>23</v>
      </c>
      <c r="B51" s="8" t="s">
        <v>24</v>
      </c>
      <c r="C51" s="8" t="s">
        <v>528</v>
      </c>
      <c r="D51" s="8" t="n">
        <v>3</v>
      </c>
      <c r="E51" s="8" t="s">
        <v>515</v>
      </c>
      <c r="F51" s="56" t="n">
        <v>58981.63</v>
      </c>
      <c r="G51" s="56" t="n">
        <v>14696.99</v>
      </c>
      <c r="H51" s="43" t="n">
        <v>0.5892</v>
      </c>
      <c r="I51" s="56" t="n">
        <v>436.85</v>
      </c>
      <c r="J51" s="56" t="n">
        <v>500</v>
      </c>
      <c r="K51" s="8" t="s">
        <v>581</v>
      </c>
      <c r="L51" s="19" t="n">
        <f aca="false">IF(G51=0,"",F51/G51)</f>
        <v>4.01317752818775</v>
      </c>
      <c r="M51" s="19" t="n">
        <f aca="false">IF(OR(L35="",L35&lt;=0,L51=""),"",L51/L35)</f>
        <v>1.09210272320593</v>
      </c>
      <c r="N51" s="65" t="n">
        <f aca="false">IF(I51=0,"",F51/I51)</f>
        <v>135.015749112968</v>
      </c>
      <c r="O51" s="65" t="n">
        <f aca="false">IF(I51=0,"",G51/I51)</f>
        <v>33.6431040402884</v>
      </c>
      <c r="P51" s="56" t="n">
        <v>30064.4</v>
      </c>
      <c r="Q51" s="56" t="n">
        <v>23611.94</v>
      </c>
    </row>
    <row r="52" customFormat="false" ht="15" hidden="false" customHeight="false" outlineLevel="0" collapsed="false">
      <c r="A52" s="8" t="s">
        <v>23</v>
      </c>
      <c r="B52" s="8" t="s">
        <v>24</v>
      </c>
      <c r="C52" s="8" t="s">
        <v>528</v>
      </c>
      <c r="D52" s="8" t="n">
        <v>4</v>
      </c>
      <c r="E52" s="8" t="s">
        <v>513</v>
      </c>
      <c r="F52" s="56" t="n">
        <v>121682.91</v>
      </c>
      <c r="G52" s="56" t="n">
        <v>45739.7</v>
      </c>
      <c r="H52" s="43" t="n">
        <v>0.5173</v>
      </c>
      <c r="I52" s="56" t="n">
        <v>612.51</v>
      </c>
      <c r="J52" s="56" t="n">
        <v>11434.93</v>
      </c>
      <c r="K52" s="8" t="s">
        <v>581</v>
      </c>
      <c r="L52" s="19" t="n">
        <f aca="false">IF(G52=0,"",F52/G52)</f>
        <v>2.66033467644082</v>
      </c>
      <c r="M52" s="19" t="n">
        <f aca="false">IF(OR(L35="",L35&lt;=0,L52=""),"",L52/L35)</f>
        <v>0.723954702819283</v>
      </c>
      <c r="N52" s="65" t="n">
        <f aca="false">IF(I52=0,"",F52/I52)</f>
        <v>198.662732037028</v>
      </c>
      <c r="O52" s="65" t="n">
        <f aca="false">IF(I52=0,"",G52/I52)</f>
        <v>74.6758420270689</v>
      </c>
      <c r="P52" s="56" t="n">
        <v>45768.9</v>
      </c>
      <c r="Q52" s="56" t="s">
        <v>699</v>
      </c>
    </row>
    <row r="53" customFormat="false" ht="15" hidden="false" customHeight="false" outlineLevel="0" collapsed="false">
      <c r="A53" s="8" t="s">
        <v>23</v>
      </c>
      <c r="B53" s="8" t="s">
        <v>24</v>
      </c>
      <c r="C53" s="8" t="s">
        <v>528</v>
      </c>
      <c r="D53" s="8" t="n">
        <v>4</v>
      </c>
      <c r="E53" s="8" t="s">
        <v>515</v>
      </c>
      <c r="F53" s="56" t="n">
        <v>57724.91</v>
      </c>
      <c r="G53" s="56" t="n">
        <v>14664.9</v>
      </c>
      <c r="H53" s="43" t="n">
        <v>0.5147</v>
      </c>
      <c r="I53" s="56" t="n">
        <v>412.12</v>
      </c>
      <c r="J53" s="56" t="n">
        <v>500</v>
      </c>
      <c r="K53" s="8" t="s">
        <v>581</v>
      </c>
      <c r="L53" s="19" t="n">
        <f aca="false">IF(G53=0,"",F53/G53)</f>
        <v>3.93626345900756</v>
      </c>
      <c r="M53" s="19" t="n">
        <f aca="false">IF(OR(L35="",L35&lt;=0,L53=""),"",L53/L35)</f>
        <v>1.07117216037522</v>
      </c>
      <c r="N53" s="65" t="n">
        <f aca="false">IF(I53=0,"",F53/I53)</f>
        <v>140.068208288848</v>
      </c>
      <c r="O53" s="65" t="n">
        <f aca="false">IF(I53=0,"",G53/I53)</f>
        <v>35.5840531883917</v>
      </c>
      <c r="P53" s="56" t="n">
        <v>28798.04</v>
      </c>
      <c r="Q53" s="56" t="n">
        <v>23039.73</v>
      </c>
    </row>
    <row r="54" customFormat="false" ht="15" hidden="false" customHeight="false" outlineLevel="0" collapsed="false">
      <c r="A54" s="8" t="s">
        <v>23</v>
      </c>
      <c r="B54" s="8" t="s">
        <v>24</v>
      </c>
      <c r="C54" s="8" t="s">
        <v>528</v>
      </c>
      <c r="D54" s="8" t="n">
        <v>5</v>
      </c>
      <c r="E54" s="8" t="s">
        <v>513</v>
      </c>
      <c r="F54" s="56" t="n">
        <v>99850.84</v>
      </c>
      <c r="G54" s="56" t="n">
        <v>37361.04</v>
      </c>
      <c r="H54" s="43" t="n">
        <v>0.5121</v>
      </c>
      <c r="I54" s="56" t="n">
        <v>539.09</v>
      </c>
      <c r="J54" s="56" t="n">
        <v>7472.21</v>
      </c>
      <c r="K54" s="8" t="s">
        <v>581</v>
      </c>
      <c r="L54" s="19" t="n">
        <f aca="false">IF(G54=0,"",F54/G54)</f>
        <v>2.67259262590121</v>
      </c>
      <c r="M54" s="19" t="n">
        <f aca="false">IF(OR(L35="",L35&lt;=0,L54=""),"",L54/L35)</f>
        <v>0.727290448594939</v>
      </c>
      <c r="N54" s="65" t="n">
        <f aca="false">IF(I54=0,"",F54/I54)</f>
        <v>185.221094807917</v>
      </c>
      <c r="O54" s="65" t="n">
        <f aca="false">IF(I54=0,"",G54/I54)</f>
        <v>69.3039010183828</v>
      </c>
      <c r="P54" s="56" t="n">
        <v>36023.95</v>
      </c>
      <c r="Q54" s="56" t="s">
        <v>699</v>
      </c>
    </row>
    <row r="55" customFormat="false" ht="15" hidden="false" customHeight="false" outlineLevel="0" collapsed="false">
      <c r="A55" s="8" t="s">
        <v>23</v>
      </c>
      <c r="B55" s="8" t="s">
        <v>24</v>
      </c>
      <c r="C55" s="8" t="s">
        <v>528</v>
      </c>
      <c r="D55" s="8" t="n">
        <v>5</v>
      </c>
      <c r="E55" s="8" t="s">
        <v>515</v>
      </c>
      <c r="F55" s="56" t="n">
        <v>55798.86</v>
      </c>
      <c r="G55" s="56" t="n">
        <v>14597.14</v>
      </c>
      <c r="H55" s="43" t="n">
        <v>0.4147</v>
      </c>
      <c r="I55" s="56" t="n">
        <v>392.08</v>
      </c>
      <c r="J55" s="56" t="n">
        <v>500</v>
      </c>
      <c r="K55" s="8" t="s">
        <v>581</v>
      </c>
      <c r="L55" s="19" t="n">
        <f aca="false">IF(G55=0,"",F55/G55)</f>
        <v>3.82258853446634</v>
      </c>
      <c r="M55" s="19" t="n">
        <f aca="false">IF(OR(L35="",L35&lt;=0,L55=""),"",L55/L35)</f>
        <v>1.0402378959975</v>
      </c>
      <c r="N55" s="65" t="n">
        <f aca="false">IF(I55=0,"",F55/I55)</f>
        <v>142.314986737401</v>
      </c>
      <c r="O55" s="65" t="n">
        <f aca="false">IF(I55=0,"",G55/I55)</f>
        <v>37.2300040807998</v>
      </c>
      <c r="P55" s="56" t="n">
        <v>27137.31</v>
      </c>
      <c r="Q55" s="56" t="n">
        <v>24601.81</v>
      </c>
    </row>
    <row r="57" customFormat="false" ht="15" hidden="false" customHeight="false" outlineLevel="0" collapsed="false">
      <c r="A57" s="5" t="s">
        <v>23</v>
      </c>
      <c r="B57" s="5" t="s">
        <v>59</v>
      </c>
      <c r="C57" s="5" t="s">
        <v>698</v>
      </c>
      <c r="D57" s="5" t="s">
        <v>549</v>
      </c>
      <c r="E57" s="5" t="s">
        <v>549</v>
      </c>
      <c r="F57" s="62" t="n">
        <v>4561.27</v>
      </c>
      <c r="G57" s="62" t="n">
        <v>1467.44</v>
      </c>
      <c r="H57" s="42" t="n">
        <v>0.1443</v>
      </c>
      <c r="I57" s="62" t="n">
        <v>50</v>
      </c>
      <c r="J57" s="62" t="n">
        <v>50</v>
      </c>
      <c r="K57" s="5" t="s">
        <v>581</v>
      </c>
      <c r="L57" s="21" t="n">
        <f aca="false">IF(G57=0,"",F57/G57)</f>
        <v>3.10831788693235</v>
      </c>
      <c r="M57" s="21" t="n">
        <v>1</v>
      </c>
      <c r="N57" s="63" t="n">
        <f aca="false">IF(I57=0,"",F57/I57)</f>
        <v>91.2254</v>
      </c>
      <c r="O57" s="63" t="n">
        <f aca="false">IF(I57=0,"",G57/I57)</f>
        <v>29.3488</v>
      </c>
      <c r="P57" s="62" t="n">
        <v>1249.71</v>
      </c>
      <c r="Q57" s="62" t="n">
        <v>3311.56</v>
      </c>
    </row>
    <row r="58" customFormat="false" ht="15" hidden="false" customHeight="false" outlineLevel="0" collapsed="false">
      <c r="A58" s="51" t="s">
        <v>23</v>
      </c>
      <c r="B58" s="51" t="s">
        <v>59</v>
      </c>
      <c r="C58" s="51" t="s">
        <v>700</v>
      </c>
      <c r="D58" s="51" t="n">
        <v>1</v>
      </c>
      <c r="E58" s="51" t="s">
        <v>513</v>
      </c>
      <c r="F58" s="52" t="n">
        <v>-16366.31</v>
      </c>
      <c r="G58" s="52" t="n">
        <v>25600</v>
      </c>
      <c r="H58" s="53" t="n">
        <v>1.331</v>
      </c>
      <c r="I58" s="52" t="n">
        <v>303.33</v>
      </c>
      <c r="J58" s="52" t="n">
        <v>12800</v>
      </c>
      <c r="K58" s="51" t="s">
        <v>590</v>
      </c>
      <c r="L58" s="54" t="n">
        <f aca="false">IF(G58=0,"",F58/G58)</f>
        <v>-0.639308984375</v>
      </c>
      <c r="M58" s="54" t="n">
        <f aca="false">IF(OR(L57="",L57&lt;=0,L58=""),"",L58/L57)</f>
        <v>-0.205676834748053</v>
      </c>
      <c r="N58" s="64" t="n">
        <f aca="false">IF(I58=0,"",F58/I58)</f>
        <v>-53.9554610490225</v>
      </c>
      <c r="O58" s="64" t="n">
        <f aca="false">IF(I58=0,"",G58/I58)</f>
        <v>84.3965318300201</v>
      </c>
      <c r="P58" s="52" t="s">
        <v>699</v>
      </c>
      <c r="Q58" s="52" t="n">
        <v>267471.8</v>
      </c>
    </row>
    <row r="59" customFormat="false" ht="15" hidden="false" customHeight="false" outlineLevel="0" collapsed="false">
      <c r="A59" s="8" t="s">
        <v>23</v>
      </c>
      <c r="B59" s="8" t="s">
        <v>59</v>
      </c>
      <c r="C59" s="8" t="s">
        <v>700</v>
      </c>
      <c r="D59" s="8" t="n">
        <v>1</v>
      </c>
      <c r="E59" s="8" t="s">
        <v>515</v>
      </c>
      <c r="F59" s="56" t="n">
        <v>43885.15</v>
      </c>
      <c r="G59" s="56" t="n">
        <v>9959.55</v>
      </c>
      <c r="H59" s="43" t="n">
        <v>0.5124</v>
      </c>
      <c r="I59" s="56" t="n">
        <v>292.35</v>
      </c>
      <c r="J59" s="56" t="n">
        <v>500</v>
      </c>
      <c r="K59" s="8" t="s">
        <v>581</v>
      </c>
      <c r="L59" s="19" t="n">
        <f aca="false">IF(G59=0,"",F59/G59)</f>
        <v>4.40633863979798</v>
      </c>
      <c r="M59" s="19" t="n">
        <f aca="false">IF(OR(L57="",L57&lt;=0,L59=""),"",L59/L57)</f>
        <v>1.41759588307317</v>
      </c>
      <c r="N59" s="65" t="n">
        <f aca="false">IF(I59=0,"",F59/I59)</f>
        <v>150.111681204036</v>
      </c>
      <c r="O59" s="65" t="n">
        <f aca="false">IF(I59=0,"",G59/I59)</f>
        <v>34.0672139558748</v>
      </c>
      <c r="P59" s="56" t="n">
        <v>18183.03</v>
      </c>
      <c r="Q59" s="56" t="n">
        <v>24546.1</v>
      </c>
    </row>
    <row r="60" customFormat="false" ht="15" hidden="false" customHeight="false" outlineLevel="0" collapsed="false">
      <c r="A60" s="8" t="s">
        <v>23</v>
      </c>
      <c r="B60" s="8" t="s">
        <v>59</v>
      </c>
      <c r="C60" s="8" t="s">
        <v>700</v>
      </c>
      <c r="D60" s="8" t="n">
        <v>2</v>
      </c>
      <c r="E60" s="8" t="s">
        <v>513</v>
      </c>
      <c r="F60" s="56" t="n">
        <v>26511.99</v>
      </c>
      <c r="G60" s="56" t="n">
        <v>5766.5</v>
      </c>
      <c r="H60" s="43" t="n">
        <v>0.2507</v>
      </c>
      <c r="I60" s="56" t="n">
        <v>88.53</v>
      </c>
      <c r="J60" s="56" t="n">
        <v>2883.25</v>
      </c>
      <c r="K60" s="8" t="s">
        <v>581</v>
      </c>
      <c r="L60" s="19" t="n">
        <f aca="false">IF(G60=0,"",F60/G60)</f>
        <v>4.59758779155467</v>
      </c>
      <c r="M60" s="19" t="n">
        <f aca="false">IF(OR(L57="",L57&lt;=0,L60=""),"",L60/L57)</f>
        <v>1.4791240660691</v>
      </c>
      <c r="N60" s="65" t="n">
        <f aca="false">IF(I60=0,"",F60/I60)</f>
        <v>299.468993561505</v>
      </c>
      <c r="O60" s="65" t="n">
        <f aca="false">IF(I60=0,"",G60/I60)</f>
        <v>65.1361120524116</v>
      </c>
      <c r="P60" s="56" t="n">
        <v>11934.05</v>
      </c>
      <c r="Q60" s="56" t="n">
        <v>14522.53</v>
      </c>
    </row>
    <row r="61" customFormat="false" ht="15" hidden="false" customHeight="false" outlineLevel="0" collapsed="false">
      <c r="A61" s="8" t="s">
        <v>23</v>
      </c>
      <c r="B61" s="8" t="s">
        <v>59</v>
      </c>
      <c r="C61" s="8" t="s">
        <v>700</v>
      </c>
      <c r="D61" s="8" t="n">
        <v>2</v>
      </c>
      <c r="E61" s="8" t="s">
        <v>515</v>
      </c>
      <c r="F61" s="56" t="n">
        <v>24820.59</v>
      </c>
      <c r="G61" s="56" t="n">
        <v>6900.19</v>
      </c>
      <c r="H61" s="43" t="n">
        <v>0.545</v>
      </c>
      <c r="I61" s="56" t="n">
        <v>98.46</v>
      </c>
      <c r="J61" s="56" t="n">
        <v>500</v>
      </c>
      <c r="K61" s="8" t="s">
        <v>581</v>
      </c>
      <c r="L61" s="19" t="n">
        <f aca="false">IF(G61=0,"",F61/G61)</f>
        <v>3.59708790627505</v>
      </c>
      <c r="M61" s="19" t="n">
        <f aca="false">IF(OR(L57="",L57&lt;=0,L61=""),"",L61/L57)</f>
        <v>1.15724582784712</v>
      </c>
      <c r="N61" s="65" t="n">
        <f aca="false">IF(I61=0,"",F61/I61)</f>
        <v>252.088056063376</v>
      </c>
      <c r="O61" s="65" t="n">
        <f aca="false">IF(I61=0,"",G61/I61)</f>
        <v>70.0811497054641</v>
      </c>
      <c r="P61" s="56" t="n">
        <v>10926.86</v>
      </c>
      <c r="Q61" s="56" t="n">
        <v>13838.33</v>
      </c>
    </row>
    <row r="62" customFormat="false" ht="15" hidden="false" customHeight="false" outlineLevel="0" collapsed="false">
      <c r="A62" s="8" t="s">
        <v>23</v>
      </c>
      <c r="B62" s="8" t="s">
        <v>59</v>
      </c>
      <c r="C62" s="8" t="s">
        <v>700</v>
      </c>
      <c r="D62" s="8" t="n">
        <v>3</v>
      </c>
      <c r="E62" s="8" t="s">
        <v>513</v>
      </c>
      <c r="F62" s="56" t="n">
        <v>17270.82</v>
      </c>
      <c r="G62" s="56" t="n">
        <v>2922.89</v>
      </c>
      <c r="H62" s="43" t="n">
        <v>0.2395</v>
      </c>
      <c r="I62" s="56" t="n">
        <v>78.19</v>
      </c>
      <c r="J62" s="56" t="n">
        <v>974.3</v>
      </c>
      <c r="K62" s="8" t="s">
        <v>581</v>
      </c>
      <c r="L62" s="19" t="n">
        <f aca="false">IF(G62=0,"",F62/G62)</f>
        <v>5.90881627430386</v>
      </c>
      <c r="M62" s="19" t="n">
        <f aca="false">IF(OR(L57="",L57&lt;=0,L62=""),"",L62/L57)</f>
        <v>1.90096910587719</v>
      </c>
      <c r="N62" s="65" t="n">
        <f aca="false">IF(I62=0,"",F62/I62)</f>
        <v>220.882721575649</v>
      </c>
      <c r="O62" s="65" t="n">
        <f aca="false">IF(I62=0,"",G62/I62)</f>
        <v>37.3818902672976</v>
      </c>
      <c r="P62" s="56" t="n">
        <v>7529.66</v>
      </c>
      <c r="Q62" s="56" t="n">
        <v>9607.37</v>
      </c>
    </row>
    <row r="63" customFormat="false" ht="15" hidden="false" customHeight="false" outlineLevel="0" collapsed="false">
      <c r="A63" s="8" t="s">
        <v>23</v>
      </c>
      <c r="B63" s="8" t="s">
        <v>59</v>
      </c>
      <c r="C63" s="8" t="s">
        <v>700</v>
      </c>
      <c r="D63" s="8" t="n">
        <v>3</v>
      </c>
      <c r="E63" s="8" t="s">
        <v>515</v>
      </c>
      <c r="F63" s="56" t="n">
        <v>16914.3</v>
      </c>
      <c r="G63" s="56" t="n">
        <v>3178.25</v>
      </c>
      <c r="H63" s="43" t="n">
        <v>0.2698</v>
      </c>
      <c r="I63" s="56" t="n">
        <v>79.52</v>
      </c>
      <c r="J63" s="56" t="n">
        <v>500</v>
      </c>
      <c r="K63" s="8" t="s">
        <v>581</v>
      </c>
      <c r="L63" s="19" t="n">
        <f aca="false">IF(G63=0,"",F63/G63)</f>
        <v>5.32189097773932</v>
      </c>
      <c r="M63" s="19" t="n">
        <f aca="false">IF(OR(L57="",L57&lt;=0,L63=""),"",L63/L57)</f>
        <v>1.71214501583414</v>
      </c>
      <c r="N63" s="65" t="n">
        <f aca="false">IF(I63=0,"",F63/I63)</f>
        <v>212.704979879276</v>
      </c>
      <c r="O63" s="65" t="n">
        <f aca="false">IF(I63=0,"",G63/I63)</f>
        <v>39.9679325955734</v>
      </c>
      <c r="P63" s="56" t="n">
        <v>7394.76</v>
      </c>
      <c r="Q63" s="56" t="n">
        <v>9385.76</v>
      </c>
    </row>
    <row r="64" customFormat="false" ht="15" hidden="false" customHeight="false" outlineLevel="0" collapsed="false">
      <c r="A64" s="8" t="s">
        <v>23</v>
      </c>
      <c r="B64" s="8" t="s">
        <v>59</v>
      </c>
      <c r="C64" s="8" t="s">
        <v>700</v>
      </c>
      <c r="D64" s="8" t="n">
        <v>4</v>
      </c>
      <c r="E64" s="8" t="s">
        <v>513</v>
      </c>
      <c r="F64" s="56" t="n">
        <v>13407.83</v>
      </c>
      <c r="G64" s="56" t="n">
        <v>2614.68</v>
      </c>
      <c r="H64" s="43" t="n">
        <v>0.2319</v>
      </c>
      <c r="I64" s="56" t="n">
        <v>72.19</v>
      </c>
      <c r="J64" s="56" t="n">
        <v>653.67</v>
      </c>
      <c r="K64" s="8" t="s">
        <v>581</v>
      </c>
      <c r="L64" s="19" t="n">
        <f aca="false">IF(G64=0,"",F64/G64)</f>
        <v>5.12790475316291</v>
      </c>
      <c r="M64" s="19" t="n">
        <f aca="false">IF(OR(L57="",L57&lt;=0,L64=""),"",L64/L57)</f>
        <v>1.6497362688421</v>
      </c>
      <c r="N64" s="65" t="n">
        <f aca="false">IF(I64=0,"",F64/I64)</f>
        <v>185.729740961352</v>
      </c>
      <c r="O64" s="65" t="n">
        <f aca="false">IF(I64=0,"",G64/I64)</f>
        <v>36.2194209724339</v>
      </c>
      <c r="P64" s="56" t="n">
        <v>5631.99</v>
      </c>
      <c r="Q64" s="56" t="n">
        <v>7650.82</v>
      </c>
    </row>
    <row r="65" customFormat="false" ht="15" hidden="false" customHeight="false" outlineLevel="0" collapsed="false">
      <c r="A65" s="8" t="s">
        <v>23</v>
      </c>
      <c r="B65" s="8" t="s">
        <v>59</v>
      </c>
      <c r="C65" s="8" t="s">
        <v>700</v>
      </c>
      <c r="D65" s="8" t="n">
        <v>4</v>
      </c>
      <c r="E65" s="8" t="s">
        <v>515</v>
      </c>
      <c r="F65" s="56" t="n">
        <v>13304.69</v>
      </c>
      <c r="G65" s="56" t="n">
        <v>2919.95</v>
      </c>
      <c r="H65" s="43" t="n">
        <v>0.259</v>
      </c>
      <c r="I65" s="56" t="n">
        <v>72.56</v>
      </c>
      <c r="J65" s="56" t="n">
        <v>500</v>
      </c>
      <c r="K65" s="8" t="s">
        <v>581</v>
      </c>
      <c r="L65" s="19" t="n">
        <f aca="false">IF(G65=0,"",F65/G65)</f>
        <v>4.55647870682717</v>
      </c>
      <c r="M65" s="19" t="n">
        <f aca="false">IF(OR(L57="",L57&lt;=0,L65=""),"",L65/L57)</f>
        <v>1.46589855753912</v>
      </c>
      <c r="N65" s="65" t="n">
        <f aca="false">IF(I65=0,"",F65/I65)</f>
        <v>183.361218302095</v>
      </c>
      <c r="O65" s="65" t="n">
        <f aca="false">IF(I65=0,"",G65/I65)</f>
        <v>40.2418687982359</v>
      </c>
      <c r="P65" s="56" t="n">
        <v>5593</v>
      </c>
      <c r="Q65" s="56" t="n">
        <v>7586.67</v>
      </c>
    </row>
    <row r="66" customFormat="false" ht="15" hidden="false" customHeight="false" outlineLevel="0" collapsed="false">
      <c r="A66" s="8" t="s">
        <v>23</v>
      </c>
      <c r="B66" s="8" t="s">
        <v>59</v>
      </c>
      <c r="C66" s="8" t="s">
        <v>700</v>
      </c>
      <c r="D66" s="8" t="n">
        <v>5</v>
      </c>
      <c r="E66" s="8" t="s">
        <v>513</v>
      </c>
      <c r="F66" s="56" t="n">
        <v>11367.51</v>
      </c>
      <c r="G66" s="56" t="n">
        <v>2411.45</v>
      </c>
      <c r="H66" s="43" t="n">
        <v>0.1911</v>
      </c>
      <c r="I66" s="56" t="n">
        <v>67.29</v>
      </c>
      <c r="J66" s="56" t="n">
        <v>482.29</v>
      </c>
      <c r="K66" s="8" t="s">
        <v>581</v>
      </c>
      <c r="L66" s="19" t="n">
        <f aca="false">IF(G66=0,"",F66/G66)</f>
        <v>4.71397292085675</v>
      </c>
      <c r="M66" s="19" t="n">
        <f aca="false">IF(OR(L57="",L57&lt;=0,L66=""),"",L66/L57)</f>
        <v>1.51656718917802</v>
      </c>
      <c r="N66" s="65" t="n">
        <f aca="false">IF(I66=0,"",F66/I66)</f>
        <v>168.933125278645</v>
      </c>
      <c r="O66" s="65" t="n">
        <f aca="false">IF(I66=0,"",G66/I66)</f>
        <v>35.8366770694011</v>
      </c>
      <c r="P66" s="56" t="n">
        <v>4666.42</v>
      </c>
      <c r="Q66" s="56" t="n">
        <v>6601.96</v>
      </c>
    </row>
    <row r="67" customFormat="false" ht="15" hidden="false" customHeight="false" outlineLevel="0" collapsed="false">
      <c r="A67" s="8" t="s">
        <v>23</v>
      </c>
      <c r="B67" s="8" t="s">
        <v>59</v>
      </c>
      <c r="C67" s="8" t="s">
        <v>700</v>
      </c>
      <c r="D67" s="8" t="n">
        <v>5</v>
      </c>
      <c r="E67" s="8" t="s">
        <v>515</v>
      </c>
      <c r="F67" s="56" t="n">
        <v>11367.51</v>
      </c>
      <c r="G67" s="56" t="n">
        <v>2411.45</v>
      </c>
      <c r="H67" s="43" t="n">
        <v>0.1911</v>
      </c>
      <c r="I67" s="56" t="n">
        <v>67.29</v>
      </c>
      <c r="J67" s="56" t="n">
        <v>482.29</v>
      </c>
      <c r="K67" s="8" t="s">
        <v>581</v>
      </c>
      <c r="L67" s="19" t="n">
        <f aca="false">IF(G67=0,"",F67/G67)</f>
        <v>4.71397292085675</v>
      </c>
      <c r="M67" s="19" t="n">
        <f aca="false">IF(OR(L57="",L57&lt;=0,L67=""),"",L67/L57)</f>
        <v>1.51656718917802</v>
      </c>
      <c r="N67" s="65" t="n">
        <f aca="false">IF(I67=0,"",F67/I67)</f>
        <v>168.933125278645</v>
      </c>
      <c r="O67" s="65" t="n">
        <f aca="false">IF(I67=0,"",G67/I67)</f>
        <v>35.8366770694011</v>
      </c>
      <c r="P67" s="56" t="n">
        <v>4666.42</v>
      </c>
      <c r="Q67" s="56" t="n">
        <v>6601.96</v>
      </c>
    </row>
    <row r="68" customFormat="false" ht="15" hidden="false" customHeight="false" outlineLevel="0" collapsed="false">
      <c r="A68" s="51" t="s">
        <v>23</v>
      </c>
      <c r="B68" s="51" t="s">
        <v>59</v>
      </c>
      <c r="C68" s="51" t="s">
        <v>528</v>
      </c>
      <c r="D68" s="51" t="n">
        <v>1</v>
      </c>
      <c r="E68" s="51" t="s">
        <v>513</v>
      </c>
      <c r="F68" s="52" t="n">
        <v>-57211.96</v>
      </c>
      <c r="G68" s="52" t="n">
        <v>122352.94</v>
      </c>
      <c r="H68" s="53" t="n">
        <v>1.6283</v>
      </c>
      <c r="I68" s="52" t="n">
        <v>1754.04</v>
      </c>
      <c r="J68" s="52" t="n">
        <v>61176.47</v>
      </c>
      <c r="K68" s="51" t="s">
        <v>703</v>
      </c>
      <c r="L68" s="54" t="n">
        <f aca="false">IF(G68=0,"",F68/G68)</f>
        <v>-0.467597754496132</v>
      </c>
      <c r="M68" s="54" t="n">
        <f aca="false">IF(OR(L57="",L57&lt;=0,L68=""),"",L68/L57)</f>
        <v>-0.150434341500899</v>
      </c>
      <c r="N68" s="64" t="n">
        <f aca="false">IF(I68=0,"",F68/I68)</f>
        <v>-32.6172493215662</v>
      </c>
      <c r="O68" s="64" t="n">
        <f aca="false">IF(I68=0,"",G68/I68)</f>
        <v>69.7549314724864</v>
      </c>
      <c r="P68" s="52" t="s">
        <v>699</v>
      </c>
      <c r="Q68" s="52" t="s">
        <v>699</v>
      </c>
    </row>
    <row r="69" customFormat="false" ht="15" hidden="false" customHeight="false" outlineLevel="0" collapsed="false">
      <c r="A69" s="8" t="s">
        <v>23</v>
      </c>
      <c r="B69" s="8" t="s">
        <v>59</v>
      </c>
      <c r="C69" s="8" t="s">
        <v>528</v>
      </c>
      <c r="D69" s="8" t="n">
        <v>1</v>
      </c>
      <c r="E69" s="8" t="s">
        <v>515</v>
      </c>
      <c r="F69" s="56" t="n">
        <v>49345.47</v>
      </c>
      <c r="G69" s="56" t="n">
        <v>14209.31</v>
      </c>
      <c r="H69" s="43" t="n">
        <v>0.9025</v>
      </c>
      <c r="I69" s="56" t="n">
        <v>483.59</v>
      </c>
      <c r="J69" s="56" t="n">
        <v>500</v>
      </c>
      <c r="K69" s="8" t="s">
        <v>581</v>
      </c>
      <c r="L69" s="19" t="n">
        <f aca="false">IF(G69=0,"",F69/G69)</f>
        <v>3.47275624221021</v>
      </c>
      <c r="M69" s="19" t="n">
        <f aca="false">IF(OR(L57="",L57&lt;=0,L69=""),"",L69/L57)</f>
        <v>1.11724616610483</v>
      </c>
      <c r="N69" s="65" t="n">
        <f aca="false">IF(I69=0,"",F69/I69)</f>
        <v>102.039889162307</v>
      </c>
      <c r="O69" s="65" t="n">
        <f aca="false">IF(I69=0,"",G69/I69)</f>
        <v>29.3829690440249</v>
      </c>
      <c r="P69" s="56" t="n">
        <v>16093.03</v>
      </c>
      <c r="Q69" s="56" t="n">
        <v>34567.47</v>
      </c>
    </row>
    <row r="70" customFormat="false" ht="15" hidden="false" customHeight="false" outlineLevel="0" collapsed="false">
      <c r="A70" s="51" t="s">
        <v>23</v>
      </c>
      <c r="B70" s="51" t="s">
        <v>59</v>
      </c>
      <c r="C70" s="51" t="s">
        <v>528</v>
      </c>
      <c r="D70" s="51" t="n">
        <v>2</v>
      </c>
      <c r="E70" s="51" t="s">
        <v>513</v>
      </c>
      <c r="F70" s="52" t="n">
        <v>-10444.81</v>
      </c>
      <c r="G70" s="52" t="n">
        <v>13502.49</v>
      </c>
      <c r="H70" s="53" t="n">
        <v>1.0341</v>
      </c>
      <c r="I70" s="52" t="n">
        <v>213.43</v>
      </c>
      <c r="J70" s="52" t="n">
        <v>4500.83</v>
      </c>
      <c r="K70" s="51" t="s">
        <v>590</v>
      </c>
      <c r="L70" s="54" t="n">
        <f aca="false">IF(G70=0,"",F70/G70)</f>
        <v>-0.773546953191597</v>
      </c>
      <c r="M70" s="54" t="n">
        <f aca="false">IF(OR(L57="",L57&lt;=0,L70=""),"",L70/L57)</f>
        <v>-0.248863527261372</v>
      </c>
      <c r="N70" s="64" t="n">
        <f aca="false">IF(I70=0,"",F70/I70)</f>
        <v>-48.9378719017945</v>
      </c>
      <c r="O70" s="64" t="n">
        <f aca="false">IF(I70=0,"",G70/I70)</f>
        <v>63.2642552593356</v>
      </c>
      <c r="P70" s="52" t="s">
        <v>699</v>
      </c>
      <c r="Q70" s="52" t="n">
        <v>121917.67</v>
      </c>
    </row>
    <row r="71" customFormat="false" ht="15" hidden="false" customHeight="false" outlineLevel="0" collapsed="false">
      <c r="A71" s="8" t="s">
        <v>23</v>
      </c>
      <c r="B71" s="8" t="s">
        <v>59</v>
      </c>
      <c r="C71" s="8" t="s">
        <v>528</v>
      </c>
      <c r="D71" s="8" t="n">
        <v>2</v>
      </c>
      <c r="E71" s="8" t="s">
        <v>515</v>
      </c>
      <c r="F71" s="56" t="n">
        <v>51668.5</v>
      </c>
      <c r="G71" s="56" t="n">
        <v>14117.68</v>
      </c>
      <c r="H71" s="43" t="n">
        <v>0.705</v>
      </c>
      <c r="I71" s="56" t="n">
        <v>456.55</v>
      </c>
      <c r="J71" s="56" t="n">
        <v>500</v>
      </c>
      <c r="K71" s="8" t="s">
        <v>581</v>
      </c>
      <c r="L71" s="19" t="n">
        <f aca="false">IF(G71=0,"",F71/G71)</f>
        <v>3.6598435436984</v>
      </c>
      <c r="M71" s="19" t="n">
        <f aca="false">IF(OR(L57="",L57&lt;=0,L71=""),"",L71/L57)</f>
        <v>1.17743540938484</v>
      </c>
      <c r="N71" s="65" t="n">
        <f aca="false">IF(I71=0,"",F71/I71)</f>
        <v>113.17161318585</v>
      </c>
      <c r="O71" s="65" t="n">
        <f aca="false">IF(I71=0,"",G71/I71)</f>
        <v>30.9225276530501</v>
      </c>
      <c r="P71" s="56" t="n">
        <v>18507.49</v>
      </c>
      <c r="Q71" s="56" t="n">
        <v>28342.43</v>
      </c>
    </row>
    <row r="72" customFormat="false" ht="15" hidden="false" customHeight="false" outlineLevel="0" collapsed="false">
      <c r="A72" s="51" t="s">
        <v>23</v>
      </c>
      <c r="B72" s="51" t="s">
        <v>59</v>
      </c>
      <c r="C72" s="51" t="s">
        <v>528</v>
      </c>
      <c r="D72" s="51" t="n">
        <v>3</v>
      </c>
      <c r="E72" s="51" t="s">
        <v>513</v>
      </c>
      <c r="F72" s="52" t="n">
        <v>-11768.27</v>
      </c>
      <c r="G72" s="52" t="n">
        <v>16423.24</v>
      </c>
      <c r="H72" s="53" t="n">
        <v>1.1207</v>
      </c>
      <c r="I72" s="52" t="n">
        <v>247.77</v>
      </c>
      <c r="J72" s="52" t="n">
        <v>4105.81</v>
      </c>
      <c r="K72" s="51" t="s">
        <v>594</v>
      </c>
      <c r="L72" s="54" t="n">
        <f aca="false">IF(G72=0,"",F72/G72)</f>
        <v>-0.716562018213215</v>
      </c>
      <c r="M72" s="54" t="n">
        <f aca="false">IF(OR(L57="",L57&lt;=0,L72=""),"",L72/L57)</f>
        <v>-0.230530481205191</v>
      </c>
      <c r="N72" s="64" t="n">
        <f aca="false">IF(I72=0,"",F72/I72)</f>
        <v>-47.4967510190903</v>
      </c>
      <c r="O72" s="64" t="n">
        <f aca="false">IF(I72=0,"",G72/I72)</f>
        <v>66.2842151995803</v>
      </c>
      <c r="P72" s="52" t="s">
        <v>699</v>
      </c>
      <c r="Q72" s="52" t="n">
        <v>73006.69</v>
      </c>
    </row>
    <row r="73" customFormat="false" ht="15" hidden="false" customHeight="false" outlineLevel="0" collapsed="false">
      <c r="A73" s="8" t="s">
        <v>23</v>
      </c>
      <c r="B73" s="8" t="s">
        <v>59</v>
      </c>
      <c r="C73" s="8" t="s">
        <v>528</v>
      </c>
      <c r="D73" s="8" t="n">
        <v>3</v>
      </c>
      <c r="E73" s="8" t="s">
        <v>515</v>
      </c>
      <c r="F73" s="56" t="n">
        <v>50663.19</v>
      </c>
      <c r="G73" s="56" t="n">
        <v>14012.75</v>
      </c>
      <c r="H73" s="43" t="n">
        <v>0.671</v>
      </c>
      <c r="I73" s="56" t="n">
        <v>426</v>
      </c>
      <c r="J73" s="56" t="n">
        <v>500</v>
      </c>
      <c r="K73" s="8" t="s">
        <v>581</v>
      </c>
      <c r="L73" s="19" t="n">
        <f aca="false">IF(G73=0,"",F73/G73)</f>
        <v>3.61550659221067</v>
      </c>
      <c r="M73" s="19" t="n">
        <f aca="false">IF(OR(L57="",L57&lt;=0,L73=""),"",L73/L57)</f>
        <v>1.16317143990021</v>
      </c>
      <c r="N73" s="65" t="n">
        <f aca="false">IF(I73=0,"",F73/I73)</f>
        <v>118.927676056338</v>
      </c>
      <c r="O73" s="65" t="n">
        <f aca="false">IF(I73=0,"",G73/I73)</f>
        <v>32.893779342723</v>
      </c>
      <c r="P73" s="56" t="n">
        <v>18030.1</v>
      </c>
      <c r="Q73" s="56" t="n">
        <v>23179.05</v>
      </c>
    </row>
    <row r="74" customFormat="false" ht="15" hidden="false" customHeight="false" outlineLevel="0" collapsed="false">
      <c r="A74" s="8" t="s">
        <v>23</v>
      </c>
      <c r="B74" s="8" t="s">
        <v>59</v>
      </c>
      <c r="C74" s="8" t="s">
        <v>528</v>
      </c>
      <c r="D74" s="8" t="n">
        <v>4</v>
      </c>
      <c r="E74" s="8" t="s">
        <v>513</v>
      </c>
      <c r="F74" s="56" t="n">
        <v>110320.05</v>
      </c>
      <c r="G74" s="56" t="n">
        <v>24102.38</v>
      </c>
      <c r="H74" s="43" t="n">
        <v>0.7508</v>
      </c>
      <c r="I74" s="56" t="n">
        <v>544.67</v>
      </c>
      <c r="J74" s="56" t="n">
        <v>6025.59</v>
      </c>
      <c r="K74" s="8" t="s">
        <v>581</v>
      </c>
      <c r="L74" s="19" t="n">
        <f aca="false">IF(G74=0,"",F74/G74)</f>
        <v>4.57714341903165</v>
      </c>
      <c r="M74" s="19" t="n">
        <f aca="false">IF(OR(L57="",L57&lt;=0,L74=""),"",L74/L57)</f>
        <v>1.47254675536063</v>
      </c>
      <c r="N74" s="65" t="n">
        <f aca="false">IF(I74=0,"",F74/I74)</f>
        <v>202.544751868104</v>
      </c>
      <c r="O74" s="65" t="n">
        <f aca="false">IF(I74=0,"",G74/I74)</f>
        <v>44.2513448510107</v>
      </c>
      <c r="P74" s="56" t="n">
        <v>35998.65</v>
      </c>
      <c r="Q74" s="56" t="n">
        <v>55773.95</v>
      </c>
    </row>
    <row r="75" customFormat="false" ht="15" hidden="false" customHeight="false" outlineLevel="0" collapsed="false">
      <c r="A75" s="8" t="s">
        <v>23</v>
      </c>
      <c r="B75" s="8" t="s">
        <v>59</v>
      </c>
      <c r="C75" s="8" t="s">
        <v>528</v>
      </c>
      <c r="D75" s="8" t="n">
        <v>4</v>
      </c>
      <c r="E75" s="8" t="s">
        <v>515</v>
      </c>
      <c r="F75" s="56" t="n">
        <v>49722.18</v>
      </c>
      <c r="G75" s="56" t="n">
        <v>14056.36</v>
      </c>
      <c r="H75" s="43" t="n">
        <v>0.5407</v>
      </c>
      <c r="I75" s="56" t="n">
        <v>406.14</v>
      </c>
      <c r="J75" s="56" t="n">
        <v>500</v>
      </c>
      <c r="K75" s="8" t="s">
        <v>581</v>
      </c>
      <c r="L75" s="19" t="n">
        <f aca="false">IF(G75=0,"",F75/G75)</f>
        <v>3.53734394964272</v>
      </c>
      <c r="M75" s="19" t="n">
        <f aca="false">IF(OR(L57="",L57&lt;=0,L75=""),"",L75/L57)</f>
        <v>1.13802515647259</v>
      </c>
      <c r="N75" s="65" t="n">
        <f aca="false">IF(I75=0,"",F75/I75)</f>
        <v>122.426207711627</v>
      </c>
      <c r="O75" s="65" t="n">
        <f aca="false">IF(I75=0,"",G75/I75)</f>
        <v>34.6096419953711</v>
      </c>
      <c r="P75" s="56" t="n">
        <v>17933.71</v>
      </c>
      <c r="Q75" s="56" t="n">
        <v>21571.65</v>
      </c>
    </row>
    <row r="76" customFormat="false" ht="15" hidden="false" customHeight="false" outlineLevel="0" collapsed="false">
      <c r="A76" s="8" t="s">
        <v>23</v>
      </c>
      <c r="B76" s="8" t="s">
        <v>59</v>
      </c>
      <c r="C76" s="8" t="s">
        <v>528</v>
      </c>
      <c r="D76" s="8" t="n">
        <v>5</v>
      </c>
      <c r="E76" s="8" t="s">
        <v>513</v>
      </c>
      <c r="F76" s="56" t="n">
        <v>89450.88</v>
      </c>
      <c r="G76" s="56" t="n">
        <v>23234</v>
      </c>
      <c r="H76" s="43" t="n">
        <v>0.4444</v>
      </c>
      <c r="I76" s="56" t="n">
        <v>482.92</v>
      </c>
      <c r="J76" s="56" t="n">
        <v>4646.8</v>
      </c>
      <c r="K76" s="8" t="s">
        <v>581</v>
      </c>
      <c r="L76" s="19" t="n">
        <f aca="false">IF(G76=0,"",F76/G76)</f>
        <v>3.84999913919256</v>
      </c>
      <c r="M76" s="19" t="n">
        <f aca="false">IF(OR(L57="",L57&lt;=0,L76=""),"",L76/L57)</f>
        <v>1.23861177628527</v>
      </c>
      <c r="N76" s="65" t="n">
        <f aca="false">IF(I76=0,"",F76/I76)</f>
        <v>185.229189099644</v>
      </c>
      <c r="O76" s="65" t="n">
        <f aca="false">IF(I76=0,"",G76/I76)</f>
        <v>48.1114884452911</v>
      </c>
      <c r="P76" s="56" t="n">
        <v>26251.45</v>
      </c>
      <c r="Q76" s="56" t="n">
        <v>44603.61</v>
      </c>
    </row>
    <row r="77" customFormat="false" ht="15" hidden="false" customHeight="false" outlineLevel="0" collapsed="false">
      <c r="A77" s="8" t="s">
        <v>23</v>
      </c>
      <c r="B77" s="8" t="s">
        <v>59</v>
      </c>
      <c r="C77" s="8" t="s">
        <v>528</v>
      </c>
      <c r="D77" s="8" t="n">
        <v>5</v>
      </c>
      <c r="E77" s="8" t="s">
        <v>515</v>
      </c>
      <c r="F77" s="56" t="n">
        <v>47033.41</v>
      </c>
      <c r="G77" s="56" t="n">
        <v>13918.9</v>
      </c>
      <c r="H77" s="43" t="n">
        <v>0.4371</v>
      </c>
      <c r="I77" s="56" t="n">
        <v>385.77</v>
      </c>
      <c r="J77" s="56" t="n">
        <v>500</v>
      </c>
      <c r="K77" s="8" t="s">
        <v>581</v>
      </c>
      <c r="L77" s="19" t="n">
        <f aca="false">IF(G77=0,"",F77/G77)</f>
        <v>3.37910395218013</v>
      </c>
      <c r="M77" s="19" t="n">
        <f aca="false">IF(OR(L57="",L57&lt;=0,L77=""),"",L77/L57)</f>
        <v>1.08711659331441</v>
      </c>
      <c r="N77" s="65" t="n">
        <f aca="false">IF(I77=0,"",F77/I77)</f>
        <v>121.920859579542</v>
      </c>
      <c r="O77" s="65" t="n">
        <f aca="false">IF(I77=0,"",G77/I77)</f>
        <v>36.0808253622625</v>
      </c>
      <c r="P77" s="56" t="n">
        <v>15246.81</v>
      </c>
      <c r="Q77" s="56" t="n">
        <v>25093.14</v>
      </c>
    </row>
    <row r="79" customFormat="false" ht="15" hidden="false" customHeight="false" outlineLevel="0" collapsed="false">
      <c r="A79" s="5" t="s">
        <v>62</v>
      </c>
      <c r="B79" s="5" t="s">
        <v>148</v>
      </c>
      <c r="C79" s="5" t="s">
        <v>698</v>
      </c>
      <c r="D79" s="5" t="s">
        <v>549</v>
      </c>
      <c r="E79" s="5" t="s">
        <v>549</v>
      </c>
      <c r="F79" s="62" t="n">
        <v>-10000.13</v>
      </c>
      <c r="G79" s="62" t="n">
        <v>10120.74</v>
      </c>
      <c r="H79" s="42" t="n">
        <v>1</v>
      </c>
      <c r="I79" s="62" t="n">
        <v>50</v>
      </c>
      <c r="J79" s="62" t="n">
        <v>50</v>
      </c>
      <c r="K79" s="5" t="s">
        <v>596</v>
      </c>
      <c r="L79" s="21" t="n">
        <f aca="false">IF(G79=0,"",F79/G79)</f>
        <v>-0.988082887219709</v>
      </c>
      <c r="M79" s="21" t="n">
        <v>1</v>
      </c>
      <c r="N79" s="63" t="n">
        <f aca="false">IF(I79=0,"",F79/I79)</f>
        <v>-200.0026</v>
      </c>
      <c r="O79" s="63" t="n">
        <f aca="false">IF(I79=0,"",G79/I79)</f>
        <v>202.4148</v>
      </c>
      <c r="P79" s="62" t="s">
        <v>699</v>
      </c>
      <c r="Q79" s="62" t="n">
        <v>-3308.89</v>
      </c>
    </row>
    <row r="80" customFormat="false" ht="15" hidden="false" customHeight="false" outlineLevel="0" collapsed="false">
      <c r="A80" s="51" t="s">
        <v>62</v>
      </c>
      <c r="B80" s="51" t="s">
        <v>148</v>
      </c>
      <c r="C80" s="51" t="s">
        <v>700</v>
      </c>
      <c r="D80" s="51" t="n">
        <v>1</v>
      </c>
      <c r="E80" s="51" t="s">
        <v>513</v>
      </c>
      <c r="F80" s="52" t="n">
        <v>-11431.31</v>
      </c>
      <c r="G80" s="52" t="n">
        <v>12800</v>
      </c>
      <c r="H80" s="53" t="n">
        <v>1.1259</v>
      </c>
      <c r="I80" s="52" t="n">
        <v>743.18</v>
      </c>
      <c r="J80" s="52" t="n">
        <v>6400</v>
      </c>
      <c r="K80" s="51" t="s">
        <v>597</v>
      </c>
      <c r="L80" s="54" t="n">
        <f aca="false">IF(G80=0,"",F80/G80)</f>
        <v>-0.89307109375</v>
      </c>
      <c r="M80" s="54" t="str">
        <f aca="false">IF(OR(L79="",L79&lt;=0,L80=""),"",L80/L79)</f>
        <v/>
      </c>
      <c r="N80" s="64" t="n">
        <f aca="false">IF(I80=0,"",F80/I80)</f>
        <v>-15.3816168357598</v>
      </c>
      <c r="O80" s="64" t="n">
        <f aca="false">IF(I80=0,"",G80/I80)</f>
        <v>17.223283726688</v>
      </c>
      <c r="P80" s="52" t="s">
        <v>699</v>
      </c>
      <c r="Q80" s="52" t="s">
        <v>699</v>
      </c>
    </row>
    <row r="81" customFormat="false" ht="15" hidden="false" customHeight="false" outlineLevel="0" collapsed="false">
      <c r="A81" s="51" t="s">
        <v>62</v>
      </c>
      <c r="B81" s="51" t="s">
        <v>148</v>
      </c>
      <c r="C81" s="51" t="s">
        <v>700</v>
      </c>
      <c r="D81" s="51" t="n">
        <v>1</v>
      </c>
      <c r="E81" s="51" t="s">
        <v>515</v>
      </c>
      <c r="F81" s="52" t="n">
        <v>-10408.55</v>
      </c>
      <c r="G81" s="52" t="n">
        <v>10594.19</v>
      </c>
      <c r="H81" s="53" t="n">
        <v>1.0401</v>
      </c>
      <c r="I81" s="52" t="n">
        <v>443.97</v>
      </c>
      <c r="J81" s="52" t="n">
        <v>500</v>
      </c>
      <c r="K81" s="51" t="s">
        <v>592</v>
      </c>
      <c r="L81" s="54" t="n">
        <f aca="false">IF(G81=0,"",F81/G81)</f>
        <v>-0.982477187968122</v>
      </c>
      <c r="M81" s="54" t="str">
        <f aca="false">IF(OR(L79="",L79&lt;=0,L81=""),"",L81/L79)</f>
        <v/>
      </c>
      <c r="N81" s="64" t="n">
        <f aca="false">IF(I81=0,"",F81/I81)</f>
        <v>-23.4442642520891</v>
      </c>
      <c r="O81" s="64" t="n">
        <f aca="false">IF(I81=0,"",G81/I81)</f>
        <v>23.862400612654</v>
      </c>
      <c r="P81" s="52" t="s">
        <v>699</v>
      </c>
      <c r="Q81" s="52" t="s">
        <v>699</v>
      </c>
    </row>
    <row r="82" customFormat="false" ht="15" hidden="false" customHeight="false" outlineLevel="0" collapsed="false">
      <c r="A82" s="51" t="s">
        <v>62</v>
      </c>
      <c r="B82" s="51" t="s">
        <v>148</v>
      </c>
      <c r="C82" s="51" t="s">
        <v>700</v>
      </c>
      <c r="D82" s="51" t="n">
        <v>2</v>
      </c>
      <c r="E82" s="51" t="s">
        <v>513</v>
      </c>
      <c r="F82" s="52" t="n">
        <v>-11140.08</v>
      </c>
      <c r="G82" s="52" t="n">
        <v>12249.47</v>
      </c>
      <c r="H82" s="53" t="n">
        <v>1.1026</v>
      </c>
      <c r="I82" s="52" t="n">
        <v>476.36</v>
      </c>
      <c r="J82" s="52" t="n">
        <v>5041.66</v>
      </c>
      <c r="K82" s="51" t="s">
        <v>704</v>
      </c>
      <c r="L82" s="54" t="n">
        <f aca="false">IF(G82=0,"",F82/G82)</f>
        <v>-0.9094336326388</v>
      </c>
      <c r="M82" s="54" t="str">
        <f aca="false">IF(OR(L79="",L79&lt;=0,L82=""),"",L82/L79)</f>
        <v/>
      </c>
      <c r="N82" s="64" t="n">
        <f aca="false">IF(I82=0,"",F82/I82)</f>
        <v>-23.3858426400202</v>
      </c>
      <c r="O82" s="64" t="n">
        <f aca="false">IF(I82=0,"",G82/I82)</f>
        <v>25.7147325552103</v>
      </c>
      <c r="P82" s="52" t="s">
        <v>699</v>
      </c>
      <c r="Q82" s="52" t="n">
        <v>41839.14</v>
      </c>
    </row>
    <row r="83" customFormat="false" ht="15" hidden="false" customHeight="false" outlineLevel="0" collapsed="false">
      <c r="A83" s="51" t="s">
        <v>62</v>
      </c>
      <c r="B83" s="51" t="s">
        <v>148</v>
      </c>
      <c r="C83" s="51" t="s">
        <v>700</v>
      </c>
      <c r="D83" s="51" t="n">
        <v>2</v>
      </c>
      <c r="E83" s="51" t="s">
        <v>515</v>
      </c>
      <c r="F83" s="52" t="n">
        <v>-10403.18</v>
      </c>
      <c r="G83" s="52" t="n">
        <v>10942.85</v>
      </c>
      <c r="H83" s="53" t="n">
        <v>1.0383</v>
      </c>
      <c r="I83" s="52" t="n">
        <v>255.65</v>
      </c>
      <c r="J83" s="52" t="n">
        <v>500</v>
      </c>
      <c r="K83" s="51" t="s">
        <v>606</v>
      </c>
      <c r="L83" s="54" t="n">
        <f aca="false">IF(G83=0,"",F83/G83)</f>
        <v>-0.950682865980983</v>
      </c>
      <c r="M83" s="54" t="str">
        <f aca="false">IF(OR(L79="",L79&lt;=0,L83=""),"",L83/L79)</f>
        <v/>
      </c>
      <c r="N83" s="64" t="n">
        <f aca="false">IF(I83=0,"",F83/I83)</f>
        <v>-40.6930569137493</v>
      </c>
      <c r="O83" s="64" t="n">
        <f aca="false">IF(I83=0,"",G83/I83)</f>
        <v>42.8040289458244</v>
      </c>
      <c r="P83" s="52" t="s">
        <v>699</v>
      </c>
      <c r="Q83" s="52" t="s">
        <v>699</v>
      </c>
    </row>
    <row r="84" customFormat="false" ht="15" hidden="false" customHeight="false" outlineLevel="0" collapsed="false">
      <c r="A84" s="51" t="s">
        <v>62</v>
      </c>
      <c r="B84" s="51" t="s">
        <v>148</v>
      </c>
      <c r="C84" s="51" t="s">
        <v>700</v>
      </c>
      <c r="D84" s="51" t="n">
        <v>3</v>
      </c>
      <c r="E84" s="51" t="s">
        <v>513</v>
      </c>
      <c r="F84" s="52" t="n">
        <v>-12395.05</v>
      </c>
      <c r="G84" s="52" t="n">
        <v>12712.43</v>
      </c>
      <c r="H84" s="53" t="n">
        <v>1.2321</v>
      </c>
      <c r="I84" s="52" t="n">
        <v>258.22</v>
      </c>
      <c r="J84" s="52" t="n">
        <v>3178.11</v>
      </c>
      <c r="K84" s="51" t="s">
        <v>600</v>
      </c>
      <c r="L84" s="54" t="n">
        <f aca="false">IF(G84=0,"",F84/G84)</f>
        <v>-0.975033884159048</v>
      </c>
      <c r="M84" s="54" t="str">
        <f aca="false">IF(OR(L79="",L79&lt;=0,L84=""),"",L84/L79)</f>
        <v/>
      </c>
      <c r="N84" s="64" t="n">
        <f aca="false">IF(I84=0,"",F84/I84)</f>
        <v>-48.001897606692</v>
      </c>
      <c r="O84" s="64" t="n">
        <f aca="false">IF(I84=0,"",G84/I84)</f>
        <v>49.2310045697467</v>
      </c>
      <c r="P84" s="52" t="s">
        <v>699</v>
      </c>
      <c r="Q84" s="52" t="n">
        <v>23492.44</v>
      </c>
    </row>
    <row r="85" customFormat="false" ht="15" hidden="false" customHeight="false" outlineLevel="0" collapsed="false">
      <c r="A85" s="51" t="s">
        <v>62</v>
      </c>
      <c r="B85" s="51" t="s">
        <v>148</v>
      </c>
      <c r="C85" s="51" t="s">
        <v>700</v>
      </c>
      <c r="D85" s="51" t="n">
        <v>3</v>
      </c>
      <c r="E85" s="51" t="s">
        <v>515</v>
      </c>
      <c r="F85" s="52" t="n">
        <v>-10317.57</v>
      </c>
      <c r="G85" s="52" t="n">
        <v>10618.2</v>
      </c>
      <c r="H85" s="53" t="n">
        <v>1.0308</v>
      </c>
      <c r="I85" s="52" t="n">
        <v>226.89</v>
      </c>
      <c r="J85" s="52" t="n">
        <v>500</v>
      </c>
      <c r="K85" s="51" t="s">
        <v>606</v>
      </c>
      <c r="L85" s="54" t="n">
        <f aca="false">IF(G85=0,"",F85/G85)</f>
        <v>-0.97168729163135</v>
      </c>
      <c r="M85" s="54" t="str">
        <f aca="false">IF(OR(L79="",L79&lt;=0,L85=""),"",L85/L79)</f>
        <v/>
      </c>
      <c r="N85" s="64" t="n">
        <f aca="false">IF(I85=0,"",F85/I85)</f>
        <v>-45.4738860240645</v>
      </c>
      <c r="O85" s="64" t="n">
        <f aca="false">IF(I85=0,"",G85/I85)</f>
        <v>46.7988893296311</v>
      </c>
      <c r="P85" s="52" t="s">
        <v>699</v>
      </c>
      <c r="Q85" s="52" t="s">
        <v>699</v>
      </c>
    </row>
    <row r="86" customFormat="false" ht="15" hidden="false" customHeight="false" outlineLevel="0" collapsed="false">
      <c r="A86" s="51" t="s">
        <v>62</v>
      </c>
      <c r="B86" s="51" t="s">
        <v>148</v>
      </c>
      <c r="C86" s="51" t="s">
        <v>700</v>
      </c>
      <c r="D86" s="51" t="n">
        <v>4</v>
      </c>
      <c r="E86" s="51" t="s">
        <v>513</v>
      </c>
      <c r="F86" s="52" t="n">
        <v>-11527.46</v>
      </c>
      <c r="G86" s="52" t="n">
        <v>11732.27</v>
      </c>
      <c r="H86" s="53" t="n">
        <v>1.1497</v>
      </c>
      <c r="I86" s="52" t="n">
        <v>293.11</v>
      </c>
      <c r="J86" s="52" t="n">
        <v>2346.45</v>
      </c>
      <c r="K86" s="51" t="s">
        <v>591</v>
      </c>
      <c r="L86" s="54" t="n">
        <f aca="false">IF(G86=0,"",F86/G86)</f>
        <v>-0.982543020233936</v>
      </c>
      <c r="M86" s="54" t="str">
        <f aca="false">IF(OR(L79="",L79&lt;=0,L86=""),"",L86/L79)</f>
        <v/>
      </c>
      <c r="N86" s="64" t="n">
        <f aca="false">IF(I86=0,"",F86/I86)</f>
        <v>-39.3281020777183</v>
      </c>
      <c r="O86" s="64" t="n">
        <f aca="false">IF(I86=0,"",G86/I86)</f>
        <v>40.0268499880591</v>
      </c>
      <c r="P86" s="52" t="s">
        <v>699</v>
      </c>
      <c r="Q86" s="52" t="s">
        <v>699</v>
      </c>
    </row>
    <row r="87" customFormat="false" ht="15" hidden="false" customHeight="false" outlineLevel="0" collapsed="false">
      <c r="A87" s="51" t="s">
        <v>62</v>
      </c>
      <c r="B87" s="51" t="s">
        <v>148</v>
      </c>
      <c r="C87" s="51" t="s">
        <v>700</v>
      </c>
      <c r="D87" s="51" t="n">
        <v>4</v>
      </c>
      <c r="E87" s="51" t="s">
        <v>515</v>
      </c>
      <c r="F87" s="52" t="n">
        <v>-10105.27</v>
      </c>
      <c r="G87" s="52" t="n">
        <v>10310.09</v>
      </c>
      <c r="H87" s="53" t="n">
        <v>1.0103</v>
      </c>
      <c r="I87" s="52" t="n">
        <v>224.14</v>
      </c>
      <c r="J87" s="52" t="n">
        <v>500</v>
      </c>
      <c r="K87" s="51" t="s">
        <v>676</v>
      </c>
      <c r="L87" s="54" t="n">
        <f aca="false">IF(G87=0,"",F87/G87)</f>
        <v>-0.980134024048287</v>
      </c>
      <c r="M87" s="54" t="str">
        <f aca="false">IF(OR(L79="",L79&lt;=0,L87=""),"",L87/L79)</f>
        <v/>
      </c>
      <c r="N87" s="64" t="n">
        <f aca="false">IF(I87=0,"",F87/I87)</f>
        <v>-45.0846346033729</v>
      </c>
      <c r="O87" s="64" t="n">
        <f aca="false">IF(I87=0,"",G87/I87)</f>
        <v>45.9984384759525</v>
      </c>
      <c r="P87" s="52" t="s">
        <v>699</v>
      </c>
      <c r="Q87" s="52" t="s">
        <v>699</v>
      </c>
    </row>
    <row r="88" customFormat="false" ht="15" hidden="false" customHeight="false" outlineLevel="0" collapsed="false">
      <c r="A88" s="51" t="s">
        <v>62</v>
      </c>
      <c r="B88" s="51" t="s">
        <v>148</v>
      </c>
      <c r="C88" s="51" t="s">
        <v>700</v>
      </c>
      <c r="D88" s="51" t="n">
        <v>5</v>
      </c>
      <c r="E88" s="51" t="s">
        <v>513</v>
      </c>
      <c r="F88" s="52" t="n">
        <v>-11056.16</v>
      </c>
      <c r="G88" s="52" t="n">
        <v>11194.51</v>
      </c>
      <c r="H88" s="53" t="n">
        <v>1.1042</v>
      </c>
      <c r="I88" s="52" t="n">
        <v>221.54</v>
      </c>
      <c r="J88" s="52" t="n">
        <v>1865.75</v>
      </c>
      <c r="K88" s="51" t="s">
        <v>599</v>
      </c>
      <c r="L88" s="54" t="n">
        <f aca="false">IF(G88=0,"",F88/G88)</f>
        <v>-0.98764126344074</v>
      </c>
      <c r="M88" s="54" t="str">
        <f aca="false">IF(OR(L79="",L79&lt;=0,L88=""),"",L88/L79)</f>
        <v/>
      </c>
      <c r="N88" s="64" t="n">
        <f aca="false">IF(I88=0,"",F88/I88)</f>
        <v>-49.9059312088111</v>
      </c>
      <c r="O88" s="64" t="n">
        <f aca="false">IF(I88=0,"",G88/I88)</f>
        <v>50.5304233998375</v>
      </c>
      <c r="P88" s="52" t="s">
        <v>699</v>
      </c>
      <c r="Q88" s="52" t="s">
        <v>699</v>
      </c>
    </row>
    <row r="89" customFormat="false" ht="15" hidden="false" customHeight="false" outlineLevel="0" collapsed="false">
      <c r="A89" s="51" t="s">
        <v>62</v>
      </c>
      <c r="B89" s="51" t="s">
        <v>148</v>
      </c>
      <c r="C89" s="51" t="s">
        <v>700</v>
      </c>
      <c r="D89" s="51" t="n">
        <v>5</v>
      </c>
      <c r="E89" s="51" t="s">
        <v>515</v>
      </c>
      <c r="F89" s="52" t="n">
        <v>-10020.18</v>
      </c>
      <c r="G89" s="52" t="n">
        <v>10158.54</v>
      </c>
      <c r="H89" s="53" t="n">
        <v>1.002</v>
      </c>
      <c r="I89" s="52" t="n">
        <v>209.76</v>
      </c>
      <c r="J89" s="52" t="n">
        <v>500</v>
      </c>
      <c r="K89" s="51" t="s">
        <v>679</v>
      </c>
      <c r="L89" s="54" t="n">
        <f aca="false">IF(G89=0,"",F89/G89)</f>
        <v>-0.986379932549362</v>
      </c>
      <c r="M89" s="54" t="str">
        <f aca="false">IF(OR(L79="",L79&lt;=0,L89=""),"",L89/L79)</f>
        <v/>
      </c>
      <c r="N89" s="64" t="n">
        <f aca="false">IF(I89=0,"",F89/I89)</f>
        <v>-47.7697368421053</v>
      </c>
      <c r="O89" s="64" t="n">
        <f aca="false">IF(I89=0,"",G89/I89)</f>
        <v>48.429347826087</v>
      </c>
      <c r="P89" s="52" t="s">
        <v>699</v>
      </c>
      <c r="Q89" s="52" t="s">
        <v>699</v>
      </c>
    </row>
    <row r="90" customFormat="false" ht="15" hidden="false" customHeight="false" outlineLevel="0" collapsed="false">
      <c r="A90" s="51" t="s">
        <v>62</v>
      </c>
      <c r="B90" s="51" t="s">
        <v>148</v>
      </c>
      <c r="C90" s="51" t="s">
        <v>528</v>
      </c>
      <c r="D90" s="51" t="n">
        <v>1</v>
      </c>
      <c r="E90" s="51" t="s">
        <v>513</v>
      </c>
      <c r="F90" s="52" t="n">
        <v>-14631.31</v>
      </c>
      <c r="G90" s="52" t="n">
        <v>16000</v>
      </c>
      <c r="H90" s="53" t="n">
        <v>1.4074</v>
      </c>
      <c r="I90" s="52" t="n">
        <v>930.95</v>
      </c>
      <c r="J90" s="52" t="n">
        <v>8000</v>
      </c>
      <c r="K90" s="51" t="s">
        <v>610</v>
      </c>
      <c r="L90" s="54" t="n">
        <f aca="false">IF(G90=0,"",F90/G90)</f>
        <v>-0.914456875</v>
      </c>
      <c r="M90" s="54" t="str">
        <f aca="false">IF(OR(L79="",L79&lt;=0,L90=""),"",L90/L79)</f>
        <v/>
      </c>
      <c r="N90" s="64" t="n">
        <f aca="false">IF(I90=0,"",F90/I90)</f>
        <v>-15.7165368709383</v>
      </c>
      <c r="O90" s="64" t="n">
        <f aca="false">IF(I90=0,"",G90/I90)</f>
        <v>17.1867447231323</v>
      </c>
      <c r="P90" s="52" t="s">
        <v>699</v>
      </c>
      <c r="Q90" s="52" t="s">
        <v>699</v>
      </c>
    </row>
    <row r="91" customFormat="false" ht="15" hidden="false" customHeight="false" outlineLevel="0" collapsed="false">
      <c r="A91" s="51" t="s">
        <v>62</v>
      </c>
      <c r="B91" s="51" t="s">
        <v>148</v>
      </c>
      <c r="C91" s="51" t="s">
        <v>528</v>
      </c>
      <c r="D91" s="51" t="n">
        <v>1</v>
      </c>
      <c r="E91" s="51" t="s">
        <v>515</v>
      </c>
      <c r="F91" s="52" t="n">
        <v>-10408.55</v>
      </c>
      <c r="G91" s="52" t="n">
        <v>10594.19</v>
      </c>
      <c r="H91" s="53" t="n">
        <v>1.0401</v>
      </c>
      <c r="I91" s="52" t="n">
        <v>443.97</v>
      </c>
      <c r="J91" s="52" t="n">
        <v>500</v>
      </c>
      <c r="K91" s="51" t="s">
        <v>592</v>
      </c>
      <c r="L91" s="54" t="n">
        <f aca="false">IF(G91=0,"",F91/G91)</f>
        <v>-0.982477187968122</v>
      </c>
      <c r="M91" s="54" t="str">
        <f aca="false">IF(OR(L79="",L79&lt;=0,L91=""),"",L91/L79)</f>
        <v/>
      </c>
      <c r="N91" s="64" t="n">
        <f aca="false">IF(I91=0,"",F91/I91)</f>
        <v>-23.4442642520891</v>
      </c>
      <c r="O91" s="64" t="n">
        <f aca="false">IF(I91=0,"",G91/I91)</f>
        <v>23.862400612654</v>
      </c>
      <c r="P91" s="52" t="s">
        <v>699</v>
      </c>
      <c r="Q91" s="52" t="s">
        <v>699</v>
      </c>
    </row>
    <row r="92" customFormat="false" ht="15" hidden="false" customHeight="false" outlineLevel="0" collapsed="false">
      <c r="A92" s="51" t="s">
        <v>62</v>
      </c>
      <c r="B92" s="51" t="s">
        <v>148</v>
      </c>
      <c r="C92" s="51" t="s">
        <v>528</v>
      </c>
      <c r="D92" s="51" t="n">
        <v>2</v>
      </c>
      <c r="E92" s="51" t="s">
        <v>513</v>
      </c>
      <c r="F92" s="52" t="n">
        <v>-14168.59</v>
      </c>
      <c r="G92" s="52" t="n">
        <v>14878.06</v>
      </c>
      <c r="H92" s="53" t="n">
        <v>1.3892</v>
      </c>
      <c r="I92" s="52" t="n">
        <v>411.02</v>
      </c>
      <c r="J92" s="52" t="n">
        <v>4959.35</v>
      </c>
      <c r="K92" s="51" t="s">
        <v>600</v>
      </c>
      <c r="L92" s="54" t="n">
        <f aca="false">IF(G92=0,"",F92/G92)</f>
        <v>-0.952314347435082</v>
      </c>
      <c r="M92" s="54" t="str">
        <f aca="false">IF(OR(L79="",L79&lt;=0,L92=""),"",L92/L79)</f>
        <v/>
      </c>
      <c r="N92" s="64" t="n">
        <f aca="false">IF(I92=0,"",F92/I92)</f>
        <v>-34.471777529074</v>
      </c>
      <c r="O92" s="64" t="n">
        <f aca="false">IF(I92=0,"",G92/I92)</f>
        <v>36.1978979125103</v>
      </c>
      <c r="P92" s="52" t="s">
        <v>699</v>
      </c>
      <c r="Q92" s="52" t="s">
        <v>699</v>
      </c>
    </row>
    <row r="93" customFormat="false" ht="15" hidden="false" customHeight="false" outlineLevel="0" collapsed="false">
      <c r="A93" s="51" t="s">
        <v>62</v>
      </c>
      <c r="B93" s="51" t="s">
        <v>148</v>
      </c>
      <c r="C93" s="51" t="s">
        <v>528</v>
      </c>
      <c r="D93" s="51" t="n">
        <v>2</v>
      </c>
      <c r="E93" s="51" t="s">
        <v>515</v>
      </c>
      <c r="F93" s="52" t="n">
        <v>-10307.6</v>
      </c>
      <c r="G93" s="52" t="n">
        <v>10962.61</v>
      </c>
      <c r="H93" s="53" t="n">
        <v>1.0289</v>
      </c>
      <c r="I93" s="52" t="n">
        <v>277.56</v>
      </c>
      <c r="J93" s="52" t="n">
        <v>500</v>
      </c>
      <c r="K93" s="51" t="s">
        <v>601</v>
      </c>
      <c r="L93" s="54" t="n">
        <f aca="false">IF(G93=0,"",F93/G93)</f>
        <v>-0.940250542525913</v>
      </c>
      <c r="M93" s="54" t="str">
        <f aca="false">IF(OR(L79="",L79&lt;=0,L93=""),"",L93/L79)</f>
        <v/>
      </c>
      <c r="N93" s="64" t="n">
        <f aca="false">IF(I93=0,"",F93/I93)</f>
        <v>-37.1364749963972</v>
      </c>
      <c r="O93" s="64" t="n">
        <f aca="false">IF(I93=0,"",G93/I93)</f>
        <v>39.4963611471394</v>
      </c>
      <c r="P93" s="52" t="s">
        <v>699</v>
      </c>
      <c r="Q93" s="52" t="s">
        <v>699</v>
      </c>
    </row>
    <row r="94" customFormat="false" ht="15" hidden="false" customHeight="false" outlineLevel="0" collapsed="false">
      <c r="A94" s="51" t="s">
        <v>62</v>
      </c>
      <c r="B94" s="51" t="s">
        <v>148</v>
      </c>
      <c r="C94" s="51" t="s">
        <v>528</v>
      </c>
      <c r="D94" s="51" t="n">
        <v>3</v>
      </c>
      <c r="E94" s="51" t="s">
        <v>513</v>
      </c>
      <c r="F94" s="52" t="n">
        <v>-11350.29</v>
      </c>
      <c r="G94" s="52" t="n">
        <v>11653.06</v>
      </c>
      <c r="H94" s="53" t="n">
        <v>1.1311</v>
      </c>
      <c r="I94" s="52" t="n">
        <v>257.54</v>
      </c>
      <c r="J94" s="52" t="n">
        <v>2913.27</v>
      </c>
      <c r="K94" s="51" t="s">
        <v>592</v>
      </c>
      <c r="L94" s="54" t="n">
        <f aca="false">IF(G94=0,"",F94/G94)</f>
        <v>-0.974017983259333</v>
      </c>
      <c r="M94" s="54" t="str">
        <f aca="false">IF(OR(L79="",L79&lt;=0,L94=""),"",L94/L79)</f>
        <v/>
      </c>
      <c r="N94" s="64" t="n">
        <f aca="false">IF(I94=0,"",F94/I94)</f>
        <v>-44.0719499883513</v>
      </c>
      <c r="O94" s="64" t="n">
        <f aca="false">IF(I94=0,"",G94/I94)</f>
        <v>45.2475731925138</v>
      </c>
      <c r="P94" s="52" t="s">
        <v>699</v>
      </c>
      <c r="Q94" s="52" t="s">
        <v>699</v>
      </c>
    </row>
    <row r="95" customFormat="false" ht="15" hidden="false" customHeight="false" outlineLevel="0" collapsed="false">
      <c r="A95" s="51" t="s">
        <v>62</v>
      </c>
      <c r="B95" s="51" t="s">
        <v>148</v>
      </c>
      <c r="C95" s="51" t="s">
        <v>528</v>
      </c>
      <c r="D95" s="51" t="n">
        <v>3</v>
      </c>
      <c r="E95" s="51" t="s">
        <v>515</v>
      </c>
      <c r="F95" s="52" t="n">
        <v>-10393.06</v>
      </c>
      <c r="G95" s="52" t="n">
        <v>10662.18</v>
      </c>
      <c r="H95" s="53" t="n">
        <v>1.0383</v>
      </c>
      <c r="I95" s="52" t="n">
        <v>232.28</v>
      </c>
      <c r="J95" s="52" t="n">
        <v>500</v>
      </c>
      <c r="K95" s="51" t="s">
        <v>607</v>
      </c>
      <c r="L95" s="54" t="n">
        <f aca="false">IF(G95=0,"",F95/G95)</f>
        <v>-0.974759383165544</v>
      </c>
      <c r="M95" s="54" t="str">
        <f aca="false">IF(OR(L79="",L79&lt;=0,L95=""),"",L95/L79)</f>
        <v/>
      </c>
      <c r="N95" s="64" t="n">
        <f aca="false">IF(I95=0,"",F95/I95)</f>
        <v>-44.7436714310315</v>
      </c>
      <c r="O95" s="64" t="n">
        <f aca="false">IF(I95=0,"",G95/I95)</f>
        <v>45.9022731186499</v>
      </c>
      <c r="P95" s="52" t="s">
        <v>699</v>
      </c>
      <c r="Q95" s="52" t="s">
        <v>699</v>
      </c>
    </row>
    <row r="96" customFormat="false" ht="15" hidden="false" customHeight="false" outlineLevel="0" collapsed="false">
      <c r="A96" s="51" t="s">
        <v>62</v>
      </c>
      <c r="B96" s="51" t="s">
        <v>148</v>
      </c>
      <c r="C96" s="51" t="s">
        <v>528</v>
      </c>
      <c r="D96" s="51" t="n">
        <v>4</v>
      </c>
      <c r="E96" s="51" t="s">
        <v>513</v>
      </c>
      <c r="F96" s="52" t="n">
        <v>-12289.8</v>
      </c>
      <c r="G96" s="52" t="n">
        <v>12494.62</v>
      </c>
      <c r="H96" s="53" t="n">
        <v>1.2244</v>
      </c>
      <c r="I96" s="52" t="n">
        <v>309.06</v>
      </c>
      <c r="J96" s="52" t="n">
        <v>2498.92</v>
      </c>
      <c r="K96" s="51" t="s">
        <v>591</v>
      </c>
      <c r="L96" s="54" t="n">
        <f aca="false">IF(G96=0,"",F96/G96)</f>
        <v>-0.983607344601116</v>
      </c>
      <c r="M96" s="54" t="str">
        <f aca="false">IF(OR(L79="",L79&lt;=0,L96=""),"",L96/L79)</f>
        <v/>
      </c>
      <c r="N96" s="64" t="n">
        <f aca="false">IF(I96=0,"",F96/I96)</f>
        <v>-39.7650941564745</v>
      </c>
      <c r="O96" s="64" t="n">
        <f aca="false">IF(I96=0,"",G96/I96)</f>
        <v>40.4278133695723</v>
      </c>
      <c r="P96" s="52" t="s">
        <v>699</v>
      </c>
      <c r="Q96" s="52" t="s">
        <v>699</v>
      </c>
    </row>
    <row r="97" customFormat="false" ht="15" hidden="false" customHeight="false" outlineLevel="0" collapsed="false">
      <c r="A97" s="51" t="s">
        <v>62</v>
      </c>
      <c r="B97" s="51" t="s">
        <v>148</v>
      </c>
      <c r="C97" s="51" t="s">
        <v>528</v>
      </c>
      <c r="D97" s="51" t="n">
        <v>4</v>
      </c>
      <c r="E97" s="51" t="s">
        <v>515</v>
      </c>
      <c r="F97" s="52" t="n">
        <v>-10003.09</v>
      </c>
      <c r="G97" s="52" t="n">
        <v>10207.91</v>
      </c>
      <c r="H97" s="53" t="n">
        <v>1.0003</v>
      </c>
      <c r="I97" s="52" t="n">
        <v>219.14</v>
      </c>
      <c r="J97" s="52" t="n">
        <v>500</v>
      </c>
      <c r="K97" s="51" t="s">
        <v>705</v>
      </c>
      <c r="L97" s="54" t="n">
        <f aca="false">IF(G97=0,"",F97/G97)</f>
        <v>-0.979935167923698</v>
      </c>
      <c r="M97" s="54" t="str">
        <f aca="false">IF(OR(L79="",L79&lt;=0,L97=""),"",L97/L79)</f>
        <v/>
      </c>
      <c r="N97" s="64" t="n">
        <f aca="false">IF(I97=0,"",F97/I97)</f>
        <v>-45.6470292963402</v>
      </c>
      <c r="O97" s="64" t="n">
        <f aca="false">IF(I97=0,"",G97/I97)</f>
        <v>46.5816829424113</v>
      </c>
      <c r="P97" s="52" t="s">
        <v>699</v>
      </c>
      <c r="Q97" s="52" t="s">
        <v>699</v>
      </c>
    </row>
    <row r="98" customFormat="false" ht="15" hidden="false" customHeight="false" outlineLevel="0" collapsed="false">
      <c r="A98" s="51" t="s">
        <v>62</v>
      </c>
      <c r="B98" s="51" t="s">
        <v>148</v>
      </c>
      <c r="C98" s="51" t="s">
        <v>528</v>
      </c>
      <c r="D98" s="51" t="n">
        <v>5</v>
      </c>
      <c r="E98" s="51" t="s">
        <v>513</v>
      </c>
      <c r="F98" s="52" t="n">
        <v>-11056.16</v>
      </c>
      <c r="G98" s="52" t="n">
        <v>11194.51</v>
      </c>
      <c r="H98" s="53" t="n">
        <v>1.1042</v>
      </c>
      <c r="I98" s="52" t="n">
        <v>221.54</v>
      </c>
      <c r="J98" s="52" t="n">
        <v>1865.75</v>
      </c>
      <c r="K98" s="51" t="s">
        <v>599</v>
      </c>
      <c r="L98" s="54" t="n">
        <f aca="false">IF(G98=0,"",F98/G98)</f>
        <v>-0.98764126344074</v>
      </c>
      <c r="M98" s="54" t="str">
        <f aca="false">IF(OR(L79="",L79&lt;=0,L98=""),"",L98/L79)</f>
        <v/>
      </c>
      <c r="N98" s="64" t="n">
        <f aca="false">IF(I98=0,"",F98/I98)</f>
        <v>-49.9059312088111</v>
      </c>
      <c r="O98" s="64" t="n">
        <f aca="false">IF(I98=0,"",G98/I98)</f>
        <v>50.5304233998375</v>
      </c>
      <c r="P98" s="52" t="s">
        <v>699</v>
      </c>
      <c r="Q98" s="52" t="s">
        <v>699</v>
      </c>
    </row>
    <row r="99" customFormat="false" ht="15" hidden="false" customHeight="false" outlineLevel="0" collapsed="false">
      <c r="A99" s="51" t="s">
        <v>62</v>
      </c>
      <c r="B99" s="51" t="s">
        <v>148</v>
      </c>
      <c r="C99" s="51" t="s">
        <v>528</v>
      </c>
      <c r="D99" s="51" t="n">
        <v>5</v>
      </c>
      <c r="E99" s="51" t="s">
        <v>515</v>
      </c>
      <c r="F99" s="52" t="n">
        <v>-10020.18</v>
      </c>
      <c r="G99" s="52" t="n">
        <v>10158.54</v>
      </c>
      <c r="H99" s="53" t="n">
        <v>1.002</v>
      </c>
      <c r="I99" s="52" t="n">
        <v>209.76</v>
      </c>
      <c r="J99" s="52" t="n">
        <v>500</v>
      </c>
      <c r="K99" s="51" t="s">
        <v>679</v>
      </c>
      <c r="L99" s="54" t="n">
        <f aca="false">IF(G99=0,"",F99/G99)</f>
        <v>-0.986379932549362</v>
      </c>
      <c r="M99" s="54" t="str">
        <f aca="false">IF(OR(L79="",L79&lt;=0,L99=""),"",L99/L79)</f>
        <v/>
      </c>
      <c r="N99" s="64" t="n">
        <f aca="false">IF(I99=0,"",F99/I99)</f>
        <v>-47.7697368421053</v>
      </c>
      <c r="O99" s="64" t="n">
        <f aca="false">IF(I99=0,"",G99/I99)</f>
        <v>48.429347826087</v>
      </c>
      <c r="P99" s="52" t="s">
        <v>699</v>
      </c>
      <c r="Q99" s="52" t="s">
        <v>699</v>
      </c>
    </row>
    <row r="101" customFormat="false" ht="15" hidden="false" customHeight="false" outlineLevel="0" collapsed="false">
      <c r="A101" s="5" t="s">
        <v>62</v>
      </c>
      <c r="B101" s="5" t="s">
        <v>24</v>
      </c>
      <c r="C101" s="5" t="s">
        <v>698</v>
      </c>
      <c r="D101" s="5" t="s">
        <v>549</v>
      </c>
      <c r="E101" s="5" t="s">
        <v>549</v>
      </c>
      <c r="F101" s="62" t="n">
        <v>6136.32</v>
      </c>
      <c r="G101" s="62" t="n">
        <v>1830.99</v>
      </c>
      <c r="H101" s="42" t="n">
        <v>0.1725</v>
      </c>
      <c r="I101" s="62" t="n">
        <v>50</v>
      </c>
      <c r="J101" s="62" t="n">
        <v>50</v>
      </c>
      <c r="K101" s="5" t="s">
        <v>581</v>
      </c>
      <c r="L101" s="21" t="n">
        <f aca="false">IF(G101=0,"",F101/G101)</f>
        <v>3.35136729310373</v>
      </c>
      <c r="M101" s="21" t="n">
        <v>1</v>
      </c>
      <c r="N101" s="63" t="n">
        <f aca="false">IF(I101=0,"",F101/I101)</f>
        <v>122.7264</v>
      </c>
      <c r="O101" s="63" t="n">
        <f aca="false">IF(I101=0,"",G101/I101)</f>
        <v>36.6198</v>
      </c>
      <c r="P101" s="62" t="n">
        <v>3333.68</v>
      </c>
      <c r="Q101" s="62" t="n">
        <v>2802.64</v>
      </c>
    </row>
    <row r="102" customFormat="false" ht="15" hidden="false" customHeight="false" outlineLevel="0" collapsed="false">
      <c r="A102" s="51" t="s">
        <v>62</v>
      </c>
      <c r="B102" s="51" t="s">
        <v>24</v>
      </c>
      <c r="C102" s="51" t="s">
        <v>700</v>
      </c>
      <c r="D102" s="51" t="n">
        <v>1</v>
      </c>
      <c r="E102" s="51" t="s">
        <v>513</v>
      </c>
      <c r="F102" s="52" t="n">
        <v>-31650.2</v>
      </c>
      <c r="G102" s="52" t="n">
        <v>51200</v>
      </c>
      <c r="H102" s="53" t="n">
        <v>1.7327</v>
      </c>
      <c r="I102" s="52" t="n">
        <v>654.13</v>
      </c>
      <c r="J102" s="52" t="n">
        <v>25600</v>
      </c>
      <c r="K102" s="51" t="s">
        <v>706</v>
      </c>
      <c r="L102" s="54" t="n">
        <f aca="false">IF(G102=0,"",F102/G102)</f>
        <v>-0.61816796875</v>
      </c>
      <c r="M102" s="54" t="n">
        <f aca="false">IF(OR(L101="",L101&lt;=0,L102=""),"",L102/L101)</f>
        <v>-0.184452468108176</v>
      </c>
      <c r="N102" s="64" t="n">
        <f aca="false">IF(I102=0,"",F102/I102)</f>
        <v>-48.3851833733356</v>
      </c>
      <c r="O102" s="64" t="n">
        <f aca="false">IF(I102=0,"",G102/I102)</f>
        <v>78.2719031385199</v>
      </c>
      <c r="P102" s="52" t="s">
        <v>699</v>
      </c>
      <c r="Q102" s="52" t="s">
        <v>699</v>
      </c>
    </row>
    <row r="103" customFormat="false" ht="15" hidden="false" customHeight="false" outlineLevel="0" collapsed="false">
      <c r="A103" s="8" t="s">
        <v>62</v>
      </c>
      <c r="B103" s="8" t="s">
        <v>24</v>
      </c>
      <c r="C103" s="8" t="s">
        <v>700</v>
      </c>
      <c r="D103" s="8" t="n">
        <v>1</v>
      </c>
      <c r="E103" s="8" t="s">
        <v>515</v>
      </c>
      <c r="F103" s="56" t="n">
        <v>27434.04</v>
      </c>
      <c r="G103" s="56" t="n">
        <v>16609.9</v>
      </c>
      <c r="H103" s="43" t="n">
        <v>0.9689</v>
      </c>
      <c r="I103" s="56" t="n">
        <v>351.59</v>
      </c>
      <c r="J103" s="56" t="n">
        <v>500</v>
      </c>
      <c r="K103" s="8" t="s">
        <v>581</v>
      </c>
      <c r="L103" s="19" t="n">
        <f aca="false">IF(G103=0,"",F103/G103)</f>
        <v>1.65166798114378</v>
      </c>
      <c r="M103" s="19" t="n">
        <f aca="false">IF(OR(L101="",L101&lt;=0,L103=""),"",L103/L101)</f>
        <v>0.492834069408773</v>
      </c>
      <c r="N103" s="65" t="n">
        <f aca="false">IF(I103=0,"",F103/I103)</f>
        <v>78.0284991040701</v>
      </c>
      <c r="O103" s="65" t="n">
        <f aca="false">IF(I103=0,"",G103/I103)</f>
        <v>47.2422423845957</v>
      </c>
      <c r="P103" s="56" t="n">
        <v>25158.22</v>
      </c>
      <c r="Q103" s="56" t="s">
        <v>699</v>
      </c>
    </row>
    <row r="104" customFormat="false" ht="15" hidden="false" customHeight="false" outlineLevel="0" collapsed="false">
      <c r="A104" s="51" t="s">
        <v>62</v>
      </c>
      <c r="B104" s="51" t="s">
        <v>24</v>
      </c>
      <c r="C104" s="51" t="s">
        <v>700</v>
      </c>
      <c r="D104" s="51" t="n">
        <v>2</v>
      </c>
      <c r="E104" s="51" t="s">
        <v>513</v>
      </c>
      <c r="F104" s="52" t="n">
        <v>-10779.91</v>
      </c>
      <c r="G104" s="52" t="n">
        <v>12974.63</v>
      </c>
      <c r="H104" s="53" t="n">
        <v>1.064</v>
      </c>
      <c r="I104" s="52" t="n">
        <v>170.78</v>
      </c>
      <c r="J104" s="52" t="n">
        <v>4324.88</v>
      </c>
      <c r="K104" s="51" t="s">
        <v>620</v>
      </c>
      <c r="L104" s="54" t="n">
        <f aca="false">IF(G104=0,"",F104/G104)</f>
        <v>-0.830845272659028</v>
      </c>
      <c r="M104" s="54" t="n">
        <f aca="false">IF(OR(L101="",L101&lt;=0,L104=""),"",L104/L101)</f>
        <v>-0.247912329504647</v>
      </c>
      <c r="N104" s="64" t="n">
        <f aca="false">IF(I104=0,"",F104/I104)</f>
        <v>-63.1216184564937</v>
      </c>
      <c r="O104" s="64" t="n">
        <f aca="false">IF(I104=0,"",G104/I104)</f>
        <v>75.9727719873522</v>
      </c>
      <c r="P104" s="52" t="s">
        <v>699</v>
      </c>
      <c r="Q104" s="52" t="s">
        <v>699</v>
      </c>
    </row>
    <row r="105" customFormat="false" ht="15" hidden="false" customHeight="false" outlineLevel="0" collapsed="false">
      <c r="A105" s="51" t="s">
        <v>62</v>
      </c>
      <c r="B105" s="51" t="s">
        <v>24</v>
      </c>
      <c r="C105" s="51" t="s">
        <v>700</v>
      </c>
      <c r="D105" s="51" t="n">
        <v>2</v>
      </c>
      <c r="E105" s="51" t="s">
        <v>515</v>
      </c>
      <c r="F105" s="52" t="n">
        <v>-10049.18</v>
      </c>
      <c r="G105" s="52" t="n">
        <v>12079.88</v>
      </c>
      <c r="H105" s="53" t="n">
        <v>1.0041</v>
      </c>
      <c r="I105" s="52" t="n">
        <v>251.36</v>
      </c>
      <c r="J105" s="52" t="n">
        <v>500</v>
      </c>
      <c r="K105" s="51" t="s">
        <v>707</v>
      </c>
      <c r="L105" s="54" t="n">
        <f aca="false">IF(G105=0,"",F105/G105)</f>
        <v>-0.831894025437339</v>
      </c>
      <c r="M105" s="54" t="n">
        <f aca="false">IF(OR(L101="",L101&lt;=0,L105=""),"",L105/L101)</f>
        <v>-0.248225262312838</v>
      </c>
      <c r="N105" s="64" t="n">
        <f aca="false">IF(I105=0,"",F105/I105)</f>
        <v>-39.9792329726289</v>
      </c>
      <c r="O105" s="64" t="n">
        <f aca="false">IF(I105=0,"",G105/I105)</f>
        <v>48.0580840229153</v>
      </c>
      <c r="P105" s="52" t="s">
        <v>699</v>
      </c>
      <c r="Q105" s="52" t="s">
        <v>699</v>
      </c>
    </row>
    <row r="106" customFormat="false" ht="15" hidden="false" customHeight="false" outlineLevel="0" collapsed="false">
      <c r="A106" s="51" t="s">
        <v>62</v>
      </c>
      <c r="B106" s="51" t="s">
        <v>24</v>
      </c>
      <c r="C106" s="51" t="s">
        <v>700</v>
      </c>
      <c r="D106" s="51" t="n">
        <v>3</v>
      </c>
      <c r="E106" s="51" t="s">
        <v>513</v>
      </c>
      <c r="F106" s="52" t="n">
        <v>-10232.3</v>
      </c>
      <c r="G106" s="52" t="n">
        <v>11224.64</v>
      </c>
      <c r="H106" s="53" t="n">
        <v>1.0211</v>
      </c>
      <c r="I106" s="52" t="n">
        <v>137.82</v>
      </c>
      <c r="J106" s="52" t="n">
        <v>2806.16</v>
      </c>
      <c r="K106" s="51" t="s">
        <v>627</v>
      </c>
      <c r="L106" s="54" t="n">
        <f aca="false">IF(G106=0,"",F106/G106)</f>
        <v>-0.911592710323004</v>
      </c>
      <c r="M106" s="54" t="n">
        <f aca="false">IF(OR(L101="",L101&lt;=0,L106=""),"",L106/L101)</f>
        <v>-0.272006208391074</v>
      </c>
      <c r="N106" s="64" t="n">
        <f aca="false">IF(I106=0,"",F106/I106)</f>
        <v>-74.2439413728051</v>
      </c>
      <c r="O106" s="64" t="n">
        <f aca="false">IF(I106=0,"",G106/I106)</f>
        <v>81.4442025830794</v>
      </c>
      <c r="P106" s="52" t="s">
        <v>699</v>
      </c>
      <c r="Q106" s="52" t="n">
        <v>10876.95</v>
      </c>
    </row>
    <row r="107" customFormat="false" ht="15" hidden="false" customHeight="false" outlineLevel="0" collapsed="false">
      <c r="A107" s="51" t="s">
        <v>62</v>
      </c>
      <c r="B107" s="51" t="s">
        <v>24</v>
      </c>
      <c r="C107" s="51" t="s">
        <v>700</v>
      </c>
      <c r="D107" s="51" t="n">
        <v>3</v>
      </c>
      <c r="E107" s="51" t="s">
        <v>515</v>
      </c>
      <c r="F107" s="52" t="n">
        <v>-10446.22</v>
      </c>
      <c r="G107" s="52" t="n">
        <v>11438.56</v>
      </c>
      <c r="H107" s="53" t="n">
        <v>1.0406</v>
      </c>
      <c r="I107" s="52" t="n">
        <v>238.38</v>
      </c>
      <c r="J107" s="52" t="n">
        <v>500</v>
      </c>
      <c r="K107" s="51" t="s">
        <v>617</v>
      </c>
      <c r="L107" s="54" t="n">
        <f aca="false">IF(G107=0,"",F107/G107)</f>
        <v>-0.913246072932257</v>
      </c>
      <c r="M107" s="54" t="n">
        <f aca="false">IF(OR(L101="",L101&lt;=0,L107=""),"",L107/L101)</f>
        <v>-0.27249954811324</v>
      </c>
      <c r="N107" s="64" t="n">
        <f aca="false">IF(I107=0,"",F107/I107)</f>
        <v>-43.8217132309758</v>
      </c>
      <c r="O107" s="64" t="n">
        <f aca="false">IF(I107=0,"",G107/I107)</f>
        <v>47.9845624632939</v>
      </c>
      <c r="P107" s="52" t="s">
        <v>699</v>
      </c>
      <c r="Q107" s="52" t="n">
        <v>9930.81</v>
      </c>
    </row>
    <row r="108" customFormat="false" ht="15" hidden="false" customHeight="false" outlineLevel="0" collapsed="false">
      <c r="A108" s="8" t="s">
        <v>62</v>
      </c>
      <c r="B108" s="8" t="s">
        <v>24</v>
      </c>
      <c r="C108" s="8" t="s">
        <v>700</v>
      </c>
      <c r="D108" s="8" t="n">
        <v>4</v>
      </c>
      <c r="E108" s="8" t="s">
        <v>513</v>
      </c>
      <c r="F108" s="56" t="n">
        <v>15252.29</v>
      </c>
      <c r="G108" s="56" t="n">
        <v>9680.82</v>
      </c>
      <c r="H108" s="43" t="n">
        <v>0.9024</v>
      </c>
      <c r="I108" s="56" t="n">
        <v>89.67</v>
      </c>
      <c r="J108" s="56" t="n">
        <v>2420.21</v>
      </c>
      <c r="K108" s="8" t="s">
        <v>581</v>
      </c>
      <c r="L108" s="19" t="n">
        <f aca="false">IF(G108=0,"",F108/G108)</f>
        <v>1.57551633022822</v>
      </c>
      <c r="M108" s="19" t="n">
        <f aca="false">IF(OR(L101="",L101&lt;=0,L108=""),"",L108/L101)</f>
        <v>0.470111507464503</v>
      </c>
      <c r="N108" s="65" t="n">
        <f aca="false">IF(I108=0,"",F108/I108)</f>
        <v>170.09356529497</v>
      </c>
      <c r="O108" s="65" t="n">
        <f aca="false">IF(I108=0,"",G108/I108)</f>
        <v>107.960521913684</v>
      </c>
      <c r="P108" s="56" t="n">
        <v>7210.61</v>
      </c>
      <c r="Q108" s="56" t="n">
        <v>7997.81</v>
      </c>
    </row>
    <row r="109" customFormat="false" ht="15" hidden="false" customHeight="false" outlineLevel="0" collapsed="false">
      <c r="A109" s="51" t="s">
        <v>62</v>
      </c>
      <c r="B109" s="51" t="s">
        <v>24</v>
      </c>
      <c r="C109" s="51" t="s">
        <v>700</v>
      </c>
      <c r="D109" s="51" t="n">
        <v>4</v>
      </c>
      <c r="E109" s="51" t="s">
        <v>515</v>
      </c>
      <c r="F109" s="52" t="n">
        <v>-10038.4</v>
      </c>
      <c r="G109" s="52" t="n">
        <v>10766.73</v>
      </c>
      <c r="H109" s="53" t="n">
        <v>1.0036</v>
      </c>
      <c r="I109" s="52" t="n">
        <v>336</v>
      </c>
      <c r="J109" s="52" t="n">
        <v>500</v>
      </c>
      <c r="K109" s="51" t="s">
        <v>708</v>
      </c>
      <c r="L109" s="54" t="n">
        <f aca="false">IF(G109=0,"",F109/G109)</f>
        <v>-0.932353648693707</v>
      </c>
      <c r="M109" s="54" t="n">
        <f aca="false">IF(OR(L101="",L101&lt;=0,L109=""),"",L109/L101)</f>
        <v>-0.278200975050469</v>
      </c>
      <c r="N109" s="64" t="n">
        <f aca="false">IF(I109=0,"",F109/I109)</f>
        <v>-29.8761904761905</v>
      </c>
      <c r="O109" s="64" t="n">
        <f aca="false">IF(I109=0,"",G109/I109)</f>
        <v>32.0438392857143</v>
      </c>
      <c r="P109" s="52" t="s">
        <v>699</v>
      </c>
      <c r="Q109" s="52" t="n">
        <v>7836.61</v>
      </c>
    </row>
    <row r="110" customFormat="false" ht="15" hidden="false" customHeight="false" outlineLevel="0" collapsed="false">
      <c r="A110" s="8" t="s">
        <v>62</v>
      </c>
      <c r="B110" s="8" t="s">
        <v>24</v>
      </c>
      <c r="C110" s="8" t="s">
        <v>700</v>
      </c>
      <c r="D110" s="8" t="n">
        <v>5</v>
      </c>
      <c r="E110" s="8" t="s">
        <v>513</v>
      </c>
      <c r="F110" s="56" t="n">
        <v>12933.1</v>
      </c>
      <c r="G110" s="56" t="n">
        <v>4954.76</v>
      </c>
      <c r="H110" s="43" t="n">
        <v>0.4682</v>
      </c>
      <c r="I110" s="56" t="n">
        <v>80.89</v>
      </c>
      <c r="J110" s="56" t="n">
        <v>990.95</v>
      </c>
      <c r="K110" s="8" t="s">
        <v>581</v>
      </c>
      <c r="L110" s="19" t="n">
        <f aca="false">IF(G110=0,"",F110/G110)</f>
        <v>2.61023742825081</v>
      </c>
      <c r="M110" s="19" t="n">
        <f aca="false">IF(OR(L101="",L101&lt;=0,L110=""),"",L110/L101)</f>
        <v>0.778857463227628</v>
      </c>
      <c r="N110" s="65" t="n">
        <f aca="false">IF(I110=0,"",F110/I110)</f>
        <v>159.885029051799</v>
      </c>
      <c r="O110" s="65" t="n">
        <f aca="false">IF(I110=0,"",G110/I110)</f>
        <v>61.2530597107183</v>
      </c>
      <c r="P110" s="56" t="n">
        <v>6208.51</v>
      </c>
      <c r="Q110" s="56" t="n">
        <v>6661.86</v>
      </c>
    </row>
    <row r="111" customFormat="false" ht="15" hidden="false" customHeight="false" outlineLevel="0" collapsed="false">
      <c r="A111" s="8" t="s">
        <v>62</v>
      </c>
      <c r="B111" s="8" t="s">
        <v>24</v>
      </c>
      <c r="C111" s="8" t="s">
        <v>700</v>
      </c>
      <c r="D111" s="8" t="n">
        <v>5</v>
      </c>
      <c r="E111" s="8" t="s">
        <v>515</v>
      </c>
      <c r="F111" s="56" t="n">
        <v>12799.88</v>
      </c>
      <c r="G111" s="56" t="n">
        <v>4486.83</v>
      </c>
      <c r="H111" s="43" t="n">
        <v>0.4127</v>
      </c>
      <c r="I111" s="56" t="n">
        <v>87.61</v>
      </c>
      <c r="J111" s="56" t="n">
        <v>500</v>
      </c>
      <c r="K111" s="8" t="s">
        <v>581</v>
      </c>
      <c r="L111" s="19" t="n">
        <f aca="false">IF(G111=0,"",F111/G111)</f>
        <v>2.85276687550007</v>
      </c>
      <c r="M111" s="19" t="n">
        <f aca="false">IF(OR(L101="",L101&lt;=0,L111=""),"",L111/L101)</f>
        <v>0.851224776636792</v>
      </c>
      <c r="N111" s="65" t="n">
        <f aca="false">IF(I111=0,"",F111/I111)</f>
        <v>146.100673439105</v>
      </c>
      <c r="O111" s="65" t="n">
        <f aca="false">IF(I111=0,"",G111/I111)</f>
        <v>51.2136742381007</v>
      </c>
      <c r="P111" s="56" t="n">
        <v>6185.71</v>
      </c>
      <c r="Q111" s="56" t="n">
        <v>6551.44</v>
      </c>
    </row>
    <row r="112" customFormat="false" ht="15" hidden="false" customHeight="false" outlineLevel="0" collapsed="false">
      <c r="A112" s="51" t="s">
        <v>62</v>
      </c>
      <c r="B112" s="51" t="s">
        <v>24</v>
      </c>
      <c r="C112" s="51" t="s">
        <v>528</v>
      </c>
      <c r="D112" s="51" t="n">
        <v>1</v>
      </c>
      <c r="E112" s="51" t="s">
        <v>513</v>
      </c>
      <c r="F112" s="52" t="n">
        <v>-83347.48</v>
      </c>
      <c r="G112" s="52" t="n">
        <v>251508.77</v>
      </c>
      <c r="H112" s="53" t="n">
        <v>1.4117</v>
      </c>
      <c r="I112" s="52" t="n">
        <v>4103.64</v>
      </c>
      <c r="J112" s="52" t="n">
        <v>125754.39</v>
      </c>
      <c r="K112" s="51" t="s">
        <v>615</v>
      </c>
      <c r="L112" s="54" t="n">
        <f aca="false">IF(G112=0,"",F112/G112)</f>
        <v>-0.331389955109716</v>
      </c>
      <c r="M112" s="54" t="n">
        <f aca="false">IF(OR(L101="",L101&lt;=0,L112=""),"",L112/L101)</f>
        <v>-0.0988820162420376</v>
      </c>
      <c r="N112" s="64" t="n">
        <f aca="false">IF(I112=0,"",F112/I112)</f>
        <v>-20.3106217894357</v>
      </c>
      <c r="O112" s="64" t="n">
        <f aca="false">IF(I112=0,"",G112/I112)</f>
        <v>61.289189597528</v>
      </c>
      <c r="P112" s="52" t="s">
        <v>699</v>
      </c>
      <c r="Q112" s="52" t="s">
        <v>699</v>
      </c>
    </row>
    <row r="113" customFormat="false" ht="15" hidden="false" customHeight="false" outlineLevel="0" collapsed="false">
      <c r="A113" s="51" t="s">
        <v>62</v>
      </c>
      <c r="B113" s="51" t="s">
        <v>24</v>
      </c>
      <c r="C113" s="51" t="s">
        <v>528</v>
      </c>
      <c r="D113" s="51" t="n">
        <v>1</v>
      </c>
      <c r="E113" s="51" t="s">
        <v>515</v>
      </c>
      <c r="F113" s="52" t="n">
        <v>-10307.8</v>
      </c>
      <c r="G113" s="52" t="n">
        <v>15565.82</v>
      </c>
      <c r="H113" s="53" t="n">
        <v>1.0202</v>
      </c>
      <c r="I113" s="52" t="n">
        <v>439.29</v>
      </c>
      <c r="J113" s="52" t="n">
        <v>500</v>
      </c>
      <c r="K113" s="51" t="s">
        <v>621</v>
      </c>
      <c r="L113" s="54" t="n">
        <f aca="false">IF(G113=0,"",F113/G113)</f>
        <v>-0.662207323481834</v>
      </c>
      <c r="M113" s="54" t="n">
        <f aca="false">IF(OR(L101="",L101&lt;=0,L113=""),"",L113/L101)</f>
        <v>-0.197593180802501</v>
      </c>
      <c r="N113" s="64" t="n">
        <f aca="false">IF(I113=0,"",F113/I113)</f>
        <v>-23.4646816453823</v>
      </c>
      <c r="O113" s="64" t="n">
        <f aca="false">IF(I113=0,"",G113/I113)</f>
        <v>35.4340412939061</v>
      </c>
      <c r="P113" s="52" t="s">
        <v>699</v>
      </c>
      <c r="Q113" s="52" t="n">
        <v>27563.84</v>
      </c>
    </row>
    <row r="114" customFormat="false" ht="15" hidden="false" customHeight="false" outlineLevel="0" collapsed="false">
      <c r="A114" s="51" t="s">
        <v>62</v>
      </c>
      <c r="B114" s="51" t="s">
        <v>24</v>
      </c>
      <c r="C114" s="51" t="s">
        <v>528</v>
      </c>
      <c r="D114" s="51" t="n">
        <v>2</v>
      </c>
      <c r="E114" s="51" t="s">
        <v>513</v>
      </c>
      <c r="F114" s="52" t="n">
        <v>-10441.59</v>
      </c>
      <c r="G114" s="52" t="n">
        <v>18123.3</v>
      </c>
      <c r="H114" s="53" t="n">
        <v>1.025</v>
      </c>
      <c r="I114" s="52" t="n">
        <v>358.89</v>
      </c>
      <c r="J114" s="52" t="n">
        <v>6041.1</v>
      </c>
      <c r="K114" s="51" t="s">
        <v>615</v>
      </c>
      <c r="L114" s="54" t="n">
        <f aca="false">IF(G114=0,"",F114/G114)</f>
        <v>-0.57614176226184</v>
      </c>
      <c r="M114" s="54" t="n">
        <f aca="false">IF(OR(L101="",L101&lt;=0,L114=""),"",L114/L101)</f>
        <v>-0.171912450016265</v>
      </c>
      <c r="N114" s="64" t="n">
        <f aca="false">IF(I114=0,"",F114/I114)</f>
        <v>-29.0941235476051</v>
      </c>
      <c r="O114" s="64" t="n">
        <f aca="false">IF(I114=0,"",G114/I114)</f>
        <v>50.4982027919418</v>
      </c>
      <c r="P114" s="52" t="s">
        <v>699</v>
      </c>
      <c r="Q114" s="52" t="s">
        <v>699</v>
      </c>
    </row>
    <row r="115" customFormat="false" ht="15" hidden="false" customHeight="false" outlineLevel="0" collapsed="false">
      <c r="A115" s="51" t="s">
        <v>62</v>
      </c>
      <c r="B115" s="51" t="s">
        <v>24</v>
      </c>
      <c r="C115" s="51" t="s">
        <v>528</v>
      </c>
      <c r="D115" s="51" t="n">
        <v>2</v>
      </c>
      <c r="E115" s="51" t="s">
        <v>515</v>
      </c>
      <c r="F115" s="52" t="n">
        <v>-10409.76</v>
      </c>
      <c r="G115" s="52" t="n">
        <v>14689.44</v>
      </c>
      <c r="H115" s="53" t="n">
        <v>1.0287</v>
      </c>
      <c r="I115" s="52" t="n">
        <v>333.12</v>
      </c>
      <c r="J115" s="52" t="n">
        <v>500</v>
      </c>
      <c r="K115" s="51" t="s">
        <v>617</v>
      </c>
      <c r="L115" s="54" t="n">
        <f aca="false">IF(G115=0,"",F115/G115)</f>
        <v>-0.708656014116263</v>
      </c>
      <c r="M115" s="54" t="n">
        <f aca="false">IF(OR(L101="",L101&lt;=0,L115=""),"",L115/L101)</f>
        <v>-0.211452804822228</v>
      </c>
      <c r="N115" s="64" t="n">
        <f aca="false">IF(I115=0,"",F115/I115)</f>
        <v>-31.2492795389049</v>
      </c>
      <c r="O115" s="64" t="n">
        <f aca="false">IF(I115=0,"",G115/I115)</f>
        <v>44.0965417867435</v>
      </c>
      <c r="P115" s="52" t="s">
        <v>699</v>
      </c>
      <c r="Q115" s="52" t="n">
        <v>22031.54</v>
      </c>
    </row>
    <row r="116" customFormat="false" ht="15" hidden="false" customHeight="false" outlineLevel="0" collapsed="false">
      <c r="A116" s="51" t="s">
        <v>62</v>
      </c>
      <c r="B116" s="51" t="s">
        <v>24</v>
      </c>
      <c r="C116" s="51" t="s">
        <v>528</v>
      </c>
      <c r="D116" s="51" t="n">
        <v>3</v>
      </c>
      <c r="E116" s="51" t="s">
        <v>513</v>
      </c>
      <c r="F116" s="52" t="n">
        <v>-11644.38</v>
      </c>
      <c r="G116" s="52" t="n">
        <v>13153.87</v>
      </c>
      <c r="H116" s="53" t="n">
        <v>1.1429</v>
      </c>
      <c r="I116" s="52" t="n">
        <v>176.82</v>
      </c>
      <c r="J116" s="52" t="n">
        <v>3288.47</v>
      </c>
      <c r="K116" s="51" t="s">
        <v>628</v>
      </c>
      <c r="L116" s="54" t="n">
        <f aca="false">IF(G116=0,"",F116/G116)</f>
        <v>-0.88524365833021</v>
      </c>
      <c r="M116" s="54" t="n">
        <f aca="false">IF(OR(L101="",L101&lt;=0,L116=""),"",L116/L101)</f>
        <v>-0.264144028663113</v>
      </c>
      <c r="N116" s="64" t="n">
        <f aca="false">IF(I116=0,"",F116/I116)</f>
        <v>-65.8544282321005</v>
      </c>
      <c r="O116" s="64" t="n">
        <f aca="false">IF(I116=0,"",G116/I116)</f>
        <v>74.3913018889266</v>
      </c>
      <c r="P116" s="52" t="s">
        <v>699</v>
      </c>
      <c r="Q116" s="52" t="s">
        <v>699</v>
      </c>
    </row>
    <row r="117" customFormat="false" ht="15" hidden="false" customHeight="false" outlineLevel="0" collapsed="false">
      <c r="A117" s="51" t="s">
        <v>62</v>
      </c>
      <c r="B117" s="51" t="s">
        <v>24</v>
      </c>
      <c r="C117" s="51" t="s">
        <v>528</v>
      </c>
      <c r="D117" s="51" t="n">
        <v>3</v>
      </c>
      <c r="E117" s="51" t="s">
        <v>515</v>
      </c>
      <c r="F117" s="52" t="n">
        <v>-10261.92</v>
      </c>
      <c r="G117" s="52" t="n">
        <v>11771.41</v>
      </c>
      <c r="H117" s="53" t="n">
        <v>1.0228</v>
      </c>
      <c r="I117" s="52" t="n">
        <v>238.94</v>
      </c>
      <c r="J117" s="52" t="n">
        <v>500</v>
      </c>
      <c r="K117" s="51" t="s">
        <v>629</v>
      </c>
      <c r="L117" s="54" t="n">
        <f aca="false">IF(G117=0,"",F117/G117)</f>
        <v>-0.871766423903339</v>
      </c>
      <c r="M117" s="54" t="n">
        <f aca="false">IF(OR(L101="",L101&lt;=0,L117=""),"",L117/L101)</f>
        <v>-0.260122614939047</v>
      </c>
      <c r="N117" s="64" t="n">
        <f aca="false">IF(I117=0,"",F117/I117)</f>
        <v>-42.9476856114506</v>
      </c>
      <c r="O117" s="64" t="n">
        <f aca="false">IF(I117=0,"",G117/I117)</f>
        <v>49.2651293211685</v>
      </c>
      <c r="P117" s="52" t="s">
        <v>699</v>
      </c>
      <c r="Q117" s="52" t="s">
        <v>699</v>
      </c>
    </row>
    <row r="118" customFormat="false" ht="15" hidden="false" customHeight="false" outlineLevel="0" collapsed="false">
      <c r="A118" s="51" t="s">
        <v>62</v>
      </c>
      <c r="B118" s="51" t="s">
        <v>24</v>
      </c>
      <c r="C118" s="51" t="s">
        <v>528</v>
      </c>
      <c r="D118" s="51" t="n">
        <v>4</v>
      </c>
      <c r="E118" s="51" t="s">
        <v>513</v>
      </c>
      <c r="F118" s="52" t="n">
        <v>-11414.53</v>
      </c>
      <c r="G118" s="52" t="n">
        <v>12391.45</v>
      </c>
      <c r="H118" s="53" t="n">
        <v>1.1289</v>
      </c>
      <c r="I118" s="52" t="n">
        <v>153.12</v>
      </c>
      <c r="J118" s="52" t="n">
        <v>2478.29</v>
      </c>
      <c r="K118" s="51" t="s">
        <v>709</v>
      </c>
      <c r="L118" s="54" t="n">
        <f aca="false">IF(G118=0,"",F118/G118)</f>
        <v>-0.921161768800262</v>
      </c>
      <c r="M118" s="54" t="n">
        <f aca="false">IF(OR(L101="",L101&lt;=0,L118=""),"",L118/L101)</f>
        <v>-0.27486147838698</v>
      </c>
      <c r="N118" s="64" t="n">
        <f aca="false">IF(I118=0,"",F118/I118)</f>
        <v>-74.5463035527691</v>
      </c>
      <c r="O118" s="64" t="n">
        <f aca="false">IF(I118=0,"",G118/I118)</f>
        <v>80.9263975966562</v>
      </c>
      <c r="P118" s="52" t="s">
        <v>699</v>
      </c>
      <c r="Q118" s="52" t="s">
        <v>699</v>
      </c>
    </row>
    <row r="119" customFormat="false" ht="15" hidden="false" customHeight="false" outlineLevel="0" collapsed="false">
      <c r="A119" s="51" t="s">
        <v>62</v>
      </c>
      <c r="B119" s="51" t="s">
        <v>24</v>
      </c>
      <c r="C119" s="51" t="s">
        <v>528</v>
      </c>
      <c r="D119" s="51" t="n">
        <v>4</v>
      </c>
      <c r="E119" s="51" t="s">
        <v>515</v>
      </c>
      <c r="F119" s="52" t="n">
        <v>-10042.84</v>
      </c>
      <c r="G119" s="52" t="n">
        <v>11019.76</v>
      </c>
      <c r="H119" s="53" t="n">
        <v>1.0039</v>
      </c>
      <c r="I119" s="52" t="n">
        <v>243.42</v>
      </c>
      <c r="J119" s="52" t="n">
        <v>500</v>
      </c>
      <c r="K119" s="51" t="s">
        <v>710</v>
      </c>
      <c r="L119" s="54" t="n">
        <f aca="false">IF(G119=0,"",F119/G119)</f>
        <v>-0.911348341524679</v>
      </c>
      <c r="M119" s="54" t="n">
        <f aca="false">IF(OR(L101="",L101&lt;=0,L119=""),"",L119/L101)</f>
        <v>-0.271933292241649</v>
      </c>
      <c r="N119" s="64" t="n">
        <f aca="false">IF(I119=0,"",F119/I119)</f>
        <v>-41.2572508421658</v>
      </c>
      <c r="O119" s="64" t="n">
        <f aca="false">IF(I119=0,"",G119/I119)</f>
        <v>45.2705611699943</v>
      </c>
      <c r="P119" s="52" t="s">
        <v>699</v>
      </c>
      <c r="Q119" s="52" t="s">
        <v>699</v>
      </c>
    </row>
    <row r="120" customFormat="false" ht="15" hidden="false" customHeight="false" outlineLevel="0" collapsed="false">
      <c r="A120" s="8" t="s">
        <v>62</v>
      </c>
      <c r="B120" s="8" t="s">
        <v>24</v>
      </c>
      <c r="C120" s="8" t="s">
        <v>528</v>
      </c>
      <c r="D120" s="8" t="n">
        <v>5</v>
      </c>
      <c r="E120" s="8" t="s">
        <v>513</v>
      </c>
      <c r="F120" s="56" t="n">
        <v>104752.26</v>
      </c>
      <c r="G120" s="56" t="n">
        <v>46644.49</v>
      </c>
      <c r="H120" s="43" t="n">
        <v>0.8159</v>
      </c>
      <c r="I120" s="56" t="n">
        <v>577.11</v>
      </c>
      <c r="J120" s="56" t="n">
        <v>9328.9</v>
      </c>
      <c r="K120" s="8" t="s">
        <v>581</v>
      </c>
      <c r="L120" s="19" t="n">
        <f aca="false">IF(G120=0,"",F120/G120)</f>
        <v>2.24575850223681</v>
      </c>
      <c r="M120" s="19" t="n">
        <f aca="false">IF(OR(L101="",L101&lt;=0,L120=""),"",L120/L101)</f>
        <v>0.67010217198754</v>
      </c>
      <c r="N120" s="65" t="n">
        <f aca="false">IF(I120=0,"",F120/I120)</f>
        <v>181.511774185164</v>
      </c>
      <c r="O120" s="65" t="n">
        <f aca="false">IF(I120=0,"",G120/I120)</f>
        <v>80.8242622723571</v>
      </c>
      <c r="P120" s="56" t="n">
        <v>40446.09</v>
      </c>
      <c r="Q120" s="56" t="s">
        <v>699</v>
      </c>
    </row>
    <row r="121" customFormat="false" ht="15" hidden="false" customHeight="false" outlineLevel="0" collapsed="false">
      <c r="A121" s="51" t="s">
        <v>62</v>
      </c>
      <c r="B121" s="51" t="s">
        <v>24</v>
      </c>
      <c r="C121" s="51" t="s">
        <v>528</v>
      </c>
      <c r="D121" s="51" t="n">
        <v>5</v>
      </c>
      <c r="E121" s="51" t="s">
        <v>515</v>
      </c>
      <c r="F121" s="52" t="n">
        <v>-10171.42</v>
      </c>
      <c r="G121" s="52" t="n">
        <v>10794.77</v>
      </c>
      <c r="H121" s="53" t="n">
        <v>1.0161</v>
      </c>
      <c r="I121" s="52" t="n">
        <v>231.82</v>
      </c>
      <c r="J121" s="52" t="n">
        <v>500</v>
      </c>
      <c r="K121" s="51" t="s">
        <v>619</v>
      </c>
      <c r="L121" s="54" t="n">
        <f aca="false">IF(G121=0,"",F121/G121)</f>
        <v>-0.942254443587033</v>
      </c>
      <c r="M121" s="54" t="n">
        <f aca="false">IF(OR(L101="",L101&lt;=0,L121=""),"",L121/L101)</f>
        <v>-0.281155230441604</v>
      </c>
      <c r="N121" s="64" t="n">
        <f aca="false">IF(I121=0,"",F121/I121)</f>
        <v>-43.8763695971012</v>
      </c>
      <c r="O121" s="64" t="n">
        <f aca="false">IF(I121=0,"",G121/I121)</f>
        <v>46.5653092916918</v>
      </c>
      <c r="P121" s="52" t="s">
        <v>699</v>
      </c>
      <c r="Q121" s="52" t="s">
        <v>699</v>
      </c>
    </row>
    <row r="123" customFormat="false" ht="15" hidden="false" customHeight="false" outlineLevel="0" collapsed="false">
      <c r="A123" s="5" t="s">
        <v>62</v>
      </c>
      <c r="B123" s="5" t="s">
        <v>59</v>
      </c>
      <c r="C123" s="5" t="s">
        <v>698</v>
      </c>
      <c r="D123" s="5" t="s">
        <v>549</v>
      </c>
      <c r="E123" s="5" t="s">
        <v>549</v>
      </c>
      <c r="F123" s="62" t="n">
        <v>3667.19</v>
      </c>
      <c r="G123" s="62" t="n">
        <v>1261.28</v>
      </c>
      <c r="H123" s="42" t="n">
        <v>0.0948</v>
      </c>
      <c r="I123" s="62" t="n">
        <v>50</v>
      </c>
      <c r="J123" s="62" t="n">
        <v>50</v>
      </c>
      <c r="K123" s="5" t="s">
        <v>581</v>
      </c>
      <c r="L123" s="21" t="n">
        <f aca="false">IF(G123=0,"",F123/G123)</f>
        <v>2.90751458835469</v>
      </c>
      <c r="M123" s="21" t="n">
        <v>1</v>
      </c>
      <c r="N123" s="63" t="n">
        <f aca="false">IF(I123=0,"",F123/I123)</f>
        <v>73.3438</v>
      </c>
      <c r="O123" s="63" t="n">
        <f aca="false">IF(I123=0,"",G123/I123)</f>
        <v>25.2256</v>
      </c>
      <c r="P123" s="62" t="n">
        <v>1880.71</v>
      </c>
      <c r="Q123" s="62" t="n">
        <v>1786.48</v>
      </c>
    </row>
    <row r="124" customFormat="false" ht="15" hidden="false" customHeight="false" outlineLevel="0" collapsed="false">
      <c r="A124" s="51" t="s">
        <v>62</v>
      </c>
      <c r="B124" s="51" t="s">
        <v>59</v>
      </c>
      <c r="C124" s="51" t="s">
        <v>700</v>
      </c>
      <c r="D124" s="51" t="n">
        <v>1</v>
      </c>
      <c r="E124" s="51" t="s">
        <v>513</v>
      </c>
      <c r="F124" s="52" t="n">
        <v>-10350.64</v>
      </c>
      <c r="G124" s="52" t="n">
        <v>15354.93</v>
      </c>
      <c r="H124" s="53" t="n">
        <v>1.0234</v>
      </c>
      <c r="I124" s="52" t="n">
        <v>476.73</v>
      </c>
      <c r="J124" s="52" t="n">
        <v>8041.75</v>
      </c>
      <c r="K124" s="51" t="s">
        <v>631</v>
      </c>
      <c r="L124" s="54" t="n">
        <f aca="false">IF(G124=0,"",F124/G124)</f>
        <v>-0.674092294787407</v>
      </c>
      <c r="M124" s="54" t="n">
        <f aca="false">IF(OR(L123="",L123&lt;=0,L124=""),"",L124/L123)</f>
        <v>-0.23184485384435</v>
      </c>
      <c r="N124" s="64" t="n">
        <f aca="false">IF(I124=0,"",F124/I124)</f>
        <v>-21.7117445933757</v>
      </c>
      <c r="O124" s="64" t="n">
        <f aca="false">IF(I124=0,"",G124/I124)</f>
        <v>32.2088603612107</v>
      </c>
      <c r="P124" s="52" t="s">
        <v>699</v>
      </c>
      <c r="Q124" s="52" t="s">
        <v>699</v>
      </c>
    </row>
    <row r="125" customFormat="false" ht="15" hidden="false" customHeight="false" outlineLevel="0" collapsed="false">
      <c r="A125" s="8" t="s">
        <v>62</v>
      </c>
      <c r="B125" s="8" t="s">
        <v>59</v>
      </c>
      <c r="C125" s="8" t="s">
        <v>700</v>
      </c>
      <c r="D125" s="8" t="n">
        <v>1</v>
      </c>
      <c r="E125" s="8" t="s">
        <v>515</v>
      </c>
      <c r="F125" s="56" t="n">
        <v>17372.32</v>
      </c>
      <c r="G125" s="56" t="n">
        <v>10645.38</v>
      </c>
      <c r="H125" s="43" t="n">
        <v>0.665</v>
      </c>
      <c r="I125" s="56" t="n">
        <v>320.98</v>
      </c>
      <c r="J125" s="56" t="n">
        <v>500</v>
      </c>
      <c r="K125" s="8" t="s">
        <v>581</v>
      </c>
      <c r="L125" s="19" t="n">
        <f aca="false">IF(G125=0,"",F125/G125)</f>
        <v>1.63191168375389</v>
      </c>
      <c r="M125" s="19" t="n">
        <f aca="false">IF(OR(L123="",L123&lt;=0,L125=""),"",L125/L123)</f>
        <v>0.561273773239213</v>
      </c>
      <c r="N125" s="65" t="n">
        <f aca="false">IF(I125=0,"",F125/I125)</f>
        <v>54.1227490809396</v>
      </c>
      <c r="O125" s="65" t="n">
        <f aca="false">IF(I125=0,"",G125/I125)</f>
        <v>33.1652439404324</v>
      </c>
      <c r="P125" s="56" t="n">
        <v>10678.47</v>
      </c>
      <c r="Q125" s="56" t="n">
        <v>5211.35</v>
      </c>
    </row>
    <row r="126" customFormat="false" ht="15" hidden="false" customHeight="false" outlineLevel="0" collapsed="false">
      <c r="A126" s="8" t="s">
        <v>62</v>
      </c>
      <c r="B126" s="8" t="s">
        <v>59</v>
      </c>
      <c r="C126" s="8" t="s">
        <v>700</v>
      </c>
      <c r="D126" s="8" t="n">
        <v>2</v>
      </c>
      <c r="E126" s="8" t="s">
        <v>513</v>
      </c>
      <c r="F126" s="56" t="n">
        <v>15257.24</v>
      </c>
      <c r="G126" s="56" t="n">
        <v>18112.33</v>
      </c>
      <c r="H126" s="43" t="n">
        <v>0.7554</v>
      </c>
      <c r="I126" s="56" t="n">
        <v>121.01</v>
      </c>
      <c r="J126" s="56" t="n">
        <v>9056.16</v>
      </c>
      <c r="K126" s="8" t="s">
        <v>581</v>
      </c>
      <c r="L126" s="19" t="n">
        <f aca="false">IF(G126=0,"",F126/G126)</f>
        <v>0.842367602622081</v>
      </c>
      <c r="M126" s="19" t="n">
        <f aca="false">IF(OR(L123="",L123&lt;=0,L126=""),"",L126/L123)</f>
        <v>0.289720851615318</v>
      </c>
      <c r="N126" s="65" t="n">
        <f aca="false">IF(I126=0,"",F126/I126)</f>
        <v>126.082472522932</v>
      </c>
      <c r="O126" s="65" t="n">
        <f aca="false">IF(I126=0,"",G126/I126)</f>
        <v>149.676307743162</v>
      </c>
      <c r="P126" s="56" t="n">
        <v>7046.04</v>
      </c>
      <c r="Q126" s="56" t="s">
        <v>699</v>
      </c>
    </row>
    <row r="127" customFormat="false" ht="15" hidden="false" customHeight="false" outlineLevel="0" collapsed="false">
      <c r="A127" s="8" t="s">
        <v>62</v>
      </c>
      <c r="B127" s="8" t="s">
        <v>59</v>
      </c>
      <c r="C127" s="8" t="s">
        <v>700</v>
      </c>
      <c r="D127" s="8" t="n">
        <v>2</v>
      </c>
      <c r="E127" s="8" t="s">
        <v>515</v>
      </c>
      <c r="F127" s="56" t="n">
        <v>12817.14</v>
      </c>
      <c r="G127" s="56" t="n">
        <v>6562.74</v>
      </c>
      <c r="H127" s="43" t="n">
        <v>0.5707</v>
      </c>
      <c r="I127" s="56" t="n">
        <v>157.78</v>
      </c>
      <c r="J127" s="56" t="n">
        <v>500</v>
      </c>
      <c r="K127" s="8" t="s">
        <v>581</v>
      </c>
      <c r="L127" s="19" t="n">
        <f aca="false">IF(G127=0,"",F127/G127)</f>
        <v>1.95301657539381</v>
      </c>
      <c r="M127" s="19" t="n">
        <f aca="false">IF(OR(L123="",L123&lt;=0,L127=""),"",L127/L123)</f>
        <v>0.671713422596787</v>
      </c>
      <c r="N127" s="65" t="n">
        <f aca="false">IF(I127=0,"",F127/I127)</f>
        <v>81.2342502218279</v>
      </c>
      <c r="O127" s="65" t="n">
        <f aca="false">IF(I127=0,"",G127/I127)</f>
        <v>41.5942451514767</v>
      </c>
      <c r="P127" s="56" t="n">
        <v>6205.01</v>
      </c>
      <c r="Q127" s="56" t="n">
        <v>6527.42</v>
      </c>
    </row>
    <row r="128" customFormat="false" ht="15" hidden="false" customHeight="false" outlineLevel="0" collapsed="false">
      <c r="A128" s="8" t="s">
        <v>62</v>
      </c>
      <c r="B128" s="8" t="s">
        <v>59</v>
      </c>
      <c r="C128" s="8" t="s">
        <v>700</v>
      </c>
      <c r="D128" s="8" t="n">
        <v>3</v>
      </c>
      <c r="E128" s="8" t="s">
        <v>513</v>
      </c>
      <c r="F128" s="56" t="n">
        <v>10568.93</v>
      </c>
      <c r="G128" s="56" t="n">
        <v>5357.44</v>
      </c>
      <c r="H128" s="43" t="n">
        <v>0.2691</v>
      </c>
      <c r="I128" s="56" t="n">
        <v>85.27</v>
      </c>
      <c r="J128" s="56" t="n">
        <v>1785.81</v>
      </c>
      <c r="K128" s="8" t="s">
        <v>581</v>
      </c>
      <c r="L128" s="19" t="n">
        <f aca="false">IF(G128=0,"",F128/G128)</f>
        <v>1.97275751105005</v>
      </c>
      <c r="M128" s="19" t="n">
        <f aca="false">IF(OR(L123="",L123&lt;=0,L128=""),"",L128/L123)</f>
        <v>0.678503048256897</v>
      </c>
      <c r="N128" s="65" t="n">
        <f aca="false">IF(I128=0,"",F128/I128)</f>
        <v>123.946640084438</v>
      </c>
      <c r="O128" s="65" t="n">
        <f aca="false">IF(I128=0,"",G128/I128)</f>
        <v>62.8291309956608</v>
      </c>
      <c r="P128" s="56" t="n">
        <v>4677.21</v>
      </c>
      <c r="Q128" s="56" t="n">
        <v>5549.04</v>
      </c>
    </row>
    <row r="129" customFormat="false" ht="15" hidden="false" customHeight="false" outlineLevel="0" collapsed="false">
      <c r="A129" s="8" t="s">
        <v>62</v>
      </c>
      <c r="B129" s="8" t="s">
        <v>59</v>
      </c>
      <c r="C129" s="8" t="s">
        <v>700</v>
      </c>
      <c r="D129" s="8" t="n">
        <v>3</v>
      </c>
      <c r="E129" s="8" t="s">
        <v>515</v>
      </c>
      <c r="F129" s="56" t="n">
        <v>10359.21</v>
      </c>
      <c r="G129" s="56" t="n">
        <v>3980.68</v>
      </c>
      <c r="H129" s="43" t="n">
        <v>0.2004</v>
      </c>
      <c r="I129" s="56" t="n">
        <v>91.11</v>
      </c>
      <c r="J129" s="56" t="n">
        <v>500</v>
      </c>
      <c r="K129" s="8" t="s">
        <v>581</v>
      </c>
      <c r="L129" s="19" t="n">
        <f aca="false">IF(G129=0,"",F129/G129)</f>
        <v>2.60237195655014</v>
      </c>
      <c r="M129" s="19" t="n">
        <f aca="false">IF(OR(L123="",L123&lt;=0,L129=""),"",L129/L123)</f>
        <v>0.895050352274509</v>
      </c>
      <c r="N129" s="65" t="n">
        <f aca="false">IF(I129=0,"",F129/I129)</f>
        <v>113.700032927231</v>
      </c>
      <c r="O129" s="65" t="n">
        <f aca="false">IF(I129=0,"",G129/I129)</f>
        <v>43.6909230600373</v>
      </c>
      <c r="P129" s="56" t="n">
        <v>4673.89</v>
      </c>
      <c r="Q129" s="56" t="n">
        <v>5342.64</v>
      </c>
    </row>
    <row r="130" customFormat="false" ht="15" hidden="false" customHeight="false" outlineLevel="0" collapsed="false">
      <c r="A130" s="8" t="s">
        <v>62</v>
      </c>
      <c r="B130" s="8" t="s">
        <v>59</v>
      </c>
      <c r="C130" s="8" t="s">
        <v>700</v>
      </c>
      <c r="D130" s="8" t="n">
        <v>4</v>
      </c>
      <c r="E130" s="8" t="s">
        <v>513</v>
      </c>
      <c r="F130" s="56" t="n">
        <v>8472.41</v>
      </c>
      <c r="G130" s="56" t="n">
        <v>2725.38</v>
      </c>
      <c r="H130" s="43" t="n">
        <v>0.1507</v>
      </c>
      <c r="I130" s="56" t="n">
        <v>73.79</v>
      </c>
      <c r="J130" s="56" t="n">
        <v>681.34</v>
      </c>
      <c r="K130" s="8" t="s">
        <v>581</v>
      </c>
      <c r="L130" s="19" t="n">
        <f aca="false">IF(G130=0,"",F130/G130)</f>
        <v>3.10870777653025</v>
      </c>
      <c r="M130" s="19" t="n">
        <f aca="false">IF(OR(L123="",L123&lt;=0,L130=""),"",L130/L123)</f>
        <v>1.0691976538936</v>
      </c>
      <c r="N130" s="65" t="n">
        <f aca="false">IF(I130=0,"",F130/I130)</f>
        <v>114.817861498848</v>
      </c>
      <c r="O130" s="65" t="n">
        <f aca="false">IF(I130=0,"",G130/I130)</f>
        <v>36.9342729367123</v>
      </c>
      <c r="P130" s="56" t="n">
        <v>3653.15</v>
      </c>
      <c r="Q130" s="56" t="n">
        <v>4520.4</v>
      </c>
    </row>
    <row r="131" customFormat="false" ht="15" hidden="false" customHeight="false" outlineLevel="0" collapsed="false">
      <c r="A131" s="8" t="s">
        <v>62</v>
      </c>
      <c r="B131" s="8" t="s">
        <v>59</v>
      </c>
      <c r="C131" s="8" t="s">
        <v>700</v>
      </c>
      <c r="D131" s="8" t="n">
        <v>4</v>
      </c>
      <c r="E131" s="8" t="s">
        <v>515</v>
      </c>
      <c r="F131" s="56" t="n">
        <v>8460.08</v>
      </c>
      <c r="G131" s="56" t="n">
        <v>2680.3</v>
      </c>
      <c r="H131" s="43" t="n">
        <v>0.1482</v>
      </c>
      <c r="I131" s="56" t="n">
        <v>73.99</v>
      </c>
      <c r="J131" s="56" t="n">
        <v>500</v>
      </c>
      <c r="K131" s="8" t="s">
        <v>581</v>
      </c>
      <c r="L131" s="19" t="n">
        <f aca="false">IF(G131=0,"",F131/G131)</f>
        <v>3.15639294108868</v>
      </c>
      <c r="M131" s="19" t="n">
        <f aca="false">IF(OR(L123="",L123&lt;=0,L131=""),"",L131/L123)</f>
        <v>1.08559831607752</v>
      </c>
      <c r="N131" s="65" t="n">
        <f aca="false">IF(I131=0,"",F131/I131)</f>
        <v>114.34085687255</v>
      </c>
      <c r="O131" s="65" t="n">
        <f aca="false">IF(I131=0,"",G131/I131)</f>
        <v>36.2251655629139</v>
      </c>
      <c r="P131" s="56" t="n">
        <v>3653.15</v>
      </c>
      <c r="Q131" s="56" t="n">
        <v>4508.08</v>
      </c>
    </row>
    <row r="132" customFormat="false" ht="15" hidden="false" customHeight="false" outlineLevel="0" collapsed="false">
      <c r="A132" s="8" t="s">
        <v>62</v>
      </c>
      <c r="B132" s="8" t="s">
        <v>59</v>
      </c>
      <c r="C132" s="8" t="s">
        <v>700</v>
      </c>
      <c r="D132" s="8" t="n">
        <v>5</v>
      </c>
      <c r="E132" s="8" t="s">
        <v>513</v>
      </c>
      <c r="F132" s="56" t="n">
        <v>7224.69</v>
      </c>
      <c r="G132" s="56" t="n">
        <v>1812.24</v>
      </c>
      <c r="H132" s="43" t="n">
        <v>0.1067</v>
      </c>
      <c r="I132" s="56" t="n">
        <v>67.3</v>
      </c>
      <c r="J132" s="56" t="n">
        <v>362.45</v>
      </c>
      <c r="K132" s="8" t="s">
        <v>581</v>
      </c>
      <c r="L132" s="19" t="n">
        <f aca="false">IF(G132=0,"",F132/G132)</f>
        <v>3.98660773407496</v>
      </c>
      <c r="M132" s="19" t="n">
        <f aca="false">IF(OR(L123="",L123&lt;=0,L132=""),"",L132/L123)</f>
        <v>1.37113937451674</v>
      </c>
      <c r="N132" s="65" t="n">
        <f aca="false">IF(I132=0,"",F132/I132)</f>
        <v>107.350520059435</v>
      </c>
      <c r="O132" s="65" t="n">
        <f aca="false">IF(I132=0,"",G132/I132)</f>
        <v>26.9277860326895</v>
      </c>
      <c r="P132" s="56" t="n">
        <v>3116.87</v>
      </c>
      <c r="Q132" s="56" t="n">
        <v>3886.79</v>
      </c>
    </row>
    <row r="133" customFormat="false" ht="15" hidden="false" customHeight="false" outlineLevel="0" collapsed="false">
      <c r="A133" s="8" t="s">
        <v>62</v>
      </c>
      <c r="B133" s="8" t="s">
        <v>59</v>
      </c>
      <c r="C133" s="8" t="s">
        <v>700</v>
      </c>
      <c r="D133" s="8" t="n">
        <v>5</v>
      </c>
      <c r="E133" s="8" t="s">
        <v>515</v>
      </c>
      <c r="F133" s="56" t="n">
        <v>7224.69</v>
      </c>
      <c r="G133" s="56" t="n">
        <v>1812.24</v>
      </c>
      <c r="H133" s="43" t="n">
        <v>0.1067</v>
      </c>
      <c r="I133" s="56" t="n">
        <v>67.3</v>
      </c>
      <c r="J133" s="56" t="n">
        <v>362.45</v>
      </c>
      <c r="K133" s="8" t="s">
        <v>581</v>
      </c>
      <c r="L133" s="19" t="n">
        <f aca="false">IF(G133=0,"",F133/G133)</f>
        <v>3.98660773407496</v>
      </c>
      <c r="M133" s="19" t="n">
        <f aca="false">IF(OR(L123="",L123&lt;=0,L133=""),"",L133/L123)</f>
        <v>1.37113937451674</v>
      </c>
      <c r="N133" s="65" t="n">
        <f aca="false">IF(I133=0,"",F133/I133)</f>
        <v>107.350520059435</v>
      </c>
      <c r="O133" s="65" t="n">
        <f aca="false">IF(I133=0,"",G133/I133)</f>
        <v>26.9277860326895</v>
      </c>
      <c r="P133" s="56" t="n">
        <v>3116.87</v>
      </c>
      <c r="Q133" s="56" t="n">
        <v>3886.79</v>
      </c>
    </row>
    <row r="134" customFormat="false" ht="15" hidden="false" customHeight="false" outlineLevel="0" collapsed="false">
      <c r="A134" s="51" t="s">
        <v>62</v>
      </c>
      <c r="B134" s="51" t="s">
        <v>59</v>
      </c>
      <c r="C134" s="51" t="s">
        <v>528</v>
      </c>
      <c r="D134" s="51" t="n">
        <v>1</v>
      </c>
      <c r="E134" s="51" t="s">
        <v>513</v>
      </c>
      <c r="F134" s="52" t="n">
        <v>-11914.15</v>
      </c>
      <c r="G134" s="52" t="n">
        <v>16648.82</v>
      </c>
      <c r="H134" s="53" t="n">
        <v>1.1299</v>
      </c>
      <c r="I134" s="52" t="n">
        <v>365.13</v>
      </c>
      <c r="J134" s="52" t="n">
        <v>8324.41</v>
      </c>
      <c r="K134" s="51" t="s">
        <v>711</v>
      </c>
      <c r="L134" s="54" t="n">
        <f aca="false">IF(G134=0,"",F134/G134)</f>
        <v>-0.715615280842726</v>
      </c>
      <c r="M134" s="54" t="n">
        <f aca="false">IF(OR(L123="",L123&lt;=0,L134=""),"",L134/L123)</f>
        <v>-0.246126118750682</v>
      </c>
      <c r="N134" s="64" t="n">
        <f aca="false">IF(I134=0,"",F134/I134)</f>
        <v>-32.6298852463506</v>
      </c>
      <c r="O134" s="64" t="n">
        <f aca="false">IF(I134=0,"",G134/I134)</f>
        <v>45.5969654643552</v>
      </c>
      <c r="P134" s="52" t="s">
        <v>699</v>
      </c>
      <c r="Q134" s="52" t="s">
        <v>699</v>
      </c>
    </row>
    <row r="135" customFormat="false" ht="15" hidden="false" customHeight="false" outlineLevel="0" collapsed="false">
      <c r="A135" s="8" t="s">
        <v>62</v>
      </c>
      <c r="B135" s="8" t="s">
        <v>59</v>
      </c>
      <c r="C135" s="8" t="s">
        <v>528</v>
      </c>
      <c r="D135" s="8" t="n">
        <v>1</v>
      </c>
      <c r="E135" s="8" t="s">
        <v>515</v>
      </c>
      <c r="F135" s="56" t="n">
        <v>34687.35</v>
      </c>
      <c r="G135" s="56" t="n">
        <v>12549.75</v>
      </c>
      <c r="H135" s="43" t="n">
        <v>0.5842</v>
      </c>
      <c r="I135" s="56" t="n">
        <v>475.01</v>
      </c>
      <c r="J135" s="56" t="n">
        <v>500</v>
      </c>
      <c r="K135" s="8" t="s">
        <v>581</v>
      </c>
      <c r="L135" s="19" t="n">
        <f aca="false">IF(G135=0,"",F135/G135)</f>
        <v>2.76398733042491</v>
      </c>
      <c r="M135" s="19" t="n">
        <f aca="false">IF(OR(L123="",L123&lt;=0,L135=""),"",L135/L123)</f>
        <v>0.950635756565198</v>
      </c>
      <c r="N135" s="65" t="n">
        <f aca="false">IF(I135=0,"",F135/I135)</f>
        <v>73.0244626428917</v>
      </c>
      <c r="O135" s="65" t="n">
        <f aca="false">IF(I135=0,"",G135/I135)</f>
        <v>26.4199701058925</v>
      </c>
      <c r="P135" s="56" t="n">
        <v>17373.33</v>
      </c>
      <c r="Q135" s="56" t="n">
        <v>12564.12</v>
      </c>
    </row>
    <row r="136" customFormat="false" ht="15" hidden="false" customHeight="false" outlineLevel="0" collapsed="false">
      <c r="A136" s="51" t="s">
        <v>62</v>
      </c>
      <c r="B136" s="51" t="s">
        <v>59</v>
      </c>
      <c r="C136" s="51" t="s">
        <v>528</v>
      </c>
      <c r="D136" s="51" t="n">
        <v>2</v>
      </c>
      <c r="E136" s="51" t="s">
        <v>513</v>
      </c>
      <c r="F136" s="52" t="n">
        <v>-10096.93</v>
      </c>
      <c r="G136" s="52" t="n">
        <v>13503.06</v>
      </c>
      <c r="H136" s="53" t="n">
        <v>1.0072</v>
      </c>
      <c r="I136" s="52" t="n">
        <v>386.44</v>
      </c>
      <c r="J136" s="52" t="n">
        <v>6037.45</v>
      </c>
      <c r="K136" s="51" t="s">
        <v>712</v>
      </c>
      <c r="L136" s="54" t="n">
        <f aca="false">IF(G136=0,"",F136/G136)</f>
        <v>-0.747751250457304</v>
      </c>
      <c r="M136" s="54" t="n">
        <f aca="false">IF(OR(L123="",L123&lt;=0,L136=""),"",L136/L123)</f>
        <v>-0.257178847340004</v>
      </c>
      <c r="N136" s="64" t="n">
        <f aca="false">IF(I136=0,"",F136/I136)</f>
        <v>-26.1280664527482</v>
      </c>
      <c r="O136" s="64" t="n">
        <f aca="false">IF(I136=0,"",G136/I136)</f>
        <v>34.9421902494566</v>
      </c>
      <c r="P136" s="52" t="s">
        <v>699</v>
      </c>
      <c r="Q136" s="52" t="s">
        <v>699</v>
      </c>
    </row>
    <row r="137" customFormat="false" ht="15" hidden="false" customHeight="false" outlineLevel="0" collapsed="false">
      <c r="A137" s="8" t="s">
        <v>62</v>
      </c>
      <c r="B137" s="8" t="s">
        <v>59</v>
      </c>
      <c r="C137" s="8" t="s">
        <v>528</v>
      </c>
      <c r="D137" s="8" t="n">
        <v>2</v>
      </c>
      <c r="E137" s="8" t="s">
        <v>515</v>
      </c>
      <c r="F137" s="56" t="n">
        <v>31688.86</v>
      </c>
      <c r="G137" s="56" t="n">
        <v>12494.03</v>
      </c>
      <c r="H137" s="43" t="n">
        <v>0.7217</v>
      </c>
      <c r="I137" s="56" t="n">
        <v>451.91</v>
      </c>
      <c r="J137" s="56" t="n">
        <v>500</v>
      </c>
      <c r="K137" s="8" t="s">
        <v>581</v>
      </c>
      <c r="L137" s="19" t="n">
        <f aca="false">IF(G137=0,"",F137/G137)</f>
        <v>2.53632014650197</v>
      </c>
      <c r="M137" s="19" t="n">
        <f aca="false">IF(OR(L123="",L123&lt;=0,L137=""),"",L137/L123)</f>
        <v>0.872332732795411</v>
      </c>
      <c r="N137" s="65" t="n">
        <f aca="false">IF(I137=0,"",F137/I137)</f>
        <v>70.1220597021531</v>
      </c>
      <c r="O137" s="65" t="n">
        <f aca="false">IF(I137=0,"",G137/I137)</f>
        <v>27.64716425837</v>
      </c>
      <c r="P137" s="56" t="n">
        <v>14542.85</v>
      </c>
      <c r="Q137" s="56" t="n">
        <v>8109.08</v>
      </c>
    </row>
    <row r="138" customFormat="false" ht="15" hidden="false" customHeight="false" outlineLevel="0" collapsed="false">
      <c r="A138" s="8" t="s">
        <v>62</v>
      </c>
      <c r="B138" s="8" t="s">
        <v>59</v>
      </c>
      <c r="C138" s="8" t="s">
        <v>528</v>
      </c>
      <c r="D138" s="8" t="n">
        <v>3</v>
      </c>
      <c r="E138" s="8" t="s">
        <v>513</v>
      </c>
      <c r="F138" s="56" t="n">
        <v>83935.09</v>
      </c>
      <c r="G138" s="56" t="n">
        <v>51565.27</v>
      </c>
      <c r="H138" s="43" t="n">
        <v>0.6665</v>
      </c>
      <c r="I138" s="56" t="n">
        <v>697.27</v>
      </c>
      <c r="J138" s="56" t="n">
        <v>17188.42</v>
      </c>
      <c r="K138" s="8" t="s">
        <v>581</v>
      </c>
      <c r="L138" s="19" t="n">
        <f aca="false">IF(G138=0,"",F138/G138)</f>
        <v>1.62774460407169</v>
      </c>
      <c r="M138" s="19" t="n">
        <f aca="false">IF(OR(L123="",L123&lt;=0,L138=""),"",L138/L123)</f>
        <v>0.559840562998794</v>
      </c>
      <c r="N138" s="65" t="n">
        <f aca="false">IF(I138=0,"",F138/I138)</f>
        <v>120.376740717369</v>
      </c>
      <c r="O138" s="65" t="n">
        <f aca="false">IF(I138=0,"",G138/I138)</f>
        <v>73.9530884736185</v>
      </c>
      <c r="P138" s="56" t="n">
        <v>28326.42</v>
      </c>
      <c r="Q138" s="56" t="s">
        <v>699</v>
      </c>
    </row>
    <row r="139" customFormat="false" ht="15" hidden="false" customHeight="false" outlineLevel="0" collapsed="false">
      <c r="A139" s="8" t="s">
        <v>62</v>
      </c>
      <c r="B139" s="8" t="s">
        <v>59</v>
      </c>
      <c r="C139" s="8" t="s">
        <v>528</v>
      </c>
      <c r="D139" s="8" t="n">
        <v>3</v>
      </c>
      <c r="E139" s="8" t="s">
        <v>515</v>
      </c>
      <c r="F139" s="56" t="n">
        <v>29503.05</v>
      </c>
      <c r="G139" s="56" t="n">
        <v>12376.25</v>
      </c>
      <c r="H139" s="43" t="n">
        <v>0.6779</v>
      </c>
      <c r="I139" s="56" t="n">
        <v>436.18</v>
      </c>
      <c r="J139" s="56" t="n">
        <v>500</v>
      </c>
      <c r="K139" s="8" t="s">
        <v>581</v>
      </c>
      <c r="L139" s="19" t="n">
        <f aca="false">IF(G139=0,"",F139/G139)</f>
        <v>2.38384405615594</v>
      </c>
      <c r="M139" s="19" t="n">
        <f aca="false">IF(OR(L123="",L123&lt;=0,L139=""),"",L139/L123)</f>
        <v>0.81989066046438</v>
      </c>
      <c r="N139" s="65" t="n">
        <f aca="false">IF(I139=0,"",F139/I139)</f>
        <v>67.6396212572791</v>
      </c>
      <c r="O139" s="65" t="n">
        <f aca="false">IF(I139=0,"",G139/I139)</f>
        <v>28.374180384245</v>
      </c>
      <c r="P139" s="56" t="n">
        <v>12661.83</v>
      </c>
      <c r="Q139" s="56" t="n">
        <v>7062.46</v>
      </c>
    </row>
    <row r="140" customFormat="false" ht="15" hidden="false" customHeight="false" outlineLevel="0" collapsed="false">
      <c r="A140" s="8" t="s">
        <v>62</v>
      </c>
      <c r="B140" s="8" t="s">
        <v>59</v>
      </c>
      <c r="C140" s="8" t="s">
        <v>528</v>
      </c>
      <c r="D140" s="8" t="n">
        <v>4</v>
      </c>
      <c r="E140" s="8" t="s">
        <v>513</v>
      </c>
      <c r="F140" s="56" t="n">
        <v>63180.05</v>
      </c>
      <c r="G140" s="56" t="n">
        <v>25924.29</v>
      </c>
      <c r="H140" s="43" t="n">
        <v>0.3732</v>
      </c>
      <c r="I140" s="56" t="n">
        <v>573.7</v>
      </c>
      <c r="J140" s="56" t="n">
        <v>6481.07</v>
      </c>
      <c r="K140" s="8" t="s">
        <v>581</v>
      </c>
      <c r="L140" s="19" t="n">
        <f aca="false">IF(G140=0,"",F140/G140)</f>
        <v>2.43709856663384</v>
      </c>
      <c r="M140" s="19" t="n">
        <f aca="false">IF(OR(L123="",L123&lt;=0,L140=""),"",L140/L123)</f>
        <v>0.838206823241755</v>
      </c>
      <c r="N140" s="65" t="n">
        <f aca="false">IF(I140=0,"",F140/I140)</f>
        <v>110.127331357853</v>
      </c>
      <c r="O140" s="65" t="n">
        <f aca="false">IF(I140=0,"",G140/I140)</f>
        <v>45.1878856545233</v>
      </c>
      <c r="P140" s="56" t="n">
        <v>18707.58</v>
      </c>
      <c r="Q140" s="56" t="n">
        <v>25933.41</v>
      </c>
    </row>
    <row r="141" customFormat="false" ht="15" hidden="false" customHeight="false" outlineLevel="0" collapsed="false">
      <c r="A141" s="8" t="s">
        <v>62</v>
      </c>
      <c r="B141" s="8" t="s">
        <v>59</v>
      </c>
      <c r="C141" s="8" t="s">
        <v>528</v>
      </c>
      <c r="D141" s="8" t="n">
        <v>4</v>
      </c>
      <c r="E141" s="8" t="s">
        <v>515</v>
      </c>
      <c r="F141" s="56" t="n">
        <v>27939.06</v>
      </c>
      <c r="G141" s="56" t="n">
        <v>12338.17</v>
      </c>
      <c r="H141" s="43" t="n">
        <v>0.6007</v>
      </c>
      <c r="I141" s="56" t="n">
        <v>419.86</v>
      </c>
      <c r="J141" s="56" t="n">
        <v>500</v>
      </c>
      <c r="K141" s="8" t="s">
        <v>581</v>
      </c>
      <c r="L141" s="19" t="n">
        <f aca="false">IF(G141=0,"",F141/G141)</f>
        <v>2.26444116104738</v>
      </c>
      <c r="M141" s="19" t="n">
        <f aca="false">IF(OR(L123="",L123&lt;=0,L141=""),"",L141/L123)</f>
        <v>0.778823662697009</v>
      </c>
      <c r="N141" s="65" t="n">
        <f aca="false">IF(I141=0,"",F141/I141)</f>
        <v>66.5437526794646</v>
      </c>
      <c r="O141" s="65" t="n">
        <f aca="false">IF(I141=0,"",G141/I141)</f>
        <v>29.3863907016625</v>
      </c>
      <c r="P141" s="56" t="n">
        <v>11271.51</v>
      </c>
      <c r="Q141" s="56" t="n">
        <v>10271.73</v>
      </c>
    </row>
    <row r="142" customFormat="false" ht="15" hidden="false" customHeight="false" outlineLevel="0" collapsed="false">
      <c r="A142" s="8" t="s">
        <v>62</v>
      </c>
      <c r="B142" s="8" t="s">
        <v>59</v>
      </c>
      <c r="C142" s="8" t="s">
        <v>528</v>
      </c>
      <c r="D142" s="8" t="n">
        <v>5</v>
      </c>
      <c r="E142" s="8" t="s">
        <v>513</v>
      </c>
      <c r="F142" s="56" t="n">
        <v>49545.52</v>
      </c>
      <c r="G142" s="56" t="n">
        <v>17012.63</v>
      </c>
      <c r="H142" s="43" t="n">
        <v>0.3513</v>
      </c>
      <c r="I142" s="56" t="n">
        <v>488.76</v>
      </c>
      <c r="J142" s="56" t="n">
        <v>3402.53</v>
      </c>
      <c r="K142" s="8" t="s">
        <v>581</v>
      </c>
      <c r="L142" s="19" t="n">
        <f aca="false">IF(G142=0,"",F142/G142)</f>
        <v>2.91227870117671</v>
      </c>
      <c r="M142" s="19" t="n">
        <f aca="false">IF(OR(L123="",L123&lt;=0,L142=""),"",L142/L123)</f>
        <v>1.00163855164858</v>
      </c>
      <c r="N142" s="65" t="n">
        <f aca="false">IF(I142=0,"",F142/I142)</f>
        <v>101.369833865292</v>
      </c>
      <c r="O142" s="65" t="n">
        <f aca="false">IF(I142=0,"",G142/I142)</f>
        <v>34.8077379490957</v>
      </c>
      <c r="P142" s="56" t="n">
        <v>12666.76</v>
      </c>
      <c r="Q142" s="56" t="n">
        <v>20261.01</v>
      </c>
    </row>
    <row r="143" customFormat="false" ht="15" hidden="false" customHeight="false" outlineLevel="0" collapsed="false">
      <c r="A143" s="8" t="s">
        <v>62</v>
      </c>
      <c r="B143" s="8" t="s">
        <v>59</v>
      </c>
      <c r="C143" s="8" t="s">
        <v>528</v>
      </c>
      <c r="D143" s="8" t="n">
        <v>5</v>
      </c>
      <c r="E143" s="8" t="s">
        <v>515</v>
      </c>
      <c r="F143" s="56" t="n">
        <v>27184.84</v>
      </c>
      <c r="G143" s="56" t="n">
        <v>12206.76</v>
      </c>
      <c r="H143" s="43" t="n">
        <v>0.3756</v>
      </c>
      <c r="I143" s="56" t="n">
        <v>389.64</v>
      </c>
      <c r="J143" s="56" t="n">
        <v>500</v>
      </c>
      <c r="K143" s="8" t="s">
        <v>581</v>
      </c>
      <c r="L143" s="19" t="n">
        <f aca="false">IF(G143=0,"",F143/G143)</f>
        <v>2.22703157922332</v>
      </c>
      <c r="M143" s="19" t="n">
        <f aca="false">IF(OR(L123="",L123&lt;=0,L143=""),"",L143/L123)</f>
        <v>0.765957147091583</v>
      </c>
      <c r="N143" s="65" t="n">
        <f aca="false">IF(I143=0,"",F143/I143)</f>
        <v>69.7691202135304</v>
      </c>
      <c r="O143" s="65" t="n">
        <f aca="false">IF(I143=0,"",G143/I143)</f>
        <v>31.3283030489683</v>
      </c>
      <c r="P143" s="56" t="n">
        <v>10753.35</v>
      </c>
      <c r="Q143" s="56" t="n">
        <v>9973.79</v>
      </c>
    </row>
    <row r="145" customFormat="false" ht="15" hidden="false" customHeight="false" outlineLevel="0" collapsed="false">
      <c r="A145" s="5" t="s">
        <v>87</v>
      </c>
      <c r="B145" s="5" t="s">
        <v>148</v>
      </c>
      <c r="C145" s="5" t="s">
        <v>698</v>
      </c>
      <c r="D145" s="5" t="s">
        <v>549</v>
      </c>
      <c r="E145" s="5" t="s">
        <v>549</v>
      </c>
      <c r="F145" s="62" t="n">
        <v>-10000.72</v>
      </c>
      <c r="G145" s="62" t="n">
        <v>10574.23</v>
      </c>
      <c r="H145" s="42" t="n">
        <v>1.0001</v>
      </c>
      <c r="I145" s="62" t="n">
        <v>50</v>
      </c>
      <c r="J145" s="62" t="n">
        <v>50</v>
      </c>
      <c r="K145" s="5" t="s">
        <v>637</v>
      </c>
      <c r="L145" s="21" t="n">
        <f aca="false">IF(G145=0,"",F145/G145)</f>
        <v>-0.945763426745966</v>
      </c>
      <c r="M145" s="21" t="n">
        <v>1</v>
      </c>
      <c r="N145" s="63" t="n">
        <f aca="false">IF(I145=0,"",F145/I145)</f>
        <v>-200.0144</v>
      </c>
      <c r="O145" s="63" t="n">
        <f aca="false">IF(I145=0,"",G145/I145)</f>
        <v>211.4846</v>
      </c>
      <c r="P145" s="62" t="n">
        <v>-7485.66</v>
      </c>
      <c r="Q145" s="62" t="n">
        <v>-487.05</v>
      </c>
    </row>
    <row r="146" customFormat="false" ht="15" hidden="false" customHeight="false" outlineLevel="0" collapsed="false">
      <c r="A146" s="51" t="s">
        <v>87</v>
      </c>
      <c r="B146" s="51" t="s">
        <v>148</v>
      </c>
      <c r="C146" s="51" t="s">
        <v>700</v>
      </c>
      <c r="D146" s="51" t="n">
        <v>1</v>
      </c>
      <c r="E146" s="51" t="s">
        <v>513</v>
      </c>
      <c r="F146" s="52" t="n">
        <v>-16799.92</v>
      </c>
      <c r="G146" s="52" t="n">
        <v>51200</v>
      </c>
      <c r="H146" s="53" t="n">
        <v>1.1532</v>
      </c>
      <c r="I146" s="52" t="n">
        <v>383.71</v>
      </c>
      <c r="J146" s="52" t="n">
        <v>25600</v>
      </c>
      <c r="K146" s="51" t="s">
        <v>638</v>
      </c>
      <c r="L146" s="54" t="n">
        <f aca="false">IF(G146=0,"",F146/G146)</f>
        <v>-0.3281234375</v>
      </c>
      <c r="M146" s="54" t="str">
        <f aca="false">IF(OR(L145="",L145&lt;=0,L146=""),"",L146/L145)</f>
        <v/>
      </c>
      <c r="N146" s="64" t="n">
        <f aca="false">IF(I146=0,"",F146/I146)</f>
        <v>-43.7828568450132</v>
      </c>
      <c r="O146" s="64" t="n">
        <f aca="false">IF(I146=0,"",G146/I146)</f>
        <v>133.434103880535</v>
      </c>
      <c r="P146" s="52" t="s">
        <v>699</v>
      </c>
      <c r="Q146" s="52" t="s">
        <v>699</v>
      </c>
    </row>
    <row r="147" customFormat="false" ht="15" hidden="false" customHeight="false" outlineLevel="0" collapsed="false">
      <c r="A147" s="51" t="s">
        <v>87</v>
      </c>
      <c r="B147" s="51" t="s">
        <v>148</v>
      </c>
      <c r="C147" s="51" t="s">
        <v>700</v>
      </c>
      <c r="D147" s="51" t="n">
        <v>1</v>
      </c>
      <c r="E147" s="51" t="s">
        <v>515</v>
      </c>
      <c r="F147" s="52" t="n">
        <v>-10244.79</v>
      </c>
      <c r="G147" s="52" t="n">
        <v>16250.15</v>
      </c>
      <c r="H147" s="53" t="n">
        <v>1.0153</v>
      </c>
      <c r="I147" s="52" t="n">
        <v>389.1</v>
      </c>
      <c r="J147" s="52" t="n">
        <v>500</v>
      </c>
      <c r="K147" s="51" t="s">
        <v>639</v>
      </c>
      <c r="L147" s="54" t="n">
        <f aca="false">IF(G147=0,"",F147/G147)</f>
        <v>-0.630442795912653</v>
      </c>
      <c r="M147" s="54" t="str">
        <f aca="false">IF(OR(L145="",L145&lt;=0,L147=""),"",L147/L145)</f>
        <v/>
      </c>
      <c r="N147" s="64" t="n">
        <f aca="false">IF(I147=0,"",F147/I147)</f>
        <v>-26.3294525828836</v>
      </c>
      <c r="O147" s="64" t="n">
        <f aca="false">IF(I147=0,"",G147/I147)</f>
        <v>41.7634284245695</v>
      </c>
      <c r="P147" s="52" t="s">
        <v>699</v>
      </c>
      <c r="Q147" s="52" t="s">
        <v>699</v>
      </c>
    </row>
    <row r="148" customFormat="false" ht="15" hidden="false" customHeight="false" outlineLevel="0" collapsed="false">
      <c r="A148" s="51" t="s">
        <v>87</v>
      </c>
      <c r="B148" s="51" t="s">
        <v>148</v>
      </c>
      <c r="C148" s="51" t="s">
        <v>700</v>
      </c>
      <c r="D148" s="51" t="n">
        <v>2</v>
      </c>
      <c r="E148" s="51" t="s">
        <v>513</v>
      </c>
      <c r="F148" s="52" t="n">
        <v>-20602.69</v>
      </c>
      <c r="G148" s="52" t="n">
        <v>35230.29</v>
      </c>
      <c r="H148" s="53" t="n">
        <v>1.4305</v>
      </c>
      <c r="I148" s="52" t="n">
        <v>158.08</v>
      </c>
      <c r="J148" s="52" t="n">
        <v>11743.43</v>
      </c>
      <c r="K148" s="51" t="s">
        <v>646</v>
      </c>
      <c r="L148" s="54" t="n">
        <f aca="false">IF(G148=0,"",F148/G148)</f>
        <v>-0.584800465735593</v>
      </c>
      <c r="M148" s="54" t="str">
        <f aca="false">IF(OR(L145="",L145&lt;=0,L148=""),"",L148/L145)</f>
        <v/>
      </c>
      <c r="N148" s="64" t="n">
        <f aca="false">IF(I148=0,"",F148/I148)</f>
        <v>-130.330781882591</v>
      </c>
      <c r="O148" s="64" t="n">
        <f aca="false">IF(I148=0,"",G148/I148)</f>
        <v>222.863676619433</v>
      </c>
      <c r="P148" s="52" t="s">
        <v>699</v>
      </c>
      <c r="Q148" s="52" t="s">
        <v>699</v>
      </c>
    </row>
    <row r="149" customFormat="false" ht="15" hidden="false" customHeight="false" outlineLevel="0" collapsed="false">
      <c r="A149" s="51" t="s">
        <v>87</v>
      </c>
      <c r="B149" s="51" t="s">
        <v>148</v>
      </c>
      <c r="C149" s="51" t="s">
        <v>700</v>
      </c>
      <c r="D149" s="51" t="n">
        <v>2</v>
      </c>
      <c r="E149" s="51" t="s">
        <v>515</v>
      </c>
      <c r="F149" s="52" t="n">
        <v>-10249.91</v>
      </c>
      <c r="G149" s="52" t="n">
        <v>15183.61</v>
      </c>
      <c r="H149" s="53" t="n">
        <v>1.0167</v>
      </c>
      <c r="I149" s="52" t="n">
        <v>289.07</v>
      </c>
      <c r="J149" s="52" t="n">
        <v>500</v>
      </c>
      <c r="K149" s="51" t="s">
        <v>641</v>
      </c>
      <c r="L149" s="54" t="n">
        <f aca="false">IF(G149=0,"",F149/G149)</f>
        <v>-0.675064098722241</v>
      </c>
      <c r="M149" s="54" t="str">
        <f aca="false">IF(OR(L145="",L145&lt;=0,L149=""),"",L149/L145)</f>
        <v/>
      </c>
      <c r="N149" s="64" t="n">
        <f aca="false">IF(I149=0,"",F149/I149)</f>
        <v>-35.4582281108382</v>
      </c>
      <c r="O149" s="64" t="n">
        <f aca="false">IF(I149=0,"",G149/I149)</f>
        <v>52.5257204137406</v>
      </c>
      <c r="P149" s="52" t="s">
        <v>699</v>
      </c>
      <c r="Q149" s="52" t="n">
        <v>9791.31</v>
      </c>
    </row>
    <row r="150" customFormat="false" ht="15" hidden="false" customHeight="false" outlineLevel="0" collapsed="false">
      <c r="A150" s="51" t="s">
        <v>87</v>
      </c>
      <c r="B150" s="51" t="s">
        <v>148</v>
      </c>
      <c r="C150" s="51" t="s">
        <v>700</v>
      </c>
      <c r="D150" s="51" t="n">
        <v>3</v>
      </c>
      <c r="E150" s="51" t="s">
        <v>513</v>
      </c>
      <c r="F150" s="52" t="n">
        <v>-10664.21</v>
      </c>
      <c r="G150" s="52" t="n">
        <v>18082.1</v>
      </c>
      <c r="H150" s="53" t="n">
        <v>1.0381</v>
      </c>
      <c r="I150" s="52" t="n">
        <v>146.78</v>
      </c>
      <c r="J150" s="52" t="n">
        <v>4520.53</v>
      </c>
      <c r="K150" s="51" t="s">
        <v>650</v>
      </c>
      <c r="L150" s="54" t="n">
        <f aca="false">IF(G150=0,"",F150/G150)</f>
        <v>-0.589766122297742</v>
      </c>
      <c r="M150" s="54" t="str">
        <f aca="false">IF(OR(L145="",L145&lt;=0,L150=""),"",L150/L145)</f>
        <v/>
      </c>
      <c r="N150" s="64" t="n">
        <f aca="false">IF(I150=0,"",F150/I150)</f>
        <v>-72.6543807058182</v>
      </c>
      <c r="O150" s="64" t="n">
        <f aca="false">IF(I150=0,"",G150/I150)</f>
        <v>123.19185175092</v>
      </c>
      <c r="P150" s="52" t="s">
        <v>699</v>
      </c>
      <c r="Q150" s="52" t="n">
        <v>12399.93</v>
      </c>
    </row>
    <row r="151" customFormat="false" ht="15" hidden="false" customHeight="false" outlineLevel="0" collapsed="false">
      <c r="A151" s="51" t="s">
        <v>87</v>
      </c>
      <c r="B151" s="51" t="s">
        <v>148</v>
      </c>
      <c r="C151" s="51" t="s">
        <v>700</v>
      </c>
      <c r="D151" s="51" t="n">
        <v>3</v>
      </c>
      <c r="E151" s="51" t="s">
        <v>515</v>
      </c>
      <c r="F151" s="52" t="n">
        <v>-10012.39</v>
      </c>
      <c r="G151" s="52" t="n">
        <v>15642.96</v>
      </c>
      <c r="H151" s="53" t="n">
        <v>1.0008</v>
      </c>
      <c r="I151" s="52" t="n">
        <v>183.73</v>
      </c>
      <c r="J151" s="52" t="n">
        <v>500</v>
      </c>
      <c r="K151" s="51" t="s">
        <v>651</v>
      </c>
      <c r="L151" s="54" t="n">
        <f aca="false">IF(G151=0,"",F151/G151)</f>
        <v>-0.640057252591581</v>
      </c>
      <c r="M151" s="54" t="str">
        <f aca="false">IF(OR(L145="",L145&lt;=0,L151=""),"",L151/L145)</f>
        <v/>
      </c>
      <c r="N151" s="64" t="n">
        <f aca="false">IF(I151=0,"",F151/I151)</f>
        <v>-54.4951287214935</v>
      </c>
      <c r="O151" s="64" t="n">
        <f aca="false">IF(I151=0,"",G151/I151)</f>
        <v>85.141022152071</v>
      </c>
      <c r="P151" s="52" t="s">
        <v>699</v>
      </c>
      <c r="Q151" s="52" t="n">
        <v>8906.63</v>
      </c>
    </row>
    <row r="152" customFormat="false" ht="15" hidden="false" customHeight="false" outlineLevel="0" collapsed="false">
      <c r="A152" s="8" t="s">
        <v>87</v>
      </c>
      <c r="B152" s="8" t="s">
        <v>148</v>
      </c>
      <c r="C152" s="8" t="s">
        <v>700</v>
      </c>
      <c r="D152" s="8" t="n">
        <v>4</v>
      </c>
      <c r="E152" s="8" t="s">
        <v>513</v>
      </c>
      <c r="F152" s="56" t="n">
        <v>13365.31</v>
      </c>
      <c r="G152" s="56" t="n">
        <v>9635.26</v>
      </c>
      <c r="H152" s="43" t="n">
        <v>0.6729</v>
      </c>
      <c r="I152" s="56" t="n">
        <v>118.83</v>
      </c>
      <c r="J152" s="56" t="n">
        <v>2408.82</v>
      </c>
      <c r="K152" s="8" t="s">
        <v>581</v>
      </c>
      <c r="L152" s="19" t="n">
        <f aca="false">IF(G152=0,"",F152/G152)</f>
        <v>1.3871249971459</v>
      </c>
      <c r="M152" s="19" t="str">
        <f aca="false">IF(OR(L145="",L145&lt;=0,L152=""),"",L152/L145)</f>
        <v/>
      </c>
      <c r="N152" s="65" t="n">
        <f aca="false">IF(I152=0,"",F152/I152)</f>
        <v>112.474206850122</v>
      </c>
      <c r="O152" s="65" t="n">
        <f aca="false">IF(I152=0,"",G152/I152)</f>
        <v>81.0844062947067</v>
      </c>
      <c r="P152" s="56" t="n">
        <v>4451.92</v>
      </c>
      <c r="Q152" s="56" t="n">
        <v>8913.39</v>
      </c>
    </row>
    <row r="153" customFormat="false" ht="15" hidden="false" customHeight="false" outlineLevel="0" collapsed="false">
      <c r="A153" s="51" t="s">
        <v>87</v>
      </c>
      <c r="B153" s="51" t="s">
        <v>148</v>
      </c>
      <c r="C153" s="51" t="s">
        <v>700</v>
      </c>
      <c r="D153" s="51" t="n">
        <v>4</v>
      </c>
      <c r="E153" s="51" t="s">
        <v>515</v>
      </c>
      <c r="F153" s="52" t="n">
        <v>-10216.47</v>
      </c>
      <c r="G153" s="52" t="n">
        <v>13833.78</v>
      </c>
      <c r="H153" s="53" t="n">
        <v>1.0159</v>
      </c>
      <c r="I153" s="52" t="n">
        <v>162.54</v>
      </c>
      <c r="J153" s="52" t="n">
        <v>500</v>
      </c>
      <c r="K153" s="51" t="s">
        <v>713</v>
      </c>
      <c r="L153" s="54" t="n">
        <f aca="false">IF(G153=0,"",F153/G153)</f>
        <v>-0.738516153936234</v>
      </c>
      <c r="M153" s="54" t="str">
        <f aca="false">IF(OR(L145="",L145&lt;=0,L153=""),"",L153/L145)</f>
        <v/>
      </c>
      <c r="N153" s="64" t="n">
        <f aca="false">IF(I153=0,"",F153/I153)</f>
        <v>-62.8551125876707</v>
      </c>
      <c r="O153" s="64" t="n">
        <f aca="false">IF(I153=0,"",G153/I153)</f>
        <v>85.110003691399</v>
      </c>
      <c r="P153" s="52" t="s">
        <v>699</v>
      </c>
      <c r="Q153" s="52" t="n">
        <v>7193.63</v>
      </c>
    </row>
    <row r="154" customFormat="false" ht="15" hidden="false" customHeight="false" outlineLevel="0" collapsed="false">
      <c r="A154" s="8" t="s">
        <v>87</v>
      </c>
      <c r="B154" s="8" t="s">
        <v>148</v>
      </c>
      <c r="C154" s="8" t="s">
        <v>700</v>
      </c>
      <c r="D154" s="8" t="n">
        <v>5</v>
      </c>
      <c r="E154" s="8" t="s">
        <v>513</v>
      </c>
      <c r="F154" s="56" t="n">
        <v>9458.84</v>
      </c>
      <c r="G154" s="56" t="n">
        <v>10035.97</v>
      </c>
      <c r="H154" s="43" t="n">
        <v>0.7997</v>
      </c>
      <c r="I154" s="56" t="n">
        <v>121.01</v>
      </c>
      <c r="J154" s="56" t="n">
        <v>2007.19</v>
      </c>
      <c r="K154" s="8" t="s">
        <v>581</v>
      </c>
      <c r="L154" s="19" t="n">
        <f aca="false">IF(G154=0,"",F154/G154)</f>
        <v>0.942493849622907</v>
      </c>
      <c r="M154" s="19" t="str">
        <f aca="false">IF(OR(L145="",L145&lt;=0,L154=""),"",L154/L145)</f>
        <v/>
      </c>
      <c r="N154" s="65" t="n">
        <f aca="false">IF(I154=0,"",F154/I154)</f>
        <v>78.1657714238493</v>
      </c>
      <c r="O154" s="65" t="n">
        <f aca="false">IF(I154=0,"",G154/I154)</f>
        <v>82.9350466903562</v>
      </c>
      <c r="P154" s="56" t="n">
        <v>2672.96</v>
      </c>
      <c r="Q154" s="56" t="n">
        <v>6785.88</v>
      </c>
    </row>
    <row r="155" customFormat="false" ht="15" hidden="false" customHeight="false" outlineLevel="0" collapsed="false">
      <c r="A155" s="51" t="s">
        <v>87</v>
      </c>
      <c r="B155" s="51" t="s">
        <v>148</v>
      </c>
      <c r="C155" s="51" t="s">
        <v>700</v>
      </c>
      <c r="D155" s="51" t="n">
        <v>5</v>
      </c>
      <c r="E155" s="51" t="s">
        <v>515</v>
      </c>
      <c r="F155" s="52" t="n">
        <v>-10071.02</v>
      </c>
      <c r="G155" s="52" t="n">
        <v>12615.1</v>
      </c>
      <c r="H155" s="53" t="n">
        <v>1.0057</v>
      </c>
      <c r="I155" s="52" t="n">
        <v>149.54</v>
      </c>
      <c r="J155" s="52" t="n">
        <v>500</v>
      </c>
      <c r="K155" s="51" t="s">
        <v>714</v>
      </c>
      <c r="L155" s="54" t="n">
        <f aca="false">IF(G155=0,"",F155/G155)</f>
        <v>-0.798330572092175</v>
      </c>
      <c r="M155" s="54" t="str">
        <f aca="false">IF(OR(L145="",L145&lt;=0,L155=""),"",L155/L145)</f>
        <v/>
      </c>
      <c r="N155" s="64" t="n">
        <f aca="false">IF(I155=0,"",F155/I155)</f>
        <v>-67.3466631001739</v>
      </c>
      <c r="O155" s="64" t="n">
        <f aca="false">IF(I155=0,"",G155/I155)</f>
        <v>84.3593687307744</v>
      </c>
      <c r="P155" s="52" t="s">
        <v>699</v>
      </c>
      <c r="Q155" s="52" t="n">
        <v>5551.66</v>
      </c>
    </row>
    <row r="156" customFormat="false" ht="15" hidden="false" customHeight="false" outlineLevel="0" collapsed="false">
      <c r="A156" s="51" t="s">
        <v>87</v>
      </c>
      <c r="B156" s="51" t="s">
        <v>148</v>
      </c>
      <c r="C156" s="51" t="s">
        <v>528</v>
      </c>
      <c r="D156" s="51" t="n">
        <v>1</v>
      </c>
      <c r="E156" s="51" t="s">
        <v>513</v>
      </c>
      <c r="F156" s="52" t="n">
        <v>-193676.94</v>
      </c>
      <c r="G156" s="52" t="n">
        <v>507139.24</v>
      </c>
      <c r="H156" s="53" t="n">
        <v>1.5678</v>
      </c>
      <c r="I156" s="52" t="n">
        <v>3640.61</v>
      </c>
      <c r="J156" s="52" t="n">
        <v>253569.62</v>
      </c>
      <c r="K156" s="51" t="s">
        <v>638</v>
      </c>
      <c r="L156" s="54" t="n">
        <f aca="false">IF(G156=0,"",F156/G156)</f>
        <v>-0.381900915417233</v>
      </c>
      <c r="M156" s="54" t="str">
        <f aca="false">IF(OR(L145="",L145&lt;=0,L156=""),"",L156/L145)</f>
        <v/>
      </c>
      <c r="N156" s="64" t="n">
        <f aca="false">IF(I156=0,"",F156/I156)</f>
        <v>-53.1990353264975</v>
      </c>
      <c r="O156" s="64" t="n">
        <f aca="false">IF(I156=0,"",G156/I156)</f>
        <v>139.300622697845</v>
      </c>
      <c r="P156" s="52" t="s">
        <v>699</v>
      </c>
      <c r="Q156" s="52" t="s">
        <v>699</v>
      </c>
    </row>
    <row r="157" customFormat="false" ht="15" hidden="false" customHeight="false" outlineLevel="0" collapsed="false">
      <c r="A157" s="51" t="s">
        <v>87</v>
      </c>
      <c r="B157" s="51" t="s">
        <v>148</v>
      </c>
      <c r="C157" s="51" t="s">
        <v>528</v>
      </c>
      <c r="D157" s="51" t="n">
        <v>1</v>
      </c>
      <c r="E157" s="51" t="s">
        <v>515</v>
      </c>
      <c r="F157" s="52" t="n">
        <v>-10258.4</v>
      </c>
      <c r="G157" s="52" t="n">
        <v>12908.3</v>
      </c>
      <c r="H157" s="53" t="n">
        <v>1.0204</v>
      </c>
      <c r="I157" s="52" t="n">
        <v>467.84</v>
      </c>
      <c r="J157" s="52" t="n">
        <v>500</v>
      </c>
      <c r="K157" s="51" t="s">
        <v>715</v>
      </c>
      <c r="L157" s="54" t="n">
        <f aca="false">IF(G157=0,"",F157/G157)</f>
        <v>-0.794713478924413</v>
      </c>
      <c r="M157" s="54" t="str">
        <f aca="false">IF(OR(L145="",L145&lt;=0,L157=""),"",L157/L145)</f>
        <v/>
      </c>
      <c r="N157" s="64" t="n">
        <f aca="false">IF(I157=0,"",F157/I157)</f>
        <v>-21.9271545827633</v>
      </c>
      <c r="O157" s="64" t="n">
        <f aca="false">IF(I157=0,"",G157/I157)</f>
        <v>27.5912705198358</v>
      </c>
      <c r="P157" s="52" t="s">
        <v>699</v>
      </c>
      <c r="Q157" s="52" t="s">
        <v>699</v>
      </c>
    </row>
    <row r="158" customFormat="false" ht="15" hidden="false" customHeight="false" outlineLevel="0" collapsed="false">
      <c r="A158" s="51" t="s">
        <v>87</v>
      </c>
      <c r="B158" s="51" t="s">
        <v>148</v>
      </c>
      <c r="C158" s="51" t="s">
        <v>528</v>
      </c>
      <c r="D158" s="51" t="n">
        <v>2</v>
      </c>
      <c r="E158" s="51" t="s">
        <v>513</v>
      </c>
      <c r="F158" s="52" t="n">
        <v>-10753.58</v>
      </c>
      <c r="G158" s="52" t="n">
        <v>33964.1</v>
      </c>
      <c r="H158" s="53" t="n">
        <v>1.0227</v>
      </c>
      <c r="I158" s="52" t="n">
        <v>623.8</v>
      </c>
      <c r="J158" s="52" t="n">
        <v>11321.37</v>
      </c>
      <c r="K158" s="51" t="s">
        <v>638</v>
      </c>
      <c r="L158" s="54" t="n">
        <f aca="false">IF(G158=0,"",F158/G158)</f>
        <v>-0.316616074031109</v>
      </c>
      <c r="M158" s="54" t="str">
        <f aca="false">IF(OR(L145="",L145&lt;=0,L158=""),"",L158/L145)</f>
        <v/>
      </c>
      <c r="N158" s="64" t="n">
        <f aca="false">IF(I158=0,"",F158/I158)</f>
        <v>-17.2388265469702</v>
      </c>
      <c r="O158" s="64" t="n">
        <f aca="false">IF(I158=0,"",G158/I158)</f>
        <v>54.4470984289837</v>
      </c>
      <c r="P158" s="52" t="s">
        <v>699</v>
      </c>
      <c r="Q158" s="52" t="s">
        <v>699</v>
      </c>
    </row>
    <row r="159" customFormat="false" ht="15" hidden="false" customHeight="false" outlineLevel="0" collapsed="false">
      <c r="A159" s="51" t="s">
        <v>87</v>
      </c>
      <c r="B159" s="51" t="s">
        <v>148</v>
      </c>
      <c r="C159" s="51" t="s">
        <v>528</v>
      </c>
      <c r="D159" s="51" t="n">
        <v>2</v>
      </c>
      <c r="E159" s="51" t="s">
        <v>515</v>
      </c>
      <c r="F159" s="52" t="n">
        <v>-10154.05</v>
      </c>
      <c r="G159" s="52" t="n">
        <v>14022.44</v>
      </c>
      <c r="H159" s="53" t="n">
        <v>1.0111</v>
      </c>
      <c r="I159" s="52" t="n">
        <v>404.14</v>
      </c>
      <c r="J159" s="52" t="n">
        <v>500</v>
      </c>
      <c r="K159" s="51" t="s">
        <v>716</v>
      </c>
      <c r="L159" s="54" t="n">
        <f aca="false">IF(G159=0,"",F159/G159)</f>
        <v>-0.724128610997801</v>
      </c>
      <c r="M159" s="54" t="str">
        <f aca="false">IF(OR(L145="",L145&lt;=0,L159=""),"",L159/L145)</f>
        <v/>
      </c>
      <c r="N159" s="64" t="n">
        <f aca="false">IF(I159=0,"",F159/I159)</f>
        <v>-25.125080417677</v>
      </c>
      <c r="O159" s="64" t="n">
        <f aca="false">IF(I159=0,"",G159/I159)</f>
        <v>34.6969861929035</v>
      </c>
      <c r="P159" s="52" t="s">
        <v>699</v>
      </c>
      <c r="Q159" s="52" t="s">
        <v>699</v>
      </c>
    </row>
    <row r="160" customFormat="false" ht="15" hidden="false" customHeight="false" outlineLevel="0" collapsed="false">
      <c r="A160" s="51" t="s">
        <v>87</v>
      </c>
      <c r="B160" s="51" t="s">
        <v>148</v>
      </c>
      <c r="C160" s="51" t="s">
        <v>528</v>
      </c>
      <c r="D160" s="51" t="n">
        <v>3</v>
      </c>
      <c r="E160" s="51" t="s">
        <v>513</v>
      </c>
      <c r="F160" s="52" t="n">
        <v>-12464.14</v>
      </c>
      <c r="G160" s="52" t="n">
        <v>28962.19</v>
      </c>
      <c r="H160" s="53" t="n">
        <v>1.093</v>
      </c>
      <c r="I160" s="52" t="n">
        <v>622.74</v>
      </c>
      <c r="J160" s="52" t="n">
        <v>7240.55</v>
      </c>
      <c r="K160" s="51" t="s">
        <v>645</v>
      </c>
      <c r="L160" s="54" t="n">
        <f aca="false">IF(G160=0,"",F160/G160)</f>
        <v>-0.430359030170025</v>
      </c>
      <c r="M160" s="54" t="str">
        <f aca="false">IF(OR(L145="",L145&lt;=0,L160=""),"",L160/L145)</f>
        <v/>
      </c>
      <c r="N160" s="64" t="n">
        <f aca="false">IF(I160=0,"",F160/I160)</f>
        <v>-20.0149982336127</v>
      </c>
      <c r="O160" s="64" t="n">
        <f aca="false">IF(I160=0,"",G160/I160)</f>
        <v>46.507675755532</v>
      </c>
      <c r="P160" s="52" t="s">
        <v>699</v>
      </c>
      <c r="Q160" s="52" t="s">
        <v>699</v>
      </c>
    </row>
    <row r="161" customFormat="false" ht="15" hidden="false" customHeight="false" outlineLevel="0" collapsed="false">
      <c r="A161" s="51" t="s">
        <v>87</v>
      </c>
      <c r="B161" s="51" t="s">
        <v>148</v>
      </c>
      <c r="C161" s="51" t="s">
        <v>528</v>
      </c>
      <c r="D161" s="51" t="n">
        <v>3</v>
      </c>
      <c r="E161" s="51" t="s">
        <v>515</v>
      </c>
      <c r="F161" s="52" t="n">
        <v>-10362.32</v>
      </c>
      <c r="G161" s="52" t="n">
        <v>13963.86</v>
      </c>
      <c r="H161" s="53" t="n">
        <v>1.0266</v>
      </c>
      <c r="I161" s="52" t="n">
        <v>357.44</v>
      </c>
      <c r="J161" s="52" t="n">
        <v>500</v>
      </c>
      <c r="K161" s="51" t="s">
        <v>652</v>
      </c>
      <c r="L161" s="54" t="n">
        <f aca="false">IF(G161=0,"",F161/G161)</f>
        <v>-0.742081344270137</v>
      </c>
      <c r="M161" s="54" t="str">
        <f aca="false">IF(OR(L145="",L145&lt;=0,L161=""),"",L161/L145)</f>
        <v/>
      </c>
      <c r="N161" s="64" t="n">
        <f aca="false">IF(I161=0,"",F161/I161)</f>
        <v>-28.990376007162</v>
      </c>
      <c r="O161" s="64" t="n">
        <f aca="false">IF(I161=0,"",G161/I161)</f>
        <v>39.0663048343778</v>
      </c>
      <c r="P161" s="52" t="s">
        <v>699</v>
      </c>
      <c r="Q161" s="52" t="s">
        <v>699</v>
      </c>
    </row>
    <row r="162" customFormat="false" ht="15" hidden="false" customHeight="false" outlineLevel="0" collapsed="false">
      <c r="A162" s="51" t="s">
        <v>87</v>
      </c>
      <c r="B162" s="51" t="s">
        <v>148</v>
      </c>
      <c r="C162" s="51" t="s">
        <v>528</v>
      </c>
      <c r="D162" s="51" t="n">
        <v>4</v>
      </c>
      <c r="E162" s="51" t="s">
        <v>513</v>
      </c>
      <c r="F162" s="52" t="n">
        <v>-11948.13</v>
      </c>
      <c r="G162" s="52" t="n">
        <v>19284.19</v>
      </c>
      <c r="H162" s="53" t="n">
        <v>1.1124</v>
      </c>
      <c r="I162" s="52" t="n">
        <v>377.5</v>
      </c>
      <c r="J162" s="52" t="n">
        <v>3856.84</v>
      </c>
      <c r="K162" s="51" t="s">
        <v>717</v>
      </c>
      <c r="L162" s="54" t="n">
        <f aca="false">IF(G162=0,"",F162/G162)</f>
        <v>-0.619581636563423</v>
      </c>
      <c r="M162" s="54" t="str">
        <f aca="false">IF(OR(L145="",L145&lt;=0,L162=""),"",L162/L145)</f>
        <v/>
      </c>
      <c r="N162" s="64" t="n">
        <f aca="false">IF(I162=0,"",F162/I162)</f>
        <v>-31.6506754966887</v>
      </c>
      <c r="O162" s="64" t="n">
        <f aca="false">IF(I162=0,"",G162/I162)</f>
        <v>51.0839470198675</v>
      </c>
      <c r="P162" s="52" t="s">
        <v>699</v>
      </c>
      <c r="Q162" s="52" t="s">
        <v>699</v>
      </c>
    </row>
    <row r="163" customFormat="false" ht="15" hidden="false" customHeight="false" outlineLevel="0" collapsed="false">
      <c r="A163" s="51" t="s">
        <v>87</v>
      </c>
      <c r="B163" s="51" t="s">
        <v>148</v>
      </c>
      <c r="C163" s="51" t="s">
        <v>528</v>
      </c>
      <c r="D163" s="51" t="n">
        <v>4</v>
      </c>
      <c r="E163" s="51" t="s">
        <v>515</v>
      </c>
      <c r="F163" s="52" t="n">
        <v>-10206.68</v>
      </c>
      <c r="G163" s="52" t="n">
        <v>12722.12</v>
      </c>
      <c r="H163" s="53" t="n">
        <v>1.0165</v>
      </c>
      <c r="I163" s="52" t="n">
        <v>315.95</v>
      </c>
      <c r="J163" s="52" t="n">
        <v>500</v>
      </c>
      <c r="K163" s="51" t="s">
        <v>718</v>
      </c>
      <c r="L163" s="54" t="n">
        <f aca="false">IF(G163=0,"",F163/G163)</f>
        <v>-0.802278236646094</v>
      </c>
      <c r="M163" s="54" t="str">
        <f aca="false">IF(OR(L145="",L145&lt;=0,L163=""),"",L163/L145)</f>
        <v/>
      </c>
      <c r="N163" s="64" t="n">
        <f aca="false">IF(I163=0,"",F163/I163)</f>
        <v>-32.3047317613546</v>
      </c>
      <c r="O163" s="64" t="n">
        <f aca="false">IF(I163=0,"",G163/I163)</f>
        <v>40.266244658965</v>
      </c>
      <c r="P163" s="52" t="s">
        <v>699</v>
      </c>
      <c r="Q163" s="52" t="s">
        <v>699</v>
      </c>
    </row>
    <row r="164" customFormat="false" ht="15" hidden="false" customHeight="false" outlineLevel="0" collapsed="false">
      <c r="A164" s="51" t="s">
        <v>87</v>
      </c>
      <c r="B164" s="51" t="s">
        <v>148</v>
      </c>
      <c r="C164" s="51" t="s">
        <v>528</v>
      </c>
      <c r="D164" s="51" t="n">
        <v>5</v>
      </c>
      <c r="E164" s="51" t="s">
        <v>513</v>
      </c>
      <c r="F164" s="52" t="n">
        <v>-13310.96</v>
      </c>
      <c r="G164" s="52" t="n">
        <v>22543.32</v>
      </c>
      <c r="H164" s="53" t="n">
        <v>1.1722</v>
      </c>
      <c r="I164" s="52" t="n">
        <v>357.62</v>
      </c>
      <c r="J164" s="52" t="n">
        <v>3757.22</v>
      </c>
      <c r="K164" s="51" t="s">
        <v>641</v>
      </c>
      <c r="L164" s="54" t="n">
        <f aca="false">IF(G164=0,"",F164/G164)</f>
        <v>-0.59046138723134</v>
      </c>
      <c r="M164" s="54" t="str">
        <f aca="false">IF(OR(L145="",L145&lt;=0,L164=""),"",L164/L145)</f>
        <v/>
      </c>
      <c r="N164" s="64" t="n">
        <f aca="false">IF(I164=0,"",F164/I164)</f>
        <v>-37.220960796376</v>
      </c>
      <c r="O164" s="64" t="n">
        <f aca="false">IF(I164=0,"",G164/I164)</f>
        <v>63.0370784631732</v>
      </c>
      <c r="P164" s="52" t="s">
        <v>699</v>
      </c>
      <c r="Q164" s="52" t="s">
        <v>699</v>
      </c>
    </row>
    <row r="165" customFormat="false" ht="15" hidden="false" customHeight="false" outlineLevel="0" collapsed="false">
      <c r="A165" s="51" t="s">
        <v>87</v>
      </c>
      <c r="B165" s="51" t="s">
        <v>148</v>
      </c>
      <c r="C165" s="51" t="s">
        <v>528</v>
      </c>
      <c r="D165" s="51" t="n">
        <v>5</v>
      </c>
      <c r="E165" s="51" t="s">
        <v>515</v>
      </c>
      <c r="F165" s="52" t="n">
        <v>-10321.39</v>
      </c>
      <c r="G165" s="52" t="n">
        <v>12525.01</v>
      </c>
      <c r="H165" s="53" t="n">
        <v>1.0263</v>
      </c>
      <c r="I165" s="52" t="n">
        <v>298.9</v>
      </c>
      <c r="J165" s="52" t="n">
        <v>500</v>
      </c>
      <c r="K165" s="51" t="s">
        <v>645</v>
      </c>
      <c r="L165" s="54" t="n">
        <f aca="false">IF(G165=0,"",F165/G165)</f>
        <v>-0.824062415918231</v>
      </c>
      <c r="M165" s="54" t="str">
        <f aca="false">IF(OR(L145="",L145&lt;=0,L165=""),"",L165/L145)</f>
        <v/>
      </c>
      <c r="N165" s="64" t="n">
        <f aca="false">IF(I165=0,"",F165/I165)</f>
        <v>-34.5312479089997</v>
      </c>
      <c r="O165" s="64" t="n">
        <f aca="false">IF(I165=0,"",G165/I165)</f>
        <v>41.9036801605888</v>
      </c>
      <c r="P165" s="52" t="s">
        <v>699</v>
      </c>
      <c r="Q165" s="52" t="s">
        <v>699</v>
      </c>
    </row>
    <row r="167" customFormat="false" ht="15" hidden="false" customHeight="false" outlineLevel="0" collapsed="false">
      <c r="A167" s="5" t="s">
        <v>87</v>
      </c>
      <c r="B167" s="5" t="s">
        <v>24</v>
      </c>
      <c r="C167" s="5" t="s">
        <v>698</v>
      </c>
      <c r="D167" s="5" t="s">
        <v>549</v>
      </c>
      <c r="E167" s="5" t="s">
        <v>549</v>
      </c>
      <c r="F167" s="62" t="n">
        <v>9076.9</v>
      </c>
      <c r="G167" s="62" t="n">
        <v>1109.87</v>
      </c>
      <c r="H167" s="42" t="n">
        <v>0.0876</v>
      </c>
      <c r="I167" s="62" t="n">
        <v>50</v>
      </c>
      <c r="J167" s="62" t="n">
        <v>50</v>
      </c>
      <c r="K167" s="5" t="s">
        <v>581</v>
      </c>
      <c r="L167" s="21" t="n">
        <f aca="false">IF(G167=0,"",F167/G167)</f>
        <v>8.17834521160136</v>
      </c>
      <c r="M167" s="21" t="n">
        <v>1</v>
      </c>
      <c r="N167" s="63" t="n">
        <f aca="false">IF(I167=0,"",F167/I167)</f>
        <v>181.538</v>
      </c>
      <c r="O167" s="63" t="n">
        <f aca="false">IF(I167=0,"",G167/I167)</f>
        <v>22.1974</v>
      </c>
      <c r="P167" s="62" t="n">
        <v>4452.07</v>
      </c>
      <c r="Q167" s="62" t="n">
        <v>4624.83</v>
      </c>
    </row>
    <row r="168" customFormat="false" ht="15" hidden="false" customHeight="false" outlineLevel="0" collapsed="false">
      <c r="A168" s="51" t="s">
        <v>87</v>
      </c>
      <c r="B168" s="51" t="s">
        <v>24</v>
      </c>
      <c r="C168" s="51" t="s">
        <v>700</v>
      </c>
      <c r="D168" s="51" t="n">
        <v>1</v>
      </c>
      <c r="E168" s="51" t="s">
        <v>513</v>
      </c>
      <c r="F168" s="52" t="n">
        <v>-13409.08</v>
      </c>
      <c r="G168" s="52" t="n">
        <v>51200</v>
      </c>
      <c r="H168" s="53" t="n">
        <v>1.0713</v>
      </c>
      <c r="I168" s="52" t="n">
        <v>297.06</v>
      </c>
      <c r="J168" s="52" t="n">
        <v>25600</v>
      </c>
      <c r="K168" s="51" t="s">
        <v>719</v>
      </c>
      <c r="L168" s="54" t="n">
        <f aca="false">IF(G168=0,"",F168/G168)</f>
        <v>-0.26189609375</v>
      </c>
      <c r="M168" s="54" t="n">
        <f aca="false">IF(OR(L167="",L167&lt;=0,L168=""),"",L168/L167)</f>
        <v>-0.0320231155538028</v>
      </c>
      <c r="N168" s="64" t="n">
        <f aca="false">IF(I168=0,"",F168/I168)</f>
        <v>-45.1392984582239</v>
      </c>
      <c r="O168" s="64" t="n">
        <f aca="false">IF(I168=0,"",G168/I168)</f>
        <v>172.355753046523</v>
      </c>
      <c r="P168" s="52" t="s">
        <v>699</v>
      </c>
      <c r="Q168" s="52" t="s">
        <v>699</v>
      </c>
    </row>
    <row r="169" customFormat="false" ht="15" hidden="false" customHeight="false" outlineLevel="0" collapsed="false">
      <c r="A169" s="8" t="s">
        <v>87</v>
      </c>
      <c r="B169" s="8" t="s">
        <v>24</v>
      </c>
      <c r="C169" s="8" t="s">
        <v>700</v>
      </c>
      <c r="D169" s="8" t="n">
        <v>1</v>
      </c>
      <c r="E169" s="8" t="s">
        <v>515</v>
      </c>
      <c r="F169" s="56" t="n">
        <v>36359.26</v>
      </c>
      <c r="G169" s="56" t="n">
        <v>8947.78</v>
      </c>
      <c r="H169" s="43" t="n">
        <v>0.4666</v>
      </c>
      <c r="I169" s="56" t="n">
        <v>188.33</v>
      </c>
      <c r="J169" s="56" t="n">
        <v>500</v>
      </c>
      <c r="K169" s="8" t="s">
        <v>581</v>
      </c>
      <c r="L169" s="19" t="n">
        <f aca="false">IF(G169=0,"",F169/G169)</f>
        <v>4.06349507922636</v>
      </c>
      <c r="M169" s="19" t="n">
        <f aca="false">IF(OR(L167="",L167&lt;=0,L169=""),"",L169/L167)</f>
        <v>0.496860302920706</v>
      </c>
      <c r="N169" s="65" t="n">
        <f aca="false">IF(I169=0,"",F169/I169)</f>
        <v>193.061434715659</v>
      </c>
      <c r="O169" s="65" t="n">
        <f aca="false">IF(I169=0,"",G169/I169)</f>
        <v>47.5111771889768</v>
      </c>
      <c r="P169" s="56" t="n">
        <v>15651.56</v>
      </c>
      <c r="Q169" s="56" t="n">
        <v>20619.54</v>
      </c>
    </row>
    <row r="170" customFormat="false" ht="15" hidden="false" customHeight="false" outlineLevel="0" collapsed="false">
      <c r="A170" s="51" t="s">
        <v>87</v>
      </c>
      <c r="B170" s="51" t="s">
        <v>24</v>
      </c>
      <c r="C170" s="51" t="s">
        <v>700</v>
      </c>
      <c r="D170" s="51" t="n">
        <v>2</v>
      </c>
      <c r="E170" s="51" t="s">
        <v>513</v>
      </c>
      <c r="F170" s="52" t="n">
        <v>-13094.68</v>
      </c>
      <c r="G170" s="52" t="n">
        <v>19461.95</v>
      </c>
      <c r="H170" s="53" t="n">
        <v>1.1891</v>
      </c>
      <c r="I170" s="52" t="n">
        <v>108.92</v>
      </c>
      <c r="J170" s="52" t="n">
        <v>6487.32</v>
      </c>
      <c r="K170" s="51" t="s">
        <v>664</v>
      </c>
      <c r="L170" s="54" t="n">
        <f aca="false">IF(G170=0,"",F170/G170)</f>
        <v>-0.672834942027906</v>
      </c>
      <c r="M170" s="54" t="n">
        <f aca="false">IF(OR(L167="",L167&lt;=0,L170=""),"",L170/L167)</f>
        <v>-0.0822703034195058</v>
      </c>
      <c r="N170" s="64" t="n">
        <f aca="false">IF(I170=0,"",F170/I170)</f>
        <v>-120.222915901579</v>
      </c>
      <c r="O170" s="64" t="n">
        <f aca="false">IF(I170=0,"",G170/I170)</f>
        <v>178.681142122659</v>
      </c>
      <c r="P170" s="52" t="s">
        <v>699</v>
      </c>
      <c r="Q170" s="52" t="n">
        <v>11118.11</v>
      </c>
    </row>
    <row r="171" customFormat="false" ht="15" hidden="false" customHeight="false" outlineLevel="0" collapsed="false">
      <c r="A171" s="8" t="s">
        <v>87</v>
      </c>
      <c r="B171" s="8" t="s">
        <v>24</v>
      </c>
      <c r="C171" s="8" t="s">
        <v>700</v>
      </c>
      <c r="D171" s="8" t="n">
        <v>2</v>
      </c>
      <c r="E171" s="8" t="s">
        <v>515</v>
      </c>
      <c r="F171" s="56" t="n">
        <v>19831.71</v>
      </c>
      <c r="G171" s="56" t="n">
        <v>7786.84</v>
      </c>
      <c r="H171" s="43" t="n">
        <v>0.4784</v>
      </c>
      <c r="I171" s="56" t="n">
        <v>98.4</v>
      </c>
      <c r="J171" s="56" t="n">
        <v>500</v>
      </c>
      <c r="K171" s="8" t="s">
        <v>581</v>
      </c>
      <c r="L171" s="19" t="n">
        <f aca="false">IF(G171=0,"",F171/G171)</f>
        <v>2.54682387207134</v>
      </c>
      <c r="M171" s="19" t="n">
        <f aca="false">IF(OR(L167="",L167&lt;=0,L171=""),"",L171/L167)</f>
        <v>0.311410659024096</v>
      </c>
      <c r="N171" s="65" t="n">
        <f aca="false">IF(I171=0,"",F171/I171)</f>
        <v>201.541768292683</v>
      </c>
      <c r="O171" s="65" t="n">
        <f aca="false">IF(I171=0,"",G171/I171)</f>
        <v>79.1345528455285</v>
      </c>
      <c r="P171" s="56" t="n">
        <v>8926.59</v>
      </c>
      <c r="Q171" s="56" t="n">
        <v>10805.12</v>
      </c>
    </row>
    <row r="172" customFormat="false" ht="15" hidden="false" customHeight="false" outlineLevel="0" collapsed="false">
      <c r="A172" s="51" t="s">
        <v>87</v>
      </c>
      <c r="B172" s="51" t="s">
        <v>24</v>
      </c>
      <c r="C172" s="51" t="s">
        <v>700</v>
      </c>
      <c r="D172" s="51" t="n">
        <v>3</v>
      </c>
      <c r="E172" s="51" t="s">
        <v>513</v>
      </c>
      <c r="F172" s="52" t="n">
        <v>-13660.32</v>
      </c>
      <c r="G172" s="52" t="n">
        <v>18331.25</v>
      </c>
      <c r="H172" s="53" t="n">
        <v>1.2495</v>
      </c>
      <c r="I172" s="52" t="n">
        <v>105.14</v>
      </c>
      <c r="J172" s="52" t="n">
        <v>4582.81</v>
      </c>
      <c r="K172" s="51" t="s">
        <v>663</v>
      </c>
      <c r="L172" s="54" t="n">
        <f aca="false">IF(G172=0,"",F172/G172)</f>
        <v>-0.745193044664166</v>
      </c>
      <c r="M172" s="54" t="n">
        <f aca="false">IF(OR(L167="",L167&lt;=0,L172=""),"",L172/L167)</f>
        <v>-0.0911178270644624</v>
      </c>
      <c r="N172" s="64" t="n">
        <f aca="false">IF(I172=0,"",F172/I172)</f>
        <v>-129.925052311204</v>
      </c>
      <c r="O172" s="64" t="n">
        <f aca="false">IF(I172=0,"",G172/I172)</f>
        <v>174.35086551265</v>
      </c>
      <c r="P172" s="52" t="s">
        <v>699</v>
      </c>
      <c r="Q172" s="52" t="n">
        <v>7854.78</v>
      </c>
    </row>
    <row r="173" customFormat="false" ht="15" hidden="false" customHeight="false" outlineLevel="0" collapsed="false">
      <c r="A173" s="8" t="s">
        <v>87</v>
      </c>
      <c r="B173" s="8" t="s">
        <v>24</v>
      </c>
      <c r="C173" s="8" t="s">
        <v>700</v>
      </c>
      <c r="D173" s="8" t="n">
        <v>3</v>
      </c>
      <c r="E173" s="8" t="s">
        <v>515</v>
      </c>
      <c r="F173" s="56" t="n">
        <v>15106.13</v>
      </c>
      <c r="G173" s="56" t="n">
        <v>6645.53</v>
      </c>
      <c r="H173" s="43" t="n">
        <v>0.453</v>
      </c>
      <c r="I173" s="56" t="n">
        <v>77.54</v>
      </c>
      <c r="J173" s="56" t="n">
        <v>500</v>
      </c>
      <c r="K173" s="8" t="s">
        <v>581</v>
      </c>
      <c r="L173" s="19" t="n">
        <f aca="false">IF(G173=0,"",F173/G173)</f>
        <v>2.27312644740149</v>
      </c>
      <c r="M173" s="19" t="n">
        <f aca="false">IF(OR(L167="",L167&lt;=0,L173=""),"",L173/L167)</f>
        <v>0.27794454606501</v>
      </c>
      <c r="N173" s="65" t="n">
        <f aca="false">IF(I173=0,"",F173/I173)</f>
        <v>194.817255610008</v>
      </c>
      <c r="O173" s="65" t="n">
        <f aca="false">IF(I173=0,"",G173/I173)</f>
        <v>85.7045395924684</v>
      </c>
      <c r="P173" s="56" t="n">
        <v>7212.03</v>
      </c>
      <c r="Q173" s="56" t="n">
        <v>7796.78</v>
      </c>
    </row>
    <row r="174" customFormat="false" ht="15" hidden="false" customHeight="false" outlineLevel="0" collapsed="false">
      <c r="A174" s="8" t="s">
        <v>87</v>
      </c>
      <c r="B174" s="8" t="s">
        <v>24</v>
      </c>
      <c r="C174" s="8" t="s">
        <v>700</v>
      </c>
      <c r="D174" s="8" t="n">
        <v>4</v>
      </c>
      <c r="E174" s="8" t="s">
        <v>513</v>
      </c>
      <c r="F174" s="56" t="n">
        <v>13042.41</v>
      </c>
      <c r="G174" s="56" t="n">
        <v>6809.94</v>
      </c>
      <c r="H174" s="43" t="n">
        <v>0.4876</v>
      </c>
      <c r="I174" s="56" t="n">
        <v>73.26</v>
      </c>
      <c r="J174" s="56" t="n">
        <v>1702.49</v>
      </c>
      <c r="K174" s="8" t="s">
        <v>581</v>
      </c>
      <c r="L174" s="19" t="n">
        <f aca="false">IF(G174=0,"",F174/G174)</f>
        <v>1.91520189605195</v>
      </c>
      <c r="M174" s="19" t="n">
        <f aca="false">IF(OR(L167="",L167&lt;=0,L174=""),"",L174/L167)</f>
        <v>0.234179634938269</v>
      </c>
      <c r="N174" s="65" t="n">
        <f aca="false">IF(I174=0,"",F174/I174)</f>
        <v>178.029074529075</v>
      </c>
      <c r="O174" s="65" t="n">
        <f aca="false">IF(I174=0,"",G174/I174)</f>
        <v>92.955773955774</v>
      </c>
      <c r="P174" s="56" t="n">
        <v>6401.88</v>
      </c>
      <c r="Q174" s="56" t="n">
        <v>6571</v>
      </c>
    </row>
    <row r="175" customFormat="false" ht="15" hidden="false" customHeight="false" outlineLevel="0" collapsed="false">
      <c r="A175" s="8" t="s">
        <v>87</v>
      </c>
      <c r="B175" s="8" t="s">
        <v>24</v>
      </c>
      <c r="C175" s="8" t="s">
        <v>700</v>
      </c>
      <c r="D175" s="8" t="n">
        <v>4</v>
      </c>
      <c r="E175" s="8" t="s">
        <v>515</v>
      </c>
      <c r="F175" s="56" t="n">
        <v>12923.84</v>
      </c>
      <c r="G175" s="56" t="n">
        <v>5476.09</v>
      </c>
      <c r="H175" s="43" t="n">
        <v>0.3921</v>
      </c>
      <c r="I175" s="56" t="n">
        <v>68.52</v>
      </c>
      <c r="J175" s="56" t="n">
        <v>500</v>
      </c>
      <c r="K175" s="8" t="s">
        <v>581</v>
      </c>
      <c r="L175" s="19" t="n">
        <f aca="false">IF(G175=0,"",F175/G175)</f>
        <v>2.36004886698356</v>
      </c>
      <c r="M175" s="19" t="n">
        <f aca="false">IF(OR(L167="",L167&lt;=0,L175=""),"",L175/L167)</f>
        <v>0.288572908812375</v>
      </c>
      <c r="N175" s="65" t="n">
        <f aca="false">IF(I175=0,"",F175/I175)</f>
        <v>188.614127262113</v>
      </c>
      <c r="O175" s="65" t="n">
        <f aca="false">IF(I175=0,"",G175/I175)</f>
        <v>79.9195855224752</v>
      </c>
      <c r="P175" s="56" t="n">
        <v>6283.31</v>
      </c>
      <c r="Q175" s="56" t="n">
        <v>6571</v>
      </c>
    </row>
    <row r="176" customFormat="false" ht="15" hidden="false" customHeight="false" outlineLevel="0" collapsed="false">
      <c r="A176" s="8" t="s">
        <v>87</v>
      </c>
      <c r="B176" s="8" t="s">
        <v>24</v>
      </c>
      <c r="C176" s="8" t="s">
        <v>700</v>
      </c>
      <c r="D176" s="8" t="n">
        <v>5</v>
      </c>
      <c r="E176" s="8" t="s">
        <v>513</v>
      </c>
      <c r="F176" s="56" t="n">
        <v>11762.57</v>
      </c>
      <c r="G176" s="56" t="n">
        <v>3759.55</v>
      </c>
      <c r="H176" s="43" t="n">
        <v>0.2775</v>
      </c>
      <c r="I176" s="56" t="n">
        <v>62.42</v>
      </c>
      <c r="J176" s="56" t="n">
        <v>751.91</v>
      </c>
      <c r="K176" s="8" t="s">
        <v>581</v>
      </c>
      <c r="L176" s="19" t="n">
        <f aca="false">IF(G176=0,"",F176/G176)</f>
        <v>3.12871753268343</v>
      </c>
      <c r="M176" s="19" t="n">
        <f aca="false">IF(OR(L167="",L167&lt;=0,L176=""),"",L176/L167)</f>
        <v>0.382561196884329</v>
      </c>
      <c r="N176" s="65" t="n">
        <f aca="false">IF(I176=0,"",F176/I176)</f>
        <v>188.442326177507</v>
      </c>
      <c r="O176" s="65" t="n">
        <f aca="false">IF(I176=0,"",G176/I176)</f>
        <v>60.2298942646588</v>
      </c>
      <c r="P176" s="56" t="n">
        <v>5821.79</v>
      </c>
      <c r="Q176" s="56" t="n">
        <v>5875.35</v>
      </c>
    </row>
    <row r="177" customFormat="false" ht="15" hidden="false" customHeight="false" outlineLevel="0" collapsed="false">
      <c r="A177" s="8" t="s">
        <v>87</v>
      </c>
      <c r="B177" s="8" t="s">
        <v>24</v>
      </c>
      <c r="C177" s="8" t="s">
        <v>700</v>
      </c>
      <c r="D177" s="8" t="n">
        <v>5</v>
      </c>
      <c r="E177" s="8" t="s">
        <v>515</v>
      </c>
      <c r="F177" s="56" t="n">
        <v>11724.07</v>
      </c>
      <c r="G177" s="56" t="n">
        <v>3949.34</v>
      </c>
      <c r="H177" s="43" t="n">
        <v>0.2915</v>
      </c>
      <c r="I177" s="56" t="n">
        <v>62.78</v>
      </c>
      <c r="J177" s="56" t="n">
        <v>500</v>
      </c>
      <c r="K177" s="8" t="s">
        <v>581</v>
      </c>
      <c r="L177" s="19" t="n">
        <f aca="false">IF(G177=0,"",F177/G177)</f>
        <v>2.96861500909013</v>
      </c>
      <c r="M177" s="19" t="n">
        <f aca="false">IF(OR(L167="",L167&lt;=0,L177=""),"",L177/L167)</f>
        <v>0.362984800993606</v>
      </c>
      <c r="N177" s="65" t="n">
        <f aca="false">IF(I177=0,"",F177/I177)</f>
        <v>186.748486779229</v>
      </c>
      <c r="O177" s="65" t="n">
        <f aca="false">IF(I177=0,"",G177/I177)</f>
        <v>62.9076138897738</v>
      </c>
      <c r="P177" s="56" t="n">
        <v>5783.28</v>
      </c>
      <c r="Q177" s="56" t="n">
        <v>5875.35</v>
      </c>
    </row>
    <row r="178" customFormat="false" ht="15" hidden="false" customHeight="false" outlineLevel="0" collapsed="false">
      <c r="A178" s="51" t="s">
        <v>87</v>
      </c>
      <c r="B178" s="51" t="s">
        <v>24</v>
      </c>
      <c r="C178" s="51" t="s">
        <v>528</v>
      </c>
      <c r="D178" s="51" t="n">
        <v>1</v>
      </c>
      <c r="E178" s="51" t="s">
        <v>513</v>
      </c>
      <c r="F178" s="52" t="n">
        <v>-12195.41</v>
      </c>
      <c r="G178" s="52" t="n">
        <v>12800</v>
      </c>
      <c r="H178" s="53" t="n">
        <v>1.207</v>
      </c>
      <c r="I178" s="52" t="n">
        <v>762.67</v>
      </c>
      <c r="J178" s="52" t="n">
        <v>6400</v>
      </c>
      <c r="K178" s="51" t="s">
        <v>658</v>
      </c>
      <c r="L178" s="54" t="n">
        <f aca="false">IF(G178=0,"",F178/G178)</f>
        <v>-0.95276640625</v>
      </c>
      <c r="M178" s="54" t="n">
        <f aca="false">IF(OR(L167="",L167&lt;=0,L178=""),"",L178/L167)</f>
        <v>-0.116498678106478</v>
      </c>
      <c r="N178" s="64" t="n">
        <f aca="false">IF(I178=0,"",F178/I178)</f>
        <v>-15.9904152516816</v>
      </c>
      <c r="O178" s="64" t="n">
        <f aca="false">IF(I178=0,"",G178/I178)</f>
        <v>16.7831434303172</v>
      </c>
      <c r="P178" s="52" t="s">
        <v>699</v>
      </c>
      <c r="Q178" s="52" t="s">
        <v>699</v>
      </c>
    </row>
    <row r="179" customFormat="false" ht="15" hidden="false" customHeight="false" outlineLevel="0" collapsed="false">
      <c r="A179" s="8" t="s">
        <v>87</v>
      </c>
      <c r="B179" s="8" t="s">
        <v>24</v>
      </c>
      <c r="C179" s="8" t="s">
        <v>528</v>
      </c>
      <c r="D179" s="8" t="n">
        <v>1</v>
      </c>
      <c r="E179" s="8" t="s">
        <v>515</v>
      </c>
      <c r="F179" s="56" t="n">
        <v>86476.92</v>
      </c>
      <c r="G179" s="56" t="n">
        <v>10870.14</v>
      </c>
      <c r="H179" s="43" t="n">
        <v>0.5048</v>
      </c>
      <c r="I179" s="56" t="n">
        <v>474.98</v>
      </c>
      <c r="J179" s="56" t="n">
        <v>500</v>
      </c>
      <c r="K179" s="8" t="s">
        <v>581</v>
      </c>
      <c r="L179" s="19" t="n">
        <f aca="false">IF(G179=0,"",F179/G179)</f>
        <v>7.95545595548907</v>
      </c>
      <c r="M179" s="19" t="n">
        <f aca="false">IF(OR(L167="",L167&lt;=0,L179=""),"",L179/L167)</f>
        <v>0.972746411364966</v>
      </c>
      <c r="N179" s="65" t="n">
        <f aca="false">IF(I179=0,"",F179/I179)</f>
        <v>182.064339551139</v>
      </c>
      <c r="O179" s="65" t="n">
        <f aca="false">IF(I179=0,"",G179/I179)</f>
        <v>22.8854688618468</v>
      </c>
      <c r="P179" s="56" t="n">
        <v>40881.94</v>
      </c>
      <c r="Q179" s="56" t="n">
        <v>49495.87</v>
      </c>
    </row>
    <row r="180" customFormat="false" ht="15" hidden="false" customHeight="false" outlineLevel="0" collapsed="false">
      <c r="A180" s="51" t="s">
        <v>87</v>
      </c>
      <c r="B180" s="51" t="s">
        <v>24</v>
      </c>
      <c r="C180" s="51" t="s">
        <v>528</v>
      </c>
      <c r="D180" s="51" t="n">
        <v>2</v>
      </c>
      <c r="E180" s="51" t="s">
        <v>513</v>
      </c>
      <c r="F180" s="52" t="n">
        <v>-36594.55</v>
      </c>
      <c r="G180" s="52" t="n">
        <v>80946.75</v>
      </c>
      <c r="H180" s="53" t="n">
        <v>1.4893</v>
      </c>
      <c r="I180" s="52" t="n">
        <v>618.66</v>
      </c>
      <c r="J180" s="52" t="n">
        <v>26982.25</v>
      </c>
      <c r="K180" s="51" t="s">
        <v>662</v>
      </c>
      <c r="L180" s="54" t="n">
        <f aca="false">IF(G180=0,"",F180/G180)</f>
        <v>-0.452081769805459</v>
      </c>
      <c r="M180" s="54" t="n">
        <f aca="false">IF(OR(L167="",L167&lt;=0,L180=""),"",L180/L167)</f>
        <v>-0.0552779025718014</v>
      </c>
      <c r="N180" s="64" t="n">
        <f aca="false">IF(I180=0,"",F180/I180)</f>
        <v>-59.1513108977468</v>
      </c>
      <c r="O180" s="64" t="n">
        <f aca="false">IF(I180=0,"",G180/I180)</f>
        <v>130.842061875667</v>
      </c>
      <c r="P180" s="52" t="s">
        <v>699</v>
      </c>
      <c r="Q180" s="52" t="n">
        <v>90239.89</v>
      </c>
    </row>
    <row r="181" customFormat="false" ht="15" hidden="false" customHeight="false" outlineLevel="0" collapsed="false">
      <c r="A181" s="8" t="s">
        <v>87</v>
      </c>
      <c r="B181" s="8" t="s">
        <v>24</v>
      </c>
      <c r="C181" s="8" t="s">
        <v>528</v>
      </c>
      <c r="D181" s="8" t="n">
        <v>2</v>
      </c>
      <c r="E181" s="8" t="s">
        <v>515</v>
      </c>
      <c r="F181" s="56" t="n">
        <v>81503.48</v>
      </c>
      <c r="G181" s="56" t="n">
        <v>10812.57</v>
      </c>
      <c r="H181" s="43" t="n">
        <v>0.4551</v>
      </c>
      <c r="I181" s="56" t="n">
        <v>452.25</v>
      </c>
      <c r="J181" s="56" t="n">
        <v>500</v>
      </c>
      <c r="K181" s="8" t="s">
        <v>581</v>
      </c>
      <c r="L181" s="19" t="n">
        <f aca="false">IF(G181=0,"",F181/G181)</f>
        <v>7.53784530412289</v>
      </c>
      <c r="M181" s="19" t="n">
        <f aca="false">IF(OR(L167="",L167&lt;=0,L181=""),"",L181/L167)</f>
        <v>0.921683434618302</v>
      </c>
      <c r="N181" s="65" t="n">
        <f aca="false">IF(I181=0,"",F181/I181)</f>
        <v>180.217755666114</v>
      </c>
      <c r="O181" s="65" t="n">
        <f aca="false">IF(I181=0,"",G181/I181)</f>
        <v>23.9083913764511</v>
      </c>
      <c r="P181" s="56" t="n">
        <v>36290.75</v>
      </c>
      <c r="Q181" s="56" t="n">
        <v>45791.38</v>
      </c>
    </row>
    <row r="182" customFormat="false" ht="15" hidden="false" customHeight="false" outlineLevel="0" collapsed="false">
      <c r="A182" s="51" t="s">
        <v>87</v>
      </c>
      <c r="B182" s="51" t="s">
        <v>24</v>
      </c>
      <c r="C182" s="51" t="s">
        <v>528</v>
      </c>
      <c r="D182" s="51" t="n">
        <v>3</v>
      </c>
      <c r="E182" s="51" t="s">
        <v>513</v>
      </c>
      <c r="F182" s="52" t="n">
        <v>-14300.73</v>
      </c>
      <c r="G182" s="52" t="n">
        <v>42721.22</v>
      </c>
      <c r="H182" s="53" t="n">
        <v>1.1119</v>
      </c>
      <c r="I182" s="52" t="n">
        <v>425.61</v>
      </c>
      <c r="J182" s="52" t="n">
        <v>10680.3</v>
      </c>
      <c r="K182" s="51" t="s">
        <v>664</v>
      </c>
      <c r="L182" s="54" t="n">
        <f aca="false">IF(G182=0,"",F182/G182)</f>
        <v>-0.334745356054907</v>
      </c>
      <c r="M182" s="54" t="n">
        <f aca="false">IF(OR(L167="",L167&lt;=0,L182=""),"",L182/L167)</f>
        <v>-0.0409306953171963</v>
      </c>
      <c r="N182" s="64" t="n">
        <f aca="false">IF(I182=0,"",F182/I182)</f>
        <v>-33.6005497991119</v>
      </c>
      <c r="O182" s="64" t="n">
        <f aca="false">IF(I182=0,"",G182/I182)</f>
        <v>100.376447921806</v>
      </c>
      <c r="P182" s="52" t="s">
        <v>699</v>
      </c>
      <c r="Q182" s="52" t="n">
        <v>57405.14</v>
      </c>
    </row>
    <row r="183" customFormat="false" ht="15" hidden="false" customHeight="false" outlineLevel="0" collapsed="false">
      <c r="A183" s="8" t="s">
        <v>87</v>
      </c>
      <c r="B183" s="8" t="s">
        <v>24</v>
      </c>
      <c r="C183" s="8" t="s">
        <v>528</v>
      </c>
      <c r="D183" s="8" t="n">
        <v>3</v>
      </c>
      <c r="E183" s="8" t="s">
        <v>515</v>
      </c>
      <c r="F183" s="56" t="n">
        <v>83688.51</v>
      </c>
      <c r="G183" s="56" t="n">
        <v>10392.39</v>
      </c>
      <c r="H183" s="43" t="n">
        <v>0.3337</v>
      </c>
      <c r="I183" s="56" t="n">
        <v>430.74</v>
      </c>
      <c r="J183" s="56" t="n">
        <v>500</v>
      </c>
      <c r="K183" s="8" t="s">
        <v>581</v>
      </c>
      <c r="L183" s="19" t="n">
        <f aca="false">IF(G183=0,"",F183/G183)</f>
        <v>8.05286464422525</v>
      </c>
      <c r="M183" s="19" t="n">
        <f aca="false">IF(OR(L167="",L167&lt;=0,L183=""),"",L183/L167)</f>
        <v>0.984656973491641</v>
      </c>
      <c r="N183" s="65" t="n">
        <f aca="false">IF(I183=0,"",F183/I183)</f>
        <v>194.290082184148</v>
      </c>
      <c r="O183" s="65" t="n">
        <f aca="false">IF(I183=0,"",G183/I183)</f>
        <v>24.1268282490598</v>
      </c>
      <c r="P183" s="56" t="n">
        <v>38141.65</v>
      </c>
      <c r="Q183" s="56" t="n">
        <v>41510.03</v>
      </c>
    </row>
    <row r="184" customFormat="false" ht="15" hidden="false" customHeight="false" outlineLevel="0" collapsed="false">
      <c r="A184" s="51" t="s">
        <v>87</v>
      </c>
      <c r="B184" s="51" t="s">
        <v>24</v>
      </c>
      <c r="C184" s="51" t="s">
        <v>528</v>
      </c>
      <c r="D184" s="51" t="n">
        <v>4</v>
      </c>
      <c r="E184" s="51" t="s">
        <v>513</v>
      </c>
      <c r="F184" s="52" t="n">
        <v>-11189.19</v>
      </c>
      <c r="G184" s="52" t="n">
        <v>31471.55</v>
      </c>
      <c r="H184" s="53" t="n">
        <v>1.0393</v>
      </c>
      <c r="I184" s="52" t="n">
        <v>340.07</v>
      </c>
      <c r="J184" s="52" t="n">
        <v>6294.31</v>
      </c>
      <c r="K184" s="51" t="s">
        <v>659</v>
      </c>
      <c r="L184" s="54" t="n">
        <f aca="false">IF(G184=0,"",F184/G184)</f>
        <v>-0.35553348977092</v>
      </c>
      <c r="M184" s="54" t="n">
        <f aca="false">IF(OR(L167="",L167&lt;=0,L184=""),"",L184/L167)</f>
        <v>-0.0434725461657671</v>
      </c>
      <c r="N184" s="64" t="n">
        <f aca="false">IF(I184=0,"",F184/I184)</f>
        <v>-32.9026082865292</v>
      </c>
      <c r="O184" s="64" t="n">
        <f aca="false">IF(I184=0,"",G184/I184)</f>
        <v>92.5443291087129</v>
      </c>
      <c r="P184" s="52" t="s">
        <v>699</v>
      </c>
      <c r="Q184" s="52" t="n">
        <v>44743.94</v>
      </c>
    </row>
    <row r="185" customFormat="false" ht="15" hidden="false" customHeight="false" outlineLevel="0" collapsed="false">
      <c r="A185" s="8" t="s">
        <v>87</v>
      </c>
      <c r="B185" s="8" t="s">
        <v>24</v>
      </c>
      <c r="C185" s="8" t="s">
        <v>528</v>
      </c>
      <c r="D185" s="8" t="n">
        <v>4</v>
      </c>
      <c r="E185" s="8" t="s">
        <v>515</v>
      </c>
      <c r="F185" s="56" t="n">
        <v>80064.8</v>
      </c>
      <c r="G185" s="56" t="n">
        <v>10274.95</v>
      </c>
      <c r="H185" s="43" t="n">
        <v>0.3673</v>
      </c>
      <c r="I185" s="56" t="n">
        <v>410.81</v>
      </c>
      <c r="J185" s="56" t="n">
        <v>500</v>
      </c>
      <c r="K185" s="8" t="s">
        <v>581</v>
      </c>
      <c r="L185" s="19" t="n">
        <f aca="false">IF(G185=0,"",F185/G185)</f>
        <v>7.79223256560859</v>
      </c>
      <c r="M185" s="19" t="n">
        <f aca="false">IF(OR(L167="",L167&lt;=0,L185=""),"",L185/L167)</f>
        <v>0.952788414281529</v>
      </c>
      <c r="N185" s="65" t="n">
        <f aca="false">IF(I185=0,"",F185/I185)</f>
        <v>194.894963608481</v>
      </c>
      <c r="O185" s="65" t="n">
        <f aca="false">IF(I185=0,"",G185/I185)</f>
        <v>25.0114408120542</v>
      </c>
      <c r="P185" s="56" t="n">
        <v>34554.76</v>
      </c>
      <c r="Q185" s="56" t="n">
        <v>36061.35</v>
      </c>
    </row>
    <row r="186" customFormat="false" ht="15" hidden="false" customHeight="false" outlineLevel="0" collapsed="false">
      <c r="A186" s="51" t="s">
        <v>87</v>
      </c>
      <c r="B186" s="51" t="s">
        <v>24</v>
      </c>
      <c r="C186" s="51" t="s">
        <v>528</v>
      </c>
      <c r="D186" s="51" t="n">
        <v>5</v>
      </c>
      <c r="E186" s="51" t="s">
        <v>513</v>
      </c>
      <c r="F186" s="52" t="n">
        <v>-14673.94</v>
      </c>
      <c r="G186" s="52" t="n">
        <v>31622.23</v>
      </c>
      <c r="H186" s="53" t="n">
        <v>1.1734</v>
      </c>
      <c r="I186" s="52" t="n">
        <v>325.6</v>
      </c>
      <c r="J186" s="52" t="n">
        <v>5270.37</v>
      </c>
      <c r="K186" s="51" t="s">
        <v>663</v>
      </c>
      <c r="L186" s="54" t="n">
        <f aca="false">IF(G186=0,"",F186/G186)</f>
        <v>-0.464038747425466</v>
      </c>
      <c r="M186" s="54" t="n">
        <f aca="false">IF(OR(L167="",L167&lt;=0,L186=""),"",L186/L167)</f>
        <v>-0.056739931541066</v>
      </c>
      <c r="N186" s="64" t="n">
        <f aca="false">IF(I186=0,"",F186/I186)</f>
        <v>-45.0673832923833</v>
      </c>
      <c r="O186" s="64" t="n">
        <f aca="false">IF(I186=0,"",G186/I186)</f>
        <v>97.119871007371</v>
      </c>
      <c r="P186" s="52" t="s">
        <v>699</v>
      </c>
      <c r="Q186" s="52" t="n">
        <v>37391.91</v>
      </c>
    </row>
    <row r="187" customFormat="false" ht="15" hidden="false" customHeight="false" outlineLevel="0" collapsed="false">
      <c r="A187" s="8" t="s">
        <v>87</v>
      </c>
      <c r="B187" s="8" t="s">
        <v>24</v>
      </c>
      <c r="C187" s="8" t="s">
        <v>528</v>
      </c>
      <c r="D187" s="8" t="n">
        <v>5</v>
      </c>
      <c r="E187" s="8" t="s">
        <v>515</v>
      </c>
      <c r="F187" s="56" t="n">
        <v>77352.85</v>
      </c>
      <c r="G187" s="56" t="n">
        <v>10297.86</v>
      </c>
      <c r="H187" s="43" t="n">
        <v>0.4005</v>
      </c>
      <c r="I187" s="56" t="n">
        <v>399.88</v>
      </c>
      <c r="J187" s="56" t="n">
        <v>500</v>
      </c>
      <c r="K187" s="8" t="s">
        <v>581</v>
      </c>
      <c r="L187" s="19" t="n">
        <f aca="false">IF(G187=0,"",F187/G187)</f>
        <v>7.51154608821639</v>
      </c>
      <c r="M187" s="19" t="n">
        <f aca="false">IF(OR(L167="",L167&lt;=0,L187=""),"",L187/L167)</f>
        <v>0.918467721020252</v>
      </c>
      <c r="N187" s="65" t="n">
        <f aca="false">IF(I187=0,"",F187/I187)</f>
        <v>193.440157047114</v>
      </c>
      <c r="O187" s="65" t="n">
        <f aca="false">IF(I187=0,"",G187/I187)</f>
        <v>25.7523757127138</v>
      </c>
      <c r="P187" s="56" t="n">
        <v>32092.95</v>
      </c>
      <c r="Q187" s="56" t="n">
        <v>33639.93</v>
      </c>
    </row>
    <row r="189" customFormat="false" ht="15" hidden="false" customHeight="false" outlineLevel="0" collapsed="false">
      <c r="A189" s="5" t="s">
        <v>87</v>
      </c>
      <c r="B189" s="5" t="s">
        <v>59</v>
      </c>
      <c r="C189" s="5" t="s">
        <v>698</v>
      </c>
      <c r="D189" s="5" t="s">
        <v>549</v>
      </c>
      <c r="E189" s="5" t="s">
        <v>549</v>
      </c>
      <c r="F189" s="62" t="n">
        <v>3704.09</v>
      </c>
      <c r="G189" s="62" t="n">
        <v>1050.22</v>
      </c>
      <c r="H189" s="42" t="n">
        <v>0.0908</v>
      </c>
      <c r="I189" s="62" t="n">
        <v>50</v>
      </c>
      <c r="J189" s="62" t="n">
        <v>50</v>
      </c>
      <c r="K189" s="5" t="s">
        <v>581</v>
      </c>
      <c r="L189" s="21" t="n">
        <f aca="false">IF(G189=0,"",F189/G189)</f>
        <v>3.52696577859877</v>
      </c>
      <c r="M189" s="21" t="n">
        <v>1</v>
      </c>
      <c r="N189" s="63" t="n">
        <f aca="false">IF(I189=0,"",F189/I189)</f>
        <v>74.0818</v>
      </c>
      <c r="O189" s="63" t="n">
        <f aca="false">IF(I189=0,"",G189/I189)</f>
        <v>21.0044</v>
      </c>
      <c r="P189" s="62" t="n">
        <v>1838.29</v>
      </c>
      <c r="Q189" s="62" t="n">
        <v>1865.8</v>
      </c>
    </row>
    <row r="190" customFormat="false" ht="15" hidden="false" customHeight="false" outlineLevel="0" collapsed="false">
      <c r="A190" s="51" t="s">
        <v>87</v>
      </c>
      <c r="B190" s="51" t="s">
        <v>59</v>
      </c>
      <c r="C190" s="51" t="s">
        <v>700</v>
      </c>
      <c r="D190" s="51" t="n">
        <v>1</v>
      </c>
      <c r="E190" s="51" t="s">
        <v>513</v>
      </c>
      <c r="F190" s="52" t="n">
        <v>-23583.35</v>
      </c>
      <c r="G190" s="52" t="n">
        <v>27592.67</v>
      </c>
      <c r="H190" s="53" t="n">
        <v>1.9696</v>
      </c>
      <c r="I190" s="52" t="n">
        <v>171.36</v>
      </c>
      <c r="J190" s="52" t="n">
        <v>13803.83</v>
      </c>
      <c r="K190" s="51" t="s">
        <v>668</v>
      </c>
      <c r="L190" s="54" t="n">
        <f aca="false">IF(G190=0,"",F190/G190)</f>
        <v>-0.854696192865714</v>
      </c>
      <c r="M190" s="54" t="n">
        <f aca="false">IF(OR(L189="",L189&lt;=0,L190=""),"",L190/L189)</f>
        <v>-0.242331864417827</v>
      </c>
      <c r="N190" s="64" t="n">
        <f aca="false">IF(I190=0,"",F190/I190)</f>
        <v>-137.624591503268</v>
      </c>
      <c r="O190" s="64" t="n">
        <f aca="false">IF(I190=0,"",G190/I190)</f>
        <v>161.021650326797</v>
      </c>
      <c r="P190" s="52" t="s">
        <v>699</v>
      </c>
      <c r="Q190" s="52" t="n">
        <v>6197.87</v>
      </c>
    </row>
    <row r="191" customFormat="false" ht="15" hidden="false" customHeight="false" outlineLevel="0" collapsed="false">
      <c r="A191" s="8" t="s">
        <v>87</v>
      </c>
      <c r="B191" s="8" t="s">
        <v>59</v>
      </c>
      <c r="C191" s="8" t="s">
        <v>700</v>
      </c>
      <c r="D191" s="8" t="n">
        <v>1</v>
      </c>
      <c r="E191" s="8" t="s">
        <v>515</v>
      </c>
      <c r="F191" s="56" t="n">
        <v>9835.74</v>
      </c>
      <c r="G191" s="56" t="n">
        <v>7035.29</v>
      </c>
      <c r="H191" s="43" t="n">
        <v>0.5179</v>
      </c>
      <c r="I191" s="56" t="n">
        <v>157.22</v>
      </c>
      <c r="J191" s="56" t="n">
        <v>500</v>
      </c>
      <c r="K191" s="8" t="s">
        <v>581</v>
      </c>
      <c r="L191" s="19" t="n">
        <f aca="false">IF(G191=0,"",F191/G191)</f>
        <v>1.39805750722429</v>
      </c>
      <c r="M191" s="19" t="n">
        <f aca="false">IF(OR(L189="",L189&lt;=0,L191=""),"",L191/L189)</f>
        <v>0.396391004332265</v>
      </c>
      <c r="N191" s="65" t="n">
        <f aca="false">IF(I191=0,"",F191/I191)</f>
        <v>62.5603612771912</v>
      </c>
      <c r="O191" s="65" t="n">
        <f aca="false">IF(I191=0,"",G191/I191)</f>
        <v>44.7480600432515</v>
      </c>
      <c r="P191" s="56" t="n">
        <v>4236.96</v>
      </c>
      <c r="Q191" s="56" t="n">
        <v>5598.44</v>
      </c>
    </row>
    <row r="192" customFormat="false" ht="15" hidden="false" customHeight="false" outlineLevel="0" collapsed="false">
      <c r="A192" s="8" t="s">
        <v>87</v>
      </c>
      <c r="B192" s="8" t="s">
        <v>59</v>
      </c>
      <c r="C192" s="8" t="s">
        <v>700</v>
      </c>
      <c r="D192" s="8" t="n">
        <v>2</v>
      </c>
      <c r="E192" s="8" t="s">
        <v>513</v>
      </c>
      <c r="F192" s="56" t="n">
        <v>6900.83</v>
      </c>
      <c r="G192" s="56" t="n">
        <v>9556.48</v>
      </c>
      <c r="H192" s="43" t="n">
        <v>0.7685</v>
      </c>
      <c r="I192" s="56" t="n">
        <v>106</v>
      </c>
      <c r="J192" s="56" t="n">
        <v>4781.68</v>
      </c>
      <c r="K192" s="8" t="s">
        <v>581</v>
      </c>
      <c r="L192" s="19" t="n">
        <f aca="false">IF(G192=0,"",F192/G192)</f>
        <v>0.722110023774444</v>
      </c>
      <c r="M192" s="19" t="n">
        <f aca="false">IF(OR(L189="",L189&lt;=0,L192=""),"",L192/L189)</f>
        <v>0.204739730721553</v>
      </c>
      <c r="N192" s="65" t="n">
        <f aca="false">IF(I192=0,"",F192/I192)</f>
        <v>65.1021698113208</v>
      </c>
      <c r="O192" s="65" t="n">
        <f aca="false">IF(I192=0,"",G192/I192)</f>
        <v>90.1554716981132</v>
      </c>
      <c r="P192" s="56" t="n">
        <v>3553.24</v>
      </c>
      <c r="Q192" s="56" t="n">
        <v>3347.51</v>
      </c>
    </row>
    <row r="193" customFormat="false" ht="15" hidden="false" customHeight="false" outlineLevel="0" collapsed="false">
      <c r="A193" s="8" t="s">
        <v>87</v>
      </c>
      <c r="B193" s="8" t="s">
        <v>59</v>
      </c>
      <c r="C193" s="8" t="s">
        <v>700</v>
      </c>
      <c r="D193" s="8" t="n">
        <v>2</v>
      </c>
      <c r="E193" s="8" t="s">
        <v>515</v>
      </c>
      <c r="F193" s="56" t="n">
        <v>6458.06</v>
      </c>
      <c r="G193" s="56" t="n">
        <v>5611.05</v>
      </c>
      <c r="H193" s="43" t="n">
        <v>0.4512</v>
      </c>
      <c r="I193" s="56" t="n">
        <v>104.76</v>
      </c>
      <c r="J193" s="56" t="n">
        <v>500</v>
      </c>
      <c r="K193" s="8" t="s">
        <v>581</v>
      </c>
      <c r="L193" s="19" t="n">
        <f aca="false">IF(G193=0,"",F193/G193)</f>
        <v>1.15095392128033</v>
      </c>
      <c r="M193" s="19" t="n">
        <f aca="false">IF(OR(L189="",L189&lt;=0,L193=""),"",L193/L189)</f>
        <v>0.326329767151184</v>
      </c>
      <c r="N193" s="65" t="n">
        <f aca="false">IF(I193=0,"",F193/I193)</f>
        <v>61.6462390225277</v>
      </c>
      <c r="O193" s="65" t="n">
        <f aca="false">IF(I193=0,"",G193/I193)</f>
        <v>53.5609965635739</v>
      </c>
      <c r="P193" s="56" t="n">
        <v>3121.7</v>
      </c>
      <c r="Q193" s="56" t="n">
        <v>3336.28</v>
      </c>
    </row>
    <row r="194" customFormat="false" ht="15" hidden="false" customHeight="false" outlineLevel="0" collapsed="false">
      <c r="A194" s="8" t="s">
        <v>87</v>
      </c>
      <c r="B194" s="8" t="s">
        <v>59</v>
      </c>
      <c r="C194" s="8" t="s">
        <v>700</v>
      </c>
      <c r="D194" s="8" t="n">
        <v>3</v>
      </c>
      <c r="E194" s="8" t="s">
        <v>513</v>
      </c>
      <c r="F194" s="56" t="n">
        <v>5467</v>
      </c>
      <c r="G194" s="56" t="n">
        <v>4735.69</v>
      </c>
      <c r="H194" s="43" t="n">
        <v>0.3942</v>
      </c>
      <c r="I194" s="56" t="n">
        <v>79.13</v>
      </c>
      <c r="J194" s="56" t="n">
        <v>1583.56</v>
      </c>
      <c r="K194" s="8" t="s">
        <v>581</v>
      </c>
      <c r="L194" s="19" t="n">
        <f aca="false">IF(G194=0,"",F194/G194)</f>
        <v>1.15442522631338</v>
      </c>
      <c r="M194" s="19" t="n">
        <f aca="false">IF(OR(L189="",L189&lt;=0,L194=""),"",L194/L189)</f>
        <v>0.32731398566958</v>
      </c>
      <c r="N194" s="65" t="n">
        <f aca="false">IF(I194=0,"",F194/I194)</f>
        <v>69.0888411474788</v>
      </c>
      <c r="O194" s="65" t="n">
        <f aca="false">IF(I194=0,"",G194/I194)</f>
        <v>59.8469606975863</v>
      </c>
      <c r="P194" s="56" t="n">
        <v>2930.48</v>
      </c>
      <c r="Q194" s="56" t="n">
        <v>2536.52</v>
      </c>
    </row>
    <row r="195" customFormat="false" ht="15" hidden="false" customHeight="false" outlineLevel="0" collapsed="false">
      <c r="A195" s="8" t="s">
        <v>87</v>
      </c>
      <c r="B195" s="8" t="s">
        <v>59</v>
      </c>
      <c r="C195" s="8" t="s">
        <v>700</v>
      </c>
      <c r="D195" s="8" t="n">
        <v>3</v>
      </c>
      <c r="E195" s="8" t="s">
        <v>515</v>
      </c>
      <c r="F195" s="56" t="n">
        <v>5258.96</v>
      </c>
      <c r="G195" s="56" t="n">
        <v>3903.83</v>
      </c>
      <c r="H195" s="43" t="n">
        <v>0.3249</v>
      </c>
      <c r="I195" s="56" t="n">
        <v>86.03</v>
      </c>
      <c r="J195" s="56" t="n">
        <v>500</v>
      </c>
      <c r="K195" s="8" t="s">
        <v>581</v>
      </c>
      <c r="L195" s="19" t="n">
        <f aca="false">IF(G195=0,"",F195/G195)</f>
        <v>1.34712833294483</v>
      </c>
      <c r="M195" s="19" t="n">
        <f aca="false">IF(OR(L189="",L189&lt;=0,L195=""),"",L195/L189)</f>
        <v>0.381951064316827</v>
      </c>
      <c r="N195" s="65" t="n">
        <f aca="false">IF(I195=0,"",F195/I195)</f>
        <v>61.1293734743694</v>
      </c>
      <c r="O195" s="65" t="n">
        <f aca="false">IF(I195=0,"",G195/I195)</f>
        <v>45.3775427176566</v>
      </c>
      <c r="P195" s="56" t="n">
        <v>2722.43</v>
      </c>
      <c r="Q195" s="56" t="n">
        <v>2536.52</v>
      </c>
    </row>
    <row r="196" customFormat="false" ht="15" hidden="false" customHeight="false" outlineLevel="0" collapsed="false">
      <c r="A196" s="8" t="s">
        <v>87</v>
      </c>
      <c r="B196" s="8" t="s">
        <v>59</v>
      </c>
      <c r="C196" s="8" t="s">
        <v>700</v>
      </c>
      <c r="D196" s="8" t="n">
        <v>4</v>
      </c>
      <c r="E196" s="8" t="s">
        <v>513</v>
      </c>
      <c r="F196" s="56" t="n">
        <v>4792.06</v>
      </c>
      <c r="G196" s="56" t="n">
        <v>3017.77</v>
      </c>
      <c r="H196" s="43" t="n">
        <v>0.2554</v>
      </c>
      <c r="I196" s="56" t="n">
        <v>68.92</v>
      </c>
      <c r="J196" s="56" t="n">
        <v>758.19</v>
      </c>
      <c r="K196" s="8" t="s">
        <v>581</v>
      </c>
      <c r="L196" s="19" t="n">
        <f aca="false">IF(G196=0,"",F196/G196)</f>
        <v>1.58794739161699</v>
      </c>
      <c r="M196" s="19" t="n">
        <f aca="false">IF(OR(L189="",L189&lt;=0,L196=""),"",L196/L189)</f>
        <v>0.450230450562485</v>
      </c>
      <c r="N196" s="65" t="n">
        <f aca="false">IF(I196=0,"",F196/I196)</f>
        <v>69.5307603017992</v>
      </c>
      <c r="O196" s="65" t="n">
        <f aca="false">IF(I196=0,"",G196/I196)</f>
        <v>43.7865641323273</v>
      </c>
      <c r="P196" s="56" t="n">
        <v>2589.17</v>
      </c>
      <c r="Q196" s="56" t="n">
        <v>2202.89</v>
      </c>
    </row>
    <row r="197" customFormat="false" ht="15" hidden="false" customHeight="false" outlineLevel="0" collapsed="false">
      <c r="A197" s="8" t="s">
        <v>87</v>
      </c>
      <c r="B197" s="8" t="s">
        <v>59</v>
      </c>
      <c r="C197" s="8" t="s">
        <v>700</v>
      </c>
      <c r="D197" s="8" t="n">
        <v>4</v>
      </c>
      <c r="E197" s="8" t="s">
        <v>515</v>
      </c>
      <c r="F197" s="56" t="n">
        <v>4759.95</v>
      </c>
      <c r="G197" s="56" t="n">
        <v>2992.54</v>
      </c>
      <c r="H197" s="43" t="n">
        <v>0.2533</v>
      </c>
      <c r="I197" s="56" t="n">
        <v>70.07</v>
      </c>
      <c r="J197" s="56" t="n">
        <v>500</v>
      </c>
      <c r="K197" s="8" t="s">
        <v>581</v>
      </c>
      <c r="L197" s="19" t="n">
        <f aca="false">IF(G197=0,"",F197/G197)</f>
        <v>1.59060530519224</v>
      </c>
      <c r="M197" s="19" t="n">
        <f aca="false">IF(OR(L189="",L189&lt;=0,L197=""),"",L197/L189)</f>
        <v>0.450984048340888</v>
      </c>
      <c r="N197" s="65" t="n">
        <f aca="false">IF(I197=0,"",F197/I197)</f>
        <v>67.9313543599258</v>
      </c>
      <c r="O197" s="65" t="n">
        <f aca="false">IF(I197=0,"",G197/I197)</f>
        <v>42.7078635650064</v>
      </c>
      <c r="P197" s="56" t="n">
        <v>2557.06</v>
      </c>
      <c r="Q197" s="56" t="n">
        <v>2202.89</v>
      </c>
    </row>
    <row r="198" customFormat="false" ht="15" hidden="false" customHeight="false" outlineLevel="0" collapsed="false">
      <c r="A198" s="8" t="s">
        <v>87</v>
      </c>
      <c r="B198" s="8" t="s">
        <v>59</v>
      </c>
      <c r="C198" s="8" t="s">
        <v>700</v>
      </c>
      <c r="D198" s="8" t="n">
        <v>5</v>
      </c>
      <c r="E198" s="8" t="s">
        <v>513</v>
      </c>
      <c r="F198" s="56" t="n">
        <v>4374.93</v>
      </c>
      <c r="G198" s="56" t="n">
        <v>2245</v>
      </c>
      <c r="H198" s="43" t="n">
        <v>0.1922</v>
      </c>
      <c r="I198" s="56" t="n">
        <v>63.18</v>
      </c>
      <c r="J198" s="56" t="n">
        <v>452</v>
      </c>
      <c r="K198" s="8" t="s">
        <v>581</v>
      </c>
      <c r="L198" s="19" t="n">
        <f aca="false">IF(G198=0,"",F198/G198)</f>
        <v>1.9487438752784</v>
      </c>
      <c r="M198" s="19" t="n">
        <f aca="false">IF(OR(L189="",L189&lt;=0,L198=""),"",L198/L189)</f>
        <v>0.552527015459905</v>
      </c>
      <c r="N198" s="65" t="n">
        <f aca="false">IF(I198=0,"",F198/I198)</f>
        <v>69.2454890788224</v>
      </c>
      <c r="O198" s="65" t="n">
        <f aca="false">IF(I198=0,"",G198/I198)</f>
        <v>35.5333966445078</v>
      </c>
      <c r="P198" s="56" t="n">
        <v>2344.31</v>
      </c>
      <c r="Q198" s="56" t="n">
        <v>2030.62</v>
      </c>
    </row>
    <row r="199" customFormat="false" ht="15" hidden="false" customHeight="false" outlineLevel="0" collapsed="false">
      <c r="A199" s="8" t="s">
        <v>87</v>
      </c>
      <c r="B199" s="8" t="s">
        <v>59</v>
      </c>
      <c r="C199" s="8" t="s">
        <v>700</v>
      </c>
      <c r="D199" s="8" t="n">
        <v>5</v>
      </c>
      <c r="E199" s="8" t="s">
        <v>515</v>
      </c>
      <c r="F199" s="56" t="n">
        <v>4374.93</v>
      </c>
      <c r="G199" s="56" t="n">
        <v>2245</v>
      </c>
      <c r="H199" s="43" t="n">
        <v>0.1922</v>
      </c>
      <c r="I199" s="56" t="n">
        <v>63.18</v>
      </c>
      <c r="J199" s="56" t="n">
        <v>452</v>
      </c>
      <c r="K199" s="8" t="s">
        <v>581</v>
      </c>
      <c r="L199" s="19" t="n">
        <f aca="false">IF(G199=0,"",F199/G199)</f>
        <v>1.9487438752784</v>
      </c>
      <c r="M199" s="19" t="n">
        <f aca="false">IF(OR(L189="",L189&lt;=0,L199=""),"",L199/L189)</f>
        <v>0.552527015459905</v>
      </c>
      <c r="N199" s="65" t="n">
        <f aca="false">IF(I199=0,"",F199/I199)</f>
        <v>69.2454890788224</v>
      </c>
      <c r="O199" s="65" t="n">
        <f aca="false">IF(I199=0,"",G199/I199)</f>
        <v>35.5333966445078</v>
      </c>
      <c r="P199" s="56" t="n">
        <v>2344.31</v>
      </c>
      <c r="Q199" s="56" t="n">
        <v>2030.62</v>
      </c>
    </row>
    <row r="200" customFormat="false" ht="15" hidden="false" customHeight="false" outlineLevel="0" collapsed="false">
      <c r="A200" s="51" t="s">
        <v>87</v>
      </c>
      <c r="B200" s="51" t="s">
        <v>59</v>
      </c>
      <c r="C200" s="51" t="s">
        <v>528</v>
      </c>
      <c r="D200" s="51" t="n">
        <v>1</v>
      </c>
      <c r="E200" s="51" t="s">
        <v>513</v>
      </c>
      <c r="F200" s="52" t="n">
        <v>-43369.11</v>
      </c>
      <c r="G200" s="52" t="n">
        <v>67119.41</v>
      </c>
      <c r="H200" s="53" t="n">
        <v>1.9887</v>
      </c>
      <c r="I200" s="52" t="n">
        <v>651.47</v>
      </c>
      <c r="J200" s="52" t="n">
        <v>33626.21</v>
      </c>
      <c r="K200" s="51" t="s">
        <v>720</v>
      </c>
      <c r="L200" s="54" t="n">
        <f aca="false">IF(G200=0,"",F200/G200)</f>
        <v>-0.646148558218852</v>
      </c>
      <c r="M200" s="54" t="n">
        <f aca="false">IF(OR(L189="",L189&lt;=0,L200=""),"",L200/L189)</f>
        <v>-0.183202389470181</v>
      </c>
      <c r="N200" s="64" t="n">
        <f aca="false">IF(I200=0,"",F200/I200)</f>
        <v>-66.5711544660537</v>
      </c>
      <c r="O200" s="64" t="n">
        <f aca="false">IF(I200=0,"",G200/I200)</f>
        <v>103.027629821788</v>
      </c>
      <c r="P200" s="52" t="s">
        <v>699</v>
      </c>
      <c r="Q200" s="52" t="n">
        <v>43491.87</v>
      </c>
    </row>
    <row r="201" customFormat="false" ht="15" hidden="false" customHeight="false" outlineLevel="0" collapsed="false">
      <c r="A201" s="8" t="s">
        <v>87</v>
      </c>
      <c r="B201" s="8" t="s">
        <v>59</v>
      </c>
      <c r="C201" s="8" t="s">
        <v>528</v>
      </c>
      <c r="D201" s="8" t="n">
        <v>1</v>
      </c>
      <c r="E201" s="8" t="s">
        <v>515</v>
      </c>
      <c r="F201" s="56" t="n">
        <v>32221.19</v>
      </c>
      <c r="G201" s="56" t="n">
        <v>10088.5</v>
      </c>
      <c r="H201" s="43" t="n">
        <v>0.488</v>
      </c>
      <c r="I201" s="56" t="n">
        <v>442.89</v>
      </c>
      <c r="J201" s="56" t="n">
        <v>500</v>
      </c>
      <c r="K201" s="8" t="s">
        <v>581</v>
      </c>
      <c r="L201" s="19" t="n">
        <f aca="false">IF(G201=0,"",F201/G201)</f>
        <v>3.19385339743272</v>
      </c>
      <c r="M201" s="19" t="n">
        <f aca="false">IF(OR(L189="",L189&lt;=0,L201=""),"",L201/L189)</f>
        <v>0.905552703916965</v>
      </c>
      <c r="N201" s="65" t="n">
        <f aca="false">IF(I201=0,"",F201/I201)</f>
        <v>72.7521280679175</v>
      </c>
      <c r="O201" s="65" t="n">
        <f aca="false">IF(I201=0,"",G201/I201)</f>
        <v>22.7787938314254</v>
      </c>
      <c r="P201" s="56" t="n">
        <v>13305.21</v>
      </c>
      <c r="Q201" s="56" t="n">
        <v>14390.95</v>
      </c>
    </row>
    <row r="202" customFormat="false" ht="15" hidden="false" customHeight="false" outlineLevel="0" collapsed="false">
      <c r="A202" s="51" t="s">
        <v>87</v>
      </c>
      <c r="B202" s="51" t="s">
        <v>59</v>
      </c>
      <c r="C202" s="51" t="s">
        <v>528</v>
      </c>
      <c r="D202" s="51" t="n">
        <v>2</v>
      </c>
      <c r="E202" s="51" t="s">
        <v>513</v>
      </c>
      <c r="F202" s="52" t="n">
        <v>-10968.49</v>
      </c>
      <c r="G202" s="52" t="n">
        <v>20663.54</v>
      </c>
      <c r="H202" s="53" t="n">
        <v>1.0492</v>
      </c>
      <c r="I202" s="52" t="n">
        <v>332.59</v>
      </c>
      <c r="J202" s="52" t="n">
        <v>6905.62</v>
      </c>
      <c r="K202" s="51" t="s">
        <v>668</v>
      </c>
      <c r="L202" s="54" t="n">
        <f aca="false">IF(G202=0,"",F202/G202)</f>
        <v>-0.530813694071781</v>
      </c>
      <c r="M202" s="54" t="n">
        <f aca="false">IF(OR(L189="",L189&lt;=0,L202=""),"",L202/L189)</f>
        <v>-0.150501515294732</v>
      </c>
      <c r="N202" s="64" t="n">
        <f aca="false">IF(I202=0,"",F202/I202)</f>
        <v>-32.9790131994347</v>
      </c>
      <c r="O202" s="64" t="n">
        <f aca="false">IF(I202=0,"",G202/I202)</f>
        <v>62.1291680447398</v>
      </c>
      <c r="P202" s="52" t="s">
        <v>699</v>
      </c>
      <c r="Q202" s="52" t="n">
        <v>16688.81</v>
      </c>
    </row>
    <row r="203" customFormat="false" ht="15" hidden="false" customHeight="false" outlineLevel="0" collapsed="false">
      <c r="A203" s="8" t="s">
        <v>87</v>
      </c>
      <c r="B203" s="8" t="s">
        <v>59</v>
      </c>
      <c r="C203" s="8" t="s">
        <v>528</v>
      </c>
      <c r="D203" s="8" t="n">
        <v>2</v>
      </c>
      <c r="E203" s="8" t="s">
        <v>515</v>
      </c>
      <c r="F203" s="56" t="n">
        <v>29294.15</v>
      </c>
      <c r="G203" s="56" t="n">
        <v>10116.05</v>
      </c>
      <c r="H203" s="43" t="n">
        <v>0.5289</v>
      </c>
      <c r="I203" s="56" t="n">
        <v>394.45</v>
      </c>
      <c r="J203" s="56" t="n">
        <v>500</v>
      </c>
      <c r="K203" s="8" t="s">
        <v>581</v>
      </c>
      <c r="L203" s="19" t="n">
        <f aca="false">IF(G203=0,"",F203/G203)</f>
        <v>2.89580913498846</v>
      </c>
      <c r="M203" s="19" t="n">
        <f aca="false">IF(OR(L189="",L189&lt;=0,L203=""),"",L203/L189)</f>
        <v>0.821048265497755</v>
      </c>
      <c r="N203" s="65" t="n">
        <f aca="false">IF(I203=0,"",F203/I203)</f>
        <v>74.2658131575612</v>
      </c>
      <c r="O203" s="65" t="n">
        <f aca="false">IF(I203=0,"",G203/I203)</f>
        <v>25.6459627329193</v>
      </c>
      <c r="P203" s="56" t="n">
        <v>11322.45</v>
      </c>
      <c r="Q203" s="56" t="n">
        <v>11770.56</v>
      </c>
    </row>
    <row r="204" customFormat="false" ht="15" hidden="false" customHeight="false" outlineLevel="0" collapsed="false">
      <c r="A204" s="51" t="s">
        <v>87</v>
      </c>
      <c r="B204" s="51" t="s">
        <v>59</v>
      </c>
      <c r="C204" s="51" t="s">
        <v>528</v>
      </c>
      <c r="D204" s="51" t="n">
        <v>3</v>
      </c>
      <c r="E204" s="51" t="s">
        <v>513</v>
      </c>
      <c r="F204" s="52" t="n">
        <v>-13097.59</v>
      </c>
      <c r="G204" s="52" t="n">
        <v>19739.82</v>
      </c>
      <c r="H204" s="53" t="n">
        <v>1.1861</v>
      </c>
      <c r="I204" s="52" t="n">
        <v>282.24</v>
      </c>
      <c r="J204" s="52" t="n">
        <v>5092.67</v>
      </c>
      <c r="K204" s="51" t="s">
        <v>667</v>
      </c>
      <c r="L204" s="54" t="n">
        <f aca="false">IF(G204=0,"",F204/G204)</f>
        <v>-0.663511116109468</v>
      </c>
      <c r="M204" s="54" t="n">
        <f aca="false">IF(OR(L189="",L189&lt;=0,L204=""),"",L204/L189)</f>
        <v>-0.188125192519751</v>
      </c>
      <c r="N204" s="64" t="n">
        <f aca="false">IF(I204=0,"",F204/I204)</f>
        <v>-46.405860260771</v>
      </c>
      <c r="O204" s="64" t="n">
        <f aca="false">IF(I204=0,"",G204/I204)</f>
        <v>69.9398384353741</v>
      </c>
      <c r="P204" s="52" t="s">
        <v>699</v>
      </c>
      <c r="Q204" s="52" t="n">
        <v>9776.62</v>
      </c>
    </row>
    <row r="205" customFormat="false" ht="15" hidden="false" customHeight="false" outlineLevel="0" collapsed="false">
      <c r="A205" s="8" t="s">
        <v>87</v>
      </c>
      <c r="B205" s="8" t="s">
        <v>59</v>
      </c>
      <c r="C205" s="8" t="s">
        <v>528</v>
      </c>
      <c r="D205" s="8" t="n">
        <v>3</v>
      </c>
      <c r="E205" s="8" t="s">
        <v>515</v>
      </c>
      <c r="F205" s="56" t="n">
        <v>25712</v>
      </c>
      <c r="G205" s="56" t="n">
        <v>9891.02</v>
      </c>
      <c r="H205" s="43" t="n">
        <v>0.5949</v>
      </c>
      <c r="I205" s="56" t="n">
        <v>366.45</v>
      </c>
      <c r="J205" s="56" t="n">
        <v>500</v>
      </c>
      <c r="K205" s="8" t="s">
        <v>581</v>
      </c>
      <c r="L205" s="19" t="n">
        <f aca="false">IF(G205=0,"",F205/G205)</f>
        <v>2.59952967439152</v>
      </c>
      <c r="M205" s="19" t="n">
        <f aca="false">IF(OR(L189="",L189&lt;=0,L205=""),"",L205/L189)</f>
        <v>0.737044201042486</v>
      </c>
      <c r="N205" s="65" t="n">
        <f aca="false">IF(I205=0,"",F205/I205)</f>
        <v>70.1650975576477</v>
      </c>
      <c r="O205" s="65" t="n">
        <f aca="false">IF(I205=0,"",G205/I205)</f>
        <v>26.9914585891663</v>
      </c>
      <c r="P205" s="56" t="n">
        <v>8650.41</v>
      </c>
      <c r="Q205" s="56" t="n">
        <v>9115.66</v>
      </c>
    </row>
    <row r="206" customFormat="false" ht="15" hidden="false" customHeight="false" outlineLevel="0" collapsed="false">
      <c r="A206" s="51" t="s">
        <v>87</v>
      </c>
      <c r="B206" s="51" t="s">
        <v>59</v>
      </c>
      <c r="C206" s="51" t="s">
        <v>528</v>
      </c>
      <c r="D206" s="51" t="n">
        <v>4</v>
      </c>
      <c r="E206" s="51" t="s">
        <v>513</v>
      </c>
      <c r="F206" s="52" t="n">
        <v>-12915.45</v>
      </c>
      <c r="G206" s="52" t="n">
        <v>18243.18</v>
      </c>
      <c r="H206" s="53" t="n">
        <v>1.1902</v>
      </c>
      <c r="I206" s="52" t="n">
        <v>249.61</v>
      </c>
      <c r="J206" s="52" t="n">
        <v>3667.39</v>
      </c>
      <c r="K206" s="51" t="s">
        <v>666</v>
      </c>
      <c r="L206" s="54" t="n">
        <f aca="false">IF(G206=0,"",F206/G206)</f>
        <v>-0.707960454262908</v>
      </c>
      <c r="M206" s="54" t="n">
        <f aca="false">IF(OR(L189="",L189&lt;=0,L206=""),"",L206/L189)</f>
        <v>-0.200727905713952</v>
      </c>
      <c r="N206" s="64" t="n">
        <f aca="false">IF(I206=0,"",F206/I206)</f>
        <v>-51.7425183285926</v>
      </c>
      <c r="O206" s="64" t="n">
        <f aca="false">IF(I206=0,"",G206/I206)</f>
        <v>73.086735307079</v>
      </c>
      <c r="P206" s="52" t="s">
        <v>699</v>
      </c>
      <c r="Q206" s="52" t="n">
        <v>6642.8</v>
      </c>
    </row>
    <row r="207" customFormat="false" ht="15" hidden="false" customHeight="false" outlineLevel="0" collapsed="false">
      <c r="A207" s="8" t="s">
        <v>87</v>
      </c>
      <c r="B207" s="8" t="s">
        <v>59</v>
      </c>
      <c r="C207" s="8" t="s">
        <v>528</v>
      </c>
      <c r="D207" s="8" t="n">
        <v>4</v>
      </c>
      <c r="E207" s="8" t="s">
        <v>515</v>
      </c>
      <c r="F207" s="56" t="n">
        <v>24268.41</v>
      </c>
      <c r="G207" s="56" t="n">
        <v>8657.99</v>
      </c>
      <c r="H207" s="43" t="n">
        <v>0.5649</v>
      </c>
      <c r="I207" s="56" t="n">
        <v>345.39</v>
      </c>
      <c r="J207" s="56" t="n">
        <v>500</v>
      </c>
      <c r="K207" s="8" t="s">
        <v>581</v>
      </c>
      <c r="L207" s="19" t="n">
        <f aca="false">IF(G207=0,"",F207/G207)</f>
        <v>2.80300739548094</v>
      </c>
      <c r="M207" s="19" t="n">
        <f aca="false">IF(OR(L189="",L189&lt;=0,L207=""),"",L207/L189)</f>
        <v>0.794736204272032</v>
      </c>
      <c r="N207" s="65" t="n">
        <f aca="false">IF(I207=0,"",F207/I207)</f>
        <v>70.2637887605316</v>
      </c>
      <c r="O207" s="65" t="n">
        <f aca="false">IF(I207=0,"",G207/I207)</f>
        <v>25.0672862561163</v>
      </c>
      <c r="P207" s="56" t="n">
        <v>7907.37</v>
      </c>
      <c r="Q207" s="56" t="n">
        <v>6387.9</v>
      </c>
    </row>
    <row r="208" customFormat="false" ht="15" hidden="false" customHeight="false" outlineLevel="0" collapsed="false">
      <c r="A208" s="8" t="s">
        <v>87</v>
      </c>
      <c r="B208" s="8" t="s">
        <v>59</v>
      </c>
      <c r="C208" s="8" t="s">
        <v>528</v>
      </c>
      <c r="D208" s="8" t="n">
        <v>5</v>
      </c>
      <c r="E208" s="8" t="s">
        <v>513</v>
      </c>
      <c r="F208" s="56" t="n">
        <v>25272.74</v>
      </c>
      <c r="G208" s="56" t="n">
        <v>11842.62</v>
      </c>
      <c r="H208" s="43" t="n">
        <v>0.8269</v>
      </c>
      <c r="I208" s="56" t="n">
        <v>374.29</v>
      </c>
      <c r="J208" s="56" t="n">
        <v>2385.67</v>
      </c>
      <c r="K208" s="8" t="s">
        <v>581</v>
      </c>
      <c r="L208" s="19" t="n">
        <f aca="false">IF(G208=0,"",F208/G208)</f>
        <v>2.13404972886067</v>
      </c>
      <c r="M208" s="19" t="n">
        <f aca="false">IF(OR(L189="",L189&lt;=0,L208=""),"",L208/L189)</f>
        <v>0.605066752223639</v>
      </c>
      <c r="N208" s="65" t="n">
        <f aca="false">IF(I208=0,"",F208/I208)</f>
        <v>67.5218146357103</v>
      </c>
      <c r="O208" s="65" t="n">
        <f aca="false">IF(I208=0,"",G208/I208)</f>
        <v>31.6402254936012</v>
      </c>
      <c r="P208" s="56" t="n">
        <v>8570.37</v>
      </c>
      <c r="Q208" s="56" t="n">
        <v>5808.37</v>
      </c>
    </row>
    <row r="209" customFormat="false" ht="15" hidden="false" customHeight="false" outlineLevel="0" collapsed="false">
      <c r="A209" s="8" t="s">
        <v>87</v>
      </c>
      <c r="B209" s="8" t="s">
        <v>59</v>
      </c>
      <c r="C209" s="8" t="s">
        <v>528</v>
      </c>
      <c r="D209" s="8" t="n">
        <v>5</v>
      </c>
      <c r="E209" s="8" t="s">
        <v>515</v>
      </c>
      <c r="F209" s="56" t="n">
        <v>22496.12</v>
      </c>
      <c r="G209" s="56" t="n">
        <v>8359.28</v>
      </c>
      <c r="H209" s="43" t="n">
        <v>0.5837</v>
      </c>
      <c r="I209" s="56" t="n">
        <v>328.21</v>
      </c>
      <c r="J209" s="56" t="n">
        <v>500</v>
      </c>
      <c r="K209" s="8" t="s">
        <v>581</v>
      </c>
      <c r="L209" s="19" t="n">
        <f aca="false">IF(G209=0,"",F209/G209)</f>
        <v>2.69115521910978</v>
      </c>
      <c r="M209" s="19" t="n">
        <f aca="false">IF(OR(L189="",L189&lt;=0,L209=""),"",L209/L189)</f>
        <v>0.763022775962105</v>
      </c>
      <c r="N209" s="65" t="n">
        <f aca="false">IF(I209=0,"",F209/I209)</f>
        <v>68.5418482069407</v>
      </c>
      <c r="O209" s="65" t="n">
        <f aca="false">IF(I209=0,"",G209/I209)</f>
        <v>25.4693031900308</v>
      </c>
      <c r="P209" s="56" t="n">
        <v>6849.72</v>
      </c>
      <c r="Q209" s="56" t="n">
        <v>5752.83</v>
      </c>
    </row>
    <row r="211" customFormat="false" ht="15" hidden="false" customHeight="false" outlineLevel="0" collapsed="false">
      <c r="A211" s="5" t="s">
        <v>109</v>
      </c>
      <c r="B211" s="5" t="s">
        <v>148</v>
      </c>
      <c r="C211" s="5" t="s">
        <v>698</v>
      </c>
      <c r="D211" s="5" t="s">
        <v>549</v>
      </c>
      <c r="E211" s="5" t="s">
        <v>549</v>
      </c>
      <c r="F211" s="62" t="n">
        <v>-1870.51</v>
      </c>
      <c r="G211" s="62" t="n">
        <v>3678.35</v>
      </c>
      <c r="H211" s="42" t="n">
        <v>0.3593</v>
      </c>
      <c r="I211" s="62" t="n">
        <v>50</v>
      </c>
      <c r="J211" s="62" t="n">
        <v>50</v>
      </c>
      <c r="K211" s="5" t="s">
        <v>581</v>
      </c>
      <c r="L211" s="21" t="n">
        <f aca="false">IF(G211=0,"",F211/G211)</f>
        <v>-0.508518765207226</v>
      </c>
      <c r="M211" s="21" t="n">
        <v>1</v>
      </c>
      <c r="N211" s="63" t="n">
        <f aca="false">IF(I211=0,"",F211/I211)</f>
        <v>-37.4102</v>
      </c>
      <c r="O211" s="63" t="n">
        <f aca="false">IF(I211=0,"",G211/I211)</f>
        <v>73.567</v>
      </c>
      <c r="P211" s="62" t="n">
        <v>-2283.86</v>
      </c>
      <c r="Q211" s="62" t="n">
        <v>413.35</v>
      </c>
    </row>
    <row r="212" customFormat="false" ht="15" hidden="false" customHeight="false" outlineLevel="0" collapsed="false">
      <c r="A212" s="51" t="s">
        <v>109</v>
      </c>
      <c r="B212" s="51" t="s">
        <v>148</v>
      </c>
      <c r="C212" s="51" t="s">
        <v>700</v>
      </c>
      <c r="D212" s="51" t="n">
        <v>1</v>
      </c>
      <c r="E212" s="51" t="s">
        <v>513</v>
      </c>
      <c r="F212" s="52" t="n">
        <v>-22166.76</v>
      </c>
      <c r="G212" s="52" t="n">
        <v>25600</v>
      </c>
      <c r="H212" s="53" t="n">
        <v>1.9057</v>
      </c>
      <c r="I212" s="52" t="n">
        <v>586.36</v>
      </c>
      <c r="J212" s="52" t="n">
        <v>12800</v>
      </c>
      <c r="K212" s="51" t="s">
        <v>721</v>
      </c>
      <c r="L212" s="54" t="n">
        <f aca="false">IF(G212=0,"",F212/G212)</f>
        <v>-0.8658890625</v>
      </c>
      <c r="M212" s="54" t="str">
        <f aca="false">IF(OR(L211="",L211&lt;=0,L212=""),"",L212/L211)</f>
        <v/>
      </c>
      <c r="N212" s="64" t="n">
        <f aca="false">IF(I212=0,"",F212/I212)</f>
        <v>-37.8040111876663</v>
      </c>
      <c r="O212" s="64" t="n">
        <f aca="false">IF(I212=0,"",G212/I212)</f>
        <v>43.6591854833208</v>
      </c>
      <c r="P212" s="52" t="s">
        <v>699</v>
      </c>
      <c r="Q212" s="52" t="s">
        <v>699</v>
      </c>
    </row>
    <row r="213" customFormat="false" ht="15" hidden="false" customHeight="false" outlineLevel="0" collapsed="false">
      <c r="A213" s="51" t="s">
        <v>109</v>
      </c>
      <c r="B213" s="51" t="s">
        <v>148</v>
      </c>
      <c r="C213" s="51" t="s">
        <v>700</v>
      </c>
      <c r="D213" s="51" t="n">
        <v>1</v>
      </c>
      <c r="E213" s="51" t="s">
        <v>515</v>
      </c>
      <c r="F213" s="52" t="n">
        <v>-10003.06</v>
      </c>
      <c r="G213" s="52" t="n">
        <v>12208.29</v>
      </c>
      <c r="H213" s="53" t="n">
        <v>1.0003</v>
      </c>
      <c r="I213" s="52" t="n">
        <v>310.35</v>
      </c>
      <c r="J213" s="52" t="n">
        <v>500</v>
      </c>
      <c r="K213" s="51" t="s">
        <v>671</v>
      </c>
      <c r="L213" s="54" t="n">
        <f aca="false">IF(G213=0,"",F213/G213)</f>
        <v>-0.819366184780997</v>
      </c>
      <c r="M213" s="54" t="str">
        <f aca="false">IF(OR(L211="",L211&lt;=0,L213=""),"",L213/L211)</f>
        <v/>
      </c>
      <c r="N213" s="64" t="n">
        <f aca="false">IF(I213=0,"",F213/I213)</f>
        <v>-32.2315450298051</v>
      </c>
      <c r="O213" s="64" t="n">
        <f aca="false">IF(I213=0,"",G213/I213)</f>
        <v>39.3371677138714</v>
      </c>
      <c r="P213" s="52" t="s">
        <v>699</v>
      </c>
      <c r="Q213" s="52" t="n">
        <v>2360.18</v>
      </c>
    </row>
    <row r="214" customFormat="false" ht="15" hidden="false" customHeight="false" outlineLevel="0" collapsed="false">
      <c r="A214" s="51" t="s">
        <v>109</v>
      </c>
      <c r="B214" s="51" t="s">
        <v>148</v>
      </c>
      <c r="C214" s="51" t="s">
        <v>700</v>
      </c>
      <c r="D214" s="51" t="n">
        <v>2</v>
      </c>
      <c r="E214" s="51" t="s">
        <v>513</v>
      </c>
      <c r="F214" s="52" t="n">
        <v>-12970.34</v>
      </c>
      <c r="G214" s="52" t="n">
        <v>13682.64</v>
      </c>
      <c r="H214" s="53" t="n">
        <v>1.2773</v>
      </c>
      <c r="I214" s="52" t="n">
        <v>278.77</v>
      </c>
      <c r="J214" s="52" t="n">
        <v>4560.88</v>
      </c>
      <c r="K214" s="51" t="s">
        <v>605</v>
      </c>
      <c r="L214" s="54" t="n">
        <f aca="false">IF(G214=0,"",F214/G214)</f>
        <v>-0.947941332959137</v>
      </c>
      <c r="M214" s="54" t="str">
        <f aca="false">IF(OR(L211="",L211&lt;=0,L214=""),"",L214/L211)</f>
        <v/>
      </c>
      <c r="N214" s="64" t="n">
        <f aca="false">IF(I214=0,"",F214/I214)</f>
        <v>-46.5270294508017</v>
      </c>
      <c r="O214" s="64" t="n">
        <f aca="false">IF(I214=0,"",G214/I214)</f>
        <v>49.0821824443089</v>
      </c>
      <c r="P214" s="52" t="s">
        <v>699</v>
      </c>
      <c r="Q214" s="52" t="n">
        <v>6421.16</v>
      </c>
    </row>
    <row r="215" customFormat="false" ht="15" hidden="false" customHeight="false" outlineLevel="0" collapsed="false">
      <c r="A215" s="51" t="s">
        <v>109</v>
      </c>
      <c r="B215" s="51" t="s">
        <v>148</v>
      </c>
      <c r="C215" s="51" t="s">
        <v>700</v>
      </c>
      <c r="D215" s="51" t="n">
        <v>2</v>
      </c>
      <c r="E215" s="51" t="s">
        <v>515</v>
      </c>
      <c r="F215" s="52" t="n">
        <v>-10241.35</v>
      </c>
      <c r="G215" s="52" t="n">
        <v>10953.66</v>
      </c>
      <c r="H215" s="53" t="n">
        <v>1.0225</v>
      </c>
      <c r="I215" s="52" t="n">
        <v>270.26</v>
      </c>
      <c r="J215" s="52" t="n">
        <v>500</v>
      </c>
      <c r="K215" s="51" t="s">
        <v>722</v>
      </c>
      <c r="L215" s="54" t="n">
        <f aca="false">IF(G215=0,"",F215/G215)</f>
        <v>-0.934970594303639</v>
      </c>
      <c r="M215" s="54" t="str">
        <f aca="false">IF(OR(L211="",L211&lt;=0,L215=""),"",L215/L211)</f>
        <v/>
      </c>
      <c r="N215" s="64" t="n">
        <f aca="false">IF(I215=0,"",F215/I215)</f>
        <v>-37.8944349885296</v>
      </c>
      <c r="O215" s="64" t="n">
        <f aca="false">IF(I215=0,"",G215/I215)</f>
        <v>40.5300821431214</v>
      </c>
      <c r="P215" s="52" t="s">
        <v>699</v>
      </c>
      <c r="Q215" s="52" t="n">
        <v>4931.09</v>
      </c>
    </row>
    <row r="216" customFormat="false" ht="15" hidden="false" customHeight="false" outlineLevel="0" collapsed="false">
      <c r="A216" s="51" t="s">
        <v>109</v>
      </c>
      <c r="B216" s="51" t="s">
        <v>148</v>
      </c>
      <c r="C216" s="51" t="s">
        <v>700</v>
      </c>
      <c r="D216" s="51" t="n">
        <v>3</v>
      </c>
      <c r="E216" s="51" t="s">
        <v>513</v>
      </c>
      <c r="F216" s="52" t="n">
        <v>-12787.78</v>
      </c>
      <c r="G216" s="52" t="n">
        <v>13242.39</v>
      </c>
      <c r="H216" s="53" t="n">
        <v>1.2667</v>
      </c>
      <c r="I216" s="52" t="n">
        <v>311.93</v>
      </c>
      <c r="J216" s="52" t="n">
        <v>3310.6</v>
      </c>
      <c r="K216" s="51" t="s">
        <v>601</v>
      </c>
      <c r="L216" s="54" t="n">
        <f aca="false">IF(G216=0,"",F216/G216)</f>
        <v>-0.965670094295667</v>
      </c>
      <c r="M216" s="54" t="str">
        <f aca="false">IF(OR(L211="",L211&lt;=0,L216=""),"",L216/L211)</f>
        <v/>
      </c>
      <c r="N216" s="64" t="n">
        <f aca="false">IF(I216=0,"",F216/I216)</f>
        <v>-40.9956721059212</v>
      </c>
      <c r="O216" s="64" t="n">
        <f aca="false">IF(I216=0,"",G216/I216)</f>
        <v>42.4530824223383</v>
      </c>
      <c r="P216" s="52" t="s">
        <v>699</v>
      </c>
      <c r="Q216" s="52" t="n">
        <v>3640.86</v>
      </c>
    </row>
    <row r="217" customFormat="false" ht="15" hidden="false" customHeight="false" outlineLevel="0" collapsed="false">
      <c r="A217" s="51" t="s">
        <v>109</v>
      </c>
      <c r="B217" s="51" t="s">
        <v>148</v>
      </c>
      <c r="C217" s="51" t="s">
        <v>700</v>
      </c>
      <c r="D217" s="51" t="n">
        <v>3</v>
      </c>
      <c r="E217" s="51" t="s">
        <v>515</v>
      </c>
      <c r="F217" s="52" t="n">
        <v>-10022.32</v>
      </c>
      <c r="G217" s="52" t="n">
        <v>10476.92</v>
      </c>
      <c r="H217" s="53" t="n">
        <v>1.0021</v>
      </c>
      <c r="I217" s="52" t="n">
        <v>249.06</v>
      </c>
      <c r="J217" s="52" t="n">
        <v>500</v>
      </c>
      <c r="K217" s="51" t="s">
        <v>676</v>
      </c>
      <c r="L217" s="54" t="n">
        <f aca="false">IF(G217=0,"",F217/G217)</f>
        <v>-0.956609385200994</v>
      </c>
      <c r="M217" s="54" t="str">
        <f aca="false">IF(OR(L211="",L211&lt;=0,L217=""),"",L217/L211)</f>
        <v/>
      </c>
      <c r="N217" s="64" t="n">
        <f aca="false">IF(I217=0,"",F217/I217)</f>
        <v>-40.2405845980888</v>
      </c>
      <c r="O217" s="64" t="n">
        <f aca="false">IF(I217=0,"",G217/I217)</f>
        <v>42.0658475869268</v>
      </c>
      <c r="P217" s="52" t="s">
        <v>699</v>
      </c>
      <c r="Q217" s="52" t="n">
        <v>3054.02</v>
      </c>
    </row>
    <row r="218" customFormat="false" ht="15" hidden="false" customHeight="false" outlineLevel="0" collapsed="false">
      <c r="A218" s="51" t="s">
        <v>109</v>
      </c>
      <c r="B218" s="51" t="s">
        <v>148</v>
      </c>
      <c r="C218" s="51" t="s">
        <v>700</v>
      </c>
      <c r="D218" s="51" t="n">
        <v>4</v>
      </c>
      <c r="E218" s="51" t="s">
        <v>513</v>
      </c>
      <c r="F218" s="52" t="n">
        <v>-10917.99</v>
      </c>
      <c r="G218" s="52" t="n">
        <v>11271.55</v>
      </c>
      <c r="H218" s="53" t="n">
        <v>1.0887</v>
      </c>
      <c r="I218" s="52" t="n">
        <v>233.96</v>
      </c>
      <c r="J218" s="52" t="n">
        <v>2254.31</v>
      </c>
      <c r="K218" s="51" t="s">
        <v>673</v>
      </c>
      <c r="L218" s="54" t="n">
        <f aca="false">IF(G218=0,"",F218/G218)</f>
        <v>-0.968632530574766</v>
      </c>
      <c r="M218" s="54" t="str">
        <f aca="false">IF(OR(L211="",L211&lt;=0,L218=""),"",L218/L211)</f>
        <v/>
      </c>
      <c r="N218" s="64" t="n">
        <f aca="false">IF(I218=0,"",F218/I218)</f>
        <v>-46.6660540263293</v>
      </c>
      <c r="O218" s="64" t="n">
        <f aca="false">IF(I218=0,"",G218/I218)</f>
        <v>48.1772525217986</v>
      </c>
      <c r="P218" s="52" t="s">
        <v>699</v>
      </c>
      <c r="Q218" s="52" t="n">
        <v>2696.74</v>
      </c>
    </row>
    <row r="219" customFormat="false" ht="15" hidden="false" customHeight="false" outlineLevel="0" collapsed="false">
      <c r="A219" s="51" t="s">
        <v>109</v>
      </c>
      <c r="B219" s="51" t="s">
        <v>148</v>
      </c>
      <c r="C219" s="51" t="s">
        <v>700</v>
      </c>
      <c r="D219" s="51" t="n">
        <v>4</v>
      </c>
      <c r="E219" s="51" t="s">
        <v>515</v>
      </c>
      <c r="F219" s="52" t="n">
        <v>-10319.74</v>
      </c>
      <c r="G219" s="52" t="n">
        <v>10673.3</v>
      </c>
      <c r="H219" s="53" t="n">
        <v>1.0309</v>
      </c>
      <c r="I219" s="52" t="n">
        <v>241.46</v>
      </c>
      <c r="J219" s="52" t="n">
        <v>500</v>
      </c>
      <c r="K219" s="51" t="s">
        <v>623</v>
      </c>
      <c r="L219" s="54" t="n">
        <f aca="false">IF(G219=0,"",F219/G219)</f>
        <v>-0.966874350013585</v>
      </c>
      <c r="M219" s="54" t="str">
        <f aca="false">IF(OR(L211="",L211&lt;=0,L219=""),"",L219/L211)</f>
        <v/>
      </c>
      <c r="N219" s="64" t="n">
        <f aca="false">IF(I219=0,"",F219/I219)</f>
        <v>-42.7389215605069</v>
      </c>
      <c r="O219" s="64" t="n">
        <f aca="false">IF(I219=0,"",G219/I219)</f>
        <v>44.2031806510395</v>
      </c>
      <c r="P219" s="52" t="s">
        <v>699</v>
      </c>
      <c r="Q219" s="52" t="n">
        <v>2695.2</v>
      </c>
    </row>
    <row r="220" customFormat="false" ht="15" hidden="false" customHeight="false" outlineLevel="0" collapsed="false">
      <c r="A220" s="51" t="s">
        <v>109</v>
      </c>
      <c r="B220" s="51" t="s">
        <v>148</v>
      </c>
      <c r="C220" s="51" t="s">
        <v>700</v>
      </c>
      <c r="D220" s="51" t="n">
        <v>5</v>
      </c>
      <c r="E220" s="51" t="s">
        <v>513</v>
      </c>
      <c r="F220" s="52" t="n">
        <v>-11703.56</v>
      </c>
      <c r="G220" s="52" t="n">
        <v>12003.7</v>
      </c>
      <c r="H220" s="53" t="n">
        <v>1.1654</v>
      </c>
      <c r="I220" s="52" t="n">
        <v>203.87</v>
      </c>
      <c r="J220" s="52" t="n">
        <v>2000.62</v>
      </c>
      <c r="K220" s="51" t="s">
        <v>591</v>
      </c>
      <c r="L220" s="54" t="n">
        <f aca="false">IF(G220=0,"",F220/G220)</f>
        <v>-0.974996042886776</v>
      </c>
      <c r="M220" s="54" t="str">
        <f aca="false">IF(OR(L211="",L211&lt;=0,L220=""),"",L220/L211)</f>
        <v/>
      </c>
      <c r="N220" s="64" t="n">
        <f aca="false">IF(I220=0,"",F220/I220)</f>
        <v>-57.4069750331093</v>
      </c>
      <c r="O220" s="64" t="n">
        <f aca="false">IF(I220=0,"",G220/I220)</f>
        <v>58.8791877176632</v>
      </c>
      <c r="P220" s="52" t="s">
        <v>699</v>
      </c>
      <c r="Q220" s="52" t="n">
        <v>2136.96</v>
      </c>
    </row>
    <row r="221" customFormat="false" ht="15" hidden="false" customHeight="false" outlineLevel="0" collapsed="false">
      <c r="A221" s="51" t="s">
        <v>109</v>
      </c>
      <c r="B221" s="51" t="s">
        <v>148</v>
      </c>
      <c r="C221" s="51" t="s">
        <v>700</v>
      </c>
      <c r="D221" s="51" t="n">
        <v>5</v>
      </c>
      <c r="E221" s="51" t="s">
        <v>515</v>
      </c>
      <c r="F221" s="52" t="n">
        <v>-10155.57</v>
      </c>
      <c r="G221" s="52" t="n">
        <v>10455.72</v>
      </c>
      <c r="H221" s="53" t="n">
        <v>1.0151</v>
      </c>
      <c r="I221" s="52" t="n">
        <v>221.06</v>
      </c>
      <c r="J221" s="52" t="n">
        <v>500</v>
      </c>
      <c r="K221" s="51" t="s">
        <v>620</v>
      </c>
      <c r="L221" s="54" t="n">
        <f aca="false">IF(G221=0,"",F221/G221)</f>
        <v>-0.971293225143749</v>
      </c>
      <c r="M221" s="54" t="str">
        <f aca="false">IF(OR(L211="",L211&lt;=0,L221=""),"",L221/L211)</f>
        <v/>
      </c>
      <c r="N221" s="64" t="n">
        <f aca="false">IF(I221=0,"",F221/I221)</f>
        <v>-45.9403329412829</v>
      </c>
      <c r="O221" s="64" t="n">
        <f aca="false">IF(I221=0,"",G221/I221)</f>
        <v>47.2981091106487</v>
      </c>
      <c r="P221" s="52" t="s">
        <v>699</v>
      </c>
      <c r="Q221" s="52" t="n">
        <v>2136.96</v>
      </c>
    </row>
    <row r="222" customFormat="false" ht="15" hidden="false" customHeight="false" outlineLevel="0" collapsed="false">
      <c r="A222" s="51" t="s">
        <v>109</v>
      </c>
      <c r="B222" s="51" t="s">
        <v>148</v>
      </c>
      <c r="C222" s="51" t="s">
        <v>528</v>
      </c>
      <c r="D222" s="51" t="n">
        <v>1</v>
      </c>
      <c r="E222" s="51" t="s">
        <v>513</v>
      </c>
      <c r="F222" s="52" t="n">
        <v>-13556.66</v>
      </c>
      <c r="G222" s="52" t="n">
        <v>25600</v>
      </c>
      <c r="H222" s="53" t="n">
        <v>1.1613</v>
      </c>
      <c r="I222" s="52" t="n">
        <v>927.27</v>
      </c>
      <c r="J222" s="52" t="n">
        <v>12800</v>
      </c>
      <c r="K222" s="51" t="s">
        <v>562</v>
      </c>
      <c r="L222" s="54" t="n">
        <f aca="false">IF(G222=0,"",F222/G222)</f>
        <v>-0.52955703125</v>
      </c>
      <c r="M222" s="54" t="str">
        <f aca="false">IF(OR(L211="",L211&lt;=0,L222=""),"",L222/L211)</f>
        <v/>
      </c>
      <c r="N222" s="64" t="n">
        <f aca="false">IF(I222=0,"",F222/I222)</f>
        <v>-14.6199704508935</v>
      </c>
      <c r="O222" s="64" t="n">
        <f aca="false">IF(I222=0,"",G222/I222)</f>
        <v>27.6079243370324</v>
      </c>
      <c r="P222" s="52" t="s">
        <v>699</v>
      </c>
      <c r="Q222" s="52" t="s">
        <v>699</v>
      </c>
    </row>
    <row r="223" customFormat="false" ht="15" hidden="false" customHeight="false" outlineLevel="0" collapsed="false">
      <c r="A223" s="51" t="s">
        <v>109</v>
      </c>
      <c r="B223" s="51" t="s">
        <v>148</v>
      </c>
      <c r="C223" s="51" t="s">
        <v>528</v>
      </c>
      <c r="D223" s="51" t="n">
        <v>1</v>
      </c>
      <c r="E223" s="51" t="s">
        <v>515</v>
      </c>
      <c r="F223" s="52" t="n">
        <v>-10263.57</v>
      </c>
      <c r="G223" s="52" t="n">
        <v>13408.29</v>
      </c>
      <c r="H223" s="53" t="n">
        <v>1.0201</v>
      </c>
      <c r="I223" s="52" t="n">
        <v>370.42</v>
      </c>
      <c r="J223" s="52" t="n">
        <v>500</v>
      </c>
      <c r="K223" s="51" t="s">
        <v>671</v>
      </c>
      <c r="L223" s="54" t="n">
        <f aca="false">IF(G223=0,"",F223/G223)</f>
        <v>-0.765464499947421</v>
      </c>
      <c r="M223" s="54" t="str">
        <f aca="false">IF(OR(L211="",L211&lt;=0,L223=""),"",L223/L211)</f>
        <v/>
      </c>
      <c r="N223" s="64" t="n">
        <f aca="false">IF(I223=0,"",F223/I223)</f>
        <v>-27.7079261378975</v>
      </c>
      <c r="O223" s="64" t="n">
        <f aca="false">IF(I223=0,"",G223/I223)</f>
        <v>36.1975325306409</v>
      </c>
      <c r="P223" s="52" t="s">
        <v>699</v>
      </c>
      <c r="Q223" s="52" t="n">
        <v>2867.03</v>
      </c>
    </row>
    <row r="224" customFormat="false" ht="15" hidden="false" customHeight="false" outlineLevel="0" collapsed="false">
      <c r="A224" s="51" t="s">
        <v>109</v>
      </c>
      <c r="B224" s="51" t="s">
        <v>148</v>
      </c>
      <c r="C224" s="51" t="s">
        <v>528</v>
      </c>
      <c r="D224" s="51" t="n">
        <v>2</v>
      </c>
      <c r="E224" s="51" t="s">
        <v>513</v>
      </c>
      <c r="F224" s="52" t="n">
        <v>-11228.24</v>
      </c>
      <c r="G224" s="52" t="n">
        <v>12162.35</v>
      </c>
      <c r="H224" s="53" t="n">
        <v>1.1123</v>
      </c>
      <c r="I224" s="52" t="n">
        <v>332.94</v>
      </c>
      <c r="J224" s="52" t="n">
        <v>4054.12</v>
      </c>
      <c r="K224" s="51" t="s">
        <v>584</v>
      </c>
      <c r="L224" s="54" t="n">
        <f aca="false">IF(G224=0,"",F224/G224)</f>
        <v>-0.923196586186058</v>
      </c>
      <c r="M224" s="54" t="str">
        <f aca="false">IF(OR(L211="",L211&lt;=0,L224=""),"",L224/L211)</f>
        <v/>
      </c>
      <c r="N224" s="64" t="n">
        <f aca="false">IF(I224=0,"",F224/I224)</f>
        <v>-33.7245149276146</v>
      </c>
      <c r="O224" s="64" t="n">
        <f aca="false">IF(I224=0,"",G224/I224)</f>
        <v>36.5301555835886</v>
      </c>
      <c r="P224" s="52" t="s">
        <v>699</v>
      </c>
      <c r="Q224" s="52" t="s">
        <v>699</v>
      </c>
    </row>
    <row r="225" customFormat="false" ht="15" hidden="false" customHeight="false" outlineLevel="0" collapsed="false">
      <c r="A225" s="51" t="s">
        <v>109</v>
      </c>
      <c r="B225" s="51" t="s">
        <v>148</v>
      </c>
      <c r="C225" s="51" t="s">
        <v>528</v>
      </c>
      <c r="D225" s="51" t="n">
        <v>2</v>
      </c>
      <c r="E225" s="51" t="s">
        <v>515</v>
      </c>
      <c r="F225" s="52" t="n">
        <v>-10486.68</v>
      </c>
      <c r="G225" s="52" t="n">
        <v>11420.79</v>
      </c>
      <c r="H225" s="53" t="n">
        <v>1.0445</v>
      </c>
      <c r="I225" s="52" t="n">
        <v>281.19</v>
      </c>
      <c r="J225" s="52" t="n">
        <v>500</v>
      </c>
      <c r="K225" s="51" t="s">
        <v>670</v>
      </c>
      <c r="L225" s="54" t="n">
        <f aca="false">IF(G225=0,"",F225/G225)</f>
        <v>-0.918209686019969</v>
      </c>
      <c r="M225" s="54" t="str">
        <f aca="false">IF(OR(L211="",L211&lt;=0,L225=""),"",L225/L211)</f>
        <v/>
      </c>
      <c r="N225" s="64" t="n">
        <f aca="false">IF(I225=0,"",F225/I225)</f>
        <v>-37.2939293715993</v>
      </c>
      <c r="O225" s="64" t="n">
        <f aca="false">IF(I225=0,"",G225/I225)</f>
        <v>40.61591806252</v>
      </c>
      <c r="P225" s="52" t="s">
        <v>699</v>
      </c>
      <c r="Q225" s="52" t="n">
        <v>7177.85</v>
      </c>
    </row>
    <row r="226" customFormat="false" ht="15" hidden="false" customHeight="false" outlineLevel="0" collapsed="false">
      <c r="A226" s="51" t="s">
        <v>109</v>
      </c>
      <c r="B226" s="51" t="s">
        <v>148</v>
      </c>
      <c r="C226" s="51" t="s">
        <v>528</v>
      </c>
      <c r="D226" s="51" t="n">
        <v>3</v>
      </c>
      <c r="E226" s="51" t="s">
        <v>513</v>
      </c>
      <c r="F226" s="52" t="n">
        <v>-11910.93</v>
      </c>
      <c r="G226" s="52" t="n">
        <v>12427.09</v>
      </c>
      <c r="H226" s="53" t="n">
        <v>1.1817</v>
      </c>
      <c r="I226" s="52" t="n">
        <v>239.19</v>
      </c>
      <c r="J226" s="52" t="n">
        <v>3106.77</v>
      </c>
      <c r="K226" s="51" t="s">
        <v>677</v>
      </c>
      <c r="L226" s="54" t="n">
        <f aca="false">IF(G226=0,"",F226/G226)</f>
        <v>-0.958464934268602</v>
      </c>
      <c r="M226" s="54" t="str">
        <f aca="false">IF(OR(L211="",L211&lt;=0,L226=""),"",L226/L211)</f>
        <v/>
      </c>
      <c r="N226" s="64" t="n">
        <f aca="false">IF(I226=0,"",F226/I226)</f>
        <v>-49.7969396713909</v>
      </c>
      <c r="O226" s="64" t="n">
        <f aca="false">IF(I226=0,"",G226/I226)</f>
        <v>51.954889418454</v>
      </c>
      <c r="P226" s="52" t="s">
        <v>699</v>
      </c>
      <c r="Q226" s="52" t="n">
        <v>17889.15</v>
      </c>
    </row>
    <row r="227" customFormat="false" ht="15" hidden="false" customHeight="false" outlineLevel="0" collapsed="false">
      <c r="A227" s="51" t="s">
        <v>109</v>
      </c>
      <c r="B227" s="51" t="s">
        <v>148</v>
      </c>
      <c r="C227" s="51" t="s">
        <v>528</v>
      </c>
      <c r="D227" s="51" t="n">
        <v>3</v>
      </c>
      <c r="E227" s="51" t="s">
        <v>515</v>
      </c>
      <c r="F227" s="52" t="n">
        <v>-10180.8</v>
      </c>
      <c r="G227" s="52" t="n">
        <v>10696.97</v>
      </c>
      <c r="H227" s="53" t="n">
        <v>1.0172</v>
      </c>
      <c r="I227" s="52" t="n">
        <v>234.68</v>
      </c>
      <c r="J227" s="52" t="n">
        <v>500</v>
      </c>
      <c r="K227" s="51" t="s">
        <v>591</v>
      </c>
      <c r="L227" s="54" t="n">
        <f aca="false">IF(G227=0,"",F227/G227)</f>
        <v>-0.951746148675747</v>
      </c>
      <c r="M227" s="54" t="str">
        <f aca="false">IF(OR(L211="",L211&lt;=0,L227=""),"",L227/L211)</f>
        <v/>
      </c>
      <c r="N227" s="64" t="n">
        <f aca="false">IF(I227=0,"",F227/I227)</f>
        <v>-43.3816260439748</v>
      </c>
      <c r="O227" s="64" t="n">
        <f aca="false">IF(I227=0,"",G227/I227)</f>
        <v>45.5810891426623</v>
      </c>
      <c r="P227" s="52" t="s">
        <v>699</v>
      </c>
      <c r="Q227" s="52" t="n">
        <v>7523.79</v>
      </c>
    </row>
    <row r="228" customFormat="false" ht="15" hidden="false" customHeight="false" outlineLevel="0" collapsed="false">
      <c r="A228" s="51" t="s">
        <v>109</v>
      </c>
      <c r="B228" s="51" t="s">
        <v>148</v>
      </c>
      <c r="C228" s="51" t="s">
        <v>528</v>
      </c>
      <c r="D228" s="51" t="n">
        <v>4</v>
      </c>
      <c r="E228" s="51" t="s">
        <v>513</v>
      </c>
      <c r="F228" s="52" t="n">
        <v>-12472.66</v>
      </c>
      <c r="G228" s="52" t="n">
        <v>12759.08</v>
      </c>
      <c r="H228" s="53" t="n">
        <v>1.2404</v>
      </c>
      <c r="I228" s="52" t="n">
        <v>262.99</v>
      </c>
      <c r="J228" s="52" t="n">
        <v>2551.82</v>
      </c>
      <c r="K228" s="51" t="s">
        <v>673</v>
      </c>
      <c r="L228" s="54" t="n">
        <f aca="false">IF(G228=0,"",F228/G228)</f>
        <v>-0.977551673004637</v>
      </c>
      <c r="M228" s="54" t="str">
        <f aca="false">IF(OR(L211="",L211&lt;=0,L228=""),"",L228/L211)</f>
        <v/>
      </c>
      <c r="N228" s="64" t="n">
        <f aca="false">IF(I228=0,"",F228/I228)</f>
        <v>-47.4263660215217</v>
      </c>
      <c r="O228" s="64" t="n">
        <f aca="false">IF(I228=0,"",G228/I228)</f>
        <v>48.5154568614776</v>
      </c>
      <c r="P228" s="52" t="s">
        <v>699</v>
      </c>
      <c r="Q228" s="52" t="n">
        <v>10380.87</v>
      </c>
    </row>
    <row r="229" customFormat="false" ht="15" hidden="false" customHeight="false" outlineLevel="0" collapsed="false">
      <c r="A229" s="51" t="s">
        <v>109</v>
      </c>
      <c r="B229" s="51" t="s">
        <v>148</v>
      </c>
      <c r="C229" s="51" t="s">
        <v>528</v>
      </c>
      <c r="D229" s="51" t="n">
        <v>4</v>
      </c>
      <c r="E229" s="51" t="s">
        <v>515</v>
      </c>
      <c r="F229" s="52" t="n">
        <v>-10441.06</v>
      </c>
      <c r="G229" s="52" t="n">
        <v>10727.49</v>
      </c>
      <c r="H229" s="53" t="n">
        <v>1.0429</v>
      </c>
      <c r="I229" s="52" t="n">
        <v>241.69</v>
      </c>
      <c r="J229" s="52" t="n">
        <v>500</v>
      </c>
      <c r="K229" s="51" t="s">
        <v>679</v>
      </c>
      <c r="L229" s="54" t="n">
        <f aca="false">IF(G229=0,"",F229/G229)</f>
        <v>-0.973299439104581</v>
      </c>
      <c r="M229" s="54" t="str">
        <f aca="false">IF(OR(L211="",L211&lt;=0,L229=""),"",L229/L211)</f>
        <v/>
      </c>
      <c r="N229" s="64" t="n">
        <f aca="false">IF(I229=0,"",F229/I229)</f>
        <v>-43.2002151516405</v>
      </c>
      <c r="O229" s="64" t="n">
        <f aca="false">IF(I229=0,"",G229/I229)</f>
        <v>44.3853283131284</v>
      </c>
      <c r="P229" s="52" t="s">
        <v>699</v>
      </c>
      <c r="Q229" s="52" t="n">
        <v>6296.73</v>
      </c>
    </row>
    <row r="230" customFormat="false" ht="15" hidden="false" customHeight="false" outlineLevel="0" collapsed="false">
      <c r="A230" s="51" t="s">
        <v>109</v>
      </c>
      <c r="B230" s="51" t="s">
        <v>148</v>
      </c>
      <c r="C230" s="51" t="s">
        <v>528</v>
      </c>
      <c r="D230" s="51" t="n">
        <v>5</v>
      </c>
      <c r="E230" s="51" t="s">
        <v>513</v>
      </c>
      <c r="F230" s="52" t="n">
        <v>-10754.58</v>
      </c>
      <c r="G230" s="52" t="n">
        <v>11021.39</v>
      </c>
      <c r="H230" s="53" t="n">
        <v>1.0735</v>
      </c>
      <c r="I230" s="52" t="n">
        <v>202.84</v>
      </c>
      <c r="J230" s="52" t="n">
        <v>1836.9</v>
      </c>
      <c r="K230" s="51" t="s">
        <v>601</v>
      </c>
      <c r="L230" s="54" t="n">
        <f aca="false">IF(G230=0,"",F230/G230)</f>
        <v>-0.975791619750322</v>
      </c>
      <c r="M230" s="54" t="str">
        <f aca="false">IF(OR(L211="",L211&lt;=0,L230=""),"",L230/L211)</f>
        <v/>
      </c>
      <c r="N230" s="64" t="n">
        <f aca="false">IF(I230=0,"",F230/I230)</f>
        <v>-53.0200157759811</v>
      </c>
      <c r="O230" s="64" t="n">
        <f aca="false">IF(I230=0,"",G230/I230)</f>
        <v>54.335387497535</v>
      </c>
      <c r="P230" s="52" t="s">
        <v>699</v>
      </c>
      <c r="Q230" s="52" t="n">
        <v>5651.2</v>
      </c>
    </row>
    <row r="231" customFormat="false" ht="15" hidden="false" customHeight="false" outlineLevel="0" collapsed="false">
      <c r="A231" s="51" t="s">
        <v>109</v>
      </c>
      <c r="B231" s="51" t="s">
        <v>148</v>
      </c>
      <c r="C231" s="51" t="s">
        <v>528</v>
      </c>
      <c r="D231" s="51" t="n">
        <v>5</v>
      </c>
      <c r="E231" s="51" t="s">
        <v>515</v>
      </c>
      <c r="F231" s="52" t="n">
        <v>-10091.92</v>
      </c>
      <c r="G231" s="52" t="n">
        <v>10358.73</v>
      </c>
      <c r="H231" s="53" t="n">
        <v>1.009</v>
      </c>
      <c r="I231" s="52" t="n">
        <v>226.62</v>
      </c>
      <c r="J231" s="52" t="n">
        <v>500</v>
      </c>
      <c r="K231" s="51" t="s">
        <v>618</v>
      </c>
      <c r="L231" s="54" t="n">
        <f aca="false">IF(G231=0,"",F231/G231)</f>
        <v>-0.974242981523797</v>
      </c>
      <c r="M231" s="54" t="str">
        <f aca="false">IF(OR(L211="",L211&lt;=0,L231=""),"",L231/L211)</f>
        <v/>
      </c>
      <c r="N231" s="64" t="n">
        <f aca="false">IF(I231=0,"",F231/I231)</f>
        <v>-44.5323448945371</v>
      </c>
      <c r="O231" s="64" t="n">
        <f aca="false">IF(I231=0,"",G231/I231)</f>
        <v>45.7096902303415</v>
      </c>
      <c r="P231" s="52" t="s">
        <v>699</v>
      </c>
      <c r="Q231" s="52" t="n">
        <v>4339.23</v>
      </c>
    </row>
    <row r="233" customFormat="false" ht="15" hidden="false" customHeight="false" outlineLevel="0" collapsed="false">
      <c r="A233" s="5" t="s">
        <v>109</v>
      </c>
      <c r="B233" s="5" t="s">
        <v>24</v>
      </c>
      <c r="C233" s="5" t="s">
        <v>698</v>
      </c>
      <c r="D233" s="5" t="s">
        <v>549</v>
      </c>
      <c r="E233" s="5" t="s">
        <v>549</v>
      </c>
      <c r="F233" s="62" t="n">
        <v>3087.46</v>
      </c>
      <c r="G233" s="62" t="n">
        <v>400</v>
      </c>
      <c r="H233" s="42" t="n">
        <v>0.0344</v>
      </c>
      <c r="I233" s="62" t="n">
        <v>50</v>
      </c>
      <c r="J233" s="62" t="n">
        <v>50</v>
      </c>
      <c r="K233" s="5" t="s">
        <v>581</v>
      </c>
      <c r="L233" s="21" t="n">
        <f aca="false">IF(G233=0,"",F233/G233)</f>
        <v>7.71865</v>
      </c>
      <c r="M233" s="21" t="n">
        <v>1</v>
      </c>
      <c r="N233" s="63" t="n">
        <f aca="false">IF(I233=0,"",F233/I233)</f>
        <v>61.7492</v>
      </c>
      <c r="O233" s="63" t="n">
        <f aca="false">IF(I233=0,"",G233/I233)</f>
        <v>8</v>
      </c>
      <c r="P233" s="62" t="n">
        <v>1682.75</v>
      </c>
      <c r="Q233" s="62" t="n">
        <v>1404.7</v>
      </c>
    </row>
    <row r="234" customFormat="false" ht="15" hidden="false" customHeight="false" outlineLevel="0" collapsed="false">
      <c r="A234" s="8" t="s">
        <v>109</v>
      </c>
      <c r="B234" s="8" t="s">
        <v>24</v>
      </c>
      <c r="C234" s="8" t="s">
        <v>700</v>
      </c>
      <c r="D234" s="8" t="n">
        <v>1</v>
      </c>
      <c r="E234" s="8" t="s">
        <v>513</v>
      </c>
      <c r="F234" s="56" t="n">
        <v>19063.42</v>
      </c>
      <c r="G234" s="56" t="n">
        <v>6400</v>
      </c>
      <c r="H234" s="43" t="n">
        <v>0.3471</v>
      </c>
      <c r="I234" s="56" t="n">
        <v>187.1</v>
      </c>
      <c r="J234" s="56" t="n">
        <v>6400</v>
      </c>
      <c r="K234" s="8" t="s">
        <v>581</v>
      </c>
      <c r="L234" s="19" t="n">
        <f aca="false">IF(G234=0,"",F234/G234)</f>
        <v>2.978659375</v>
      </c>
      <c r="M234" s="19" t="n">
        <f aca="false">IF(OR(L233="",L233&lt;=0,L234=""),"",L234/L233)</f>
        <v>0.385904189851852</v>
      </c>
      <c r="N234" s="65" t="n">
        <f aca="false">IF(I234=0,"",F234/I234)</f>
        <v>101.888936397648</v>
      </c>
      <c r="O234" s="65" t="n">
        <f aca="false">IF(I234=0,"",G234/I234)</f>
        <v>34.206306787814</v>
      </c>
      <c r="P234" s="56" t="n">
        <v>8389.76</v>
      </c>
      <c r="Q234" s="56" t="n">
        <v>7574.07</v>
      </c>
    </row>
    <row r="235" customFormat="false" ht="15" hidden="false" customHeight="false" outlineLevel="0" collapsed="false">
      <c r="A235" s="8" t="s">
        <v>109</v>
      </c>
      <c r="B235" s="8" t="s">
        <v>24</v>
      </c>
      <c r="C235" s="8" t="s">
        <v>700</v>
      </c>
      <c r="D235" s="8" t="n">
        <v>1</v>
      </c>
      <c r="E235" s="8" t="s">
        <v>515</v>
      </c>
      <c r="F235" s="56" t="n">
        <v>9016.43</v>
      </c>
      <c r="G235" s="56" t="n">
        <v>2300</v>
      </c>
      <c r="H235" s="43" t="n">
        <v>0.1726</v>
      </c>
      <c r="I235" s="56" t="n">
        <v>116.47</v>
      </c>
      <c r="J235" s="56" t="n">
        <v>500</v>
      </c>
      <c r="K235" s="8" t="s">
        <v>581</v>
      </c>
      <c r="L235" s="19" t="n">
        <f aca="false">IF(G235=0,"",F235/G235)</f>
        <v>3.92018695652174</v>
      </c>
      <c r="M235" s="19" t="n">
        <f aca="false">IF(OR(L233="",L233&lt;=0,L235=""),"",L235/L233)</f>
        <v>0.507885051987296</v>
      </c>
      <c r="N235" s="65" t="n">
        <f aca="false">IF(I235=0,"",F235/I235)</f>
        <v>77.4141839100197</v>
      </c>
      <c r="O235" s="65" t="n">
        <f aca="false">IF(I235=0,"",G235/I235)</f>
        <v>19.7475744826994</v>
      </c>
      <c r="P235" s="56" t="n">
        <v>4265.82</v>
      </c>
      <c r="Q235" s="56" t="n">
        <v>4593.49</v>
      </c>
    </row>
    <row r="236" customFormat="false" ht="15" hidden="false" customHeight="false" outlineLevel="0" collapsed="false">
      <c r="A236" s="8" t="s">
        <v>109</v>
      </c>
      <c r="B236" s="8" t="s">
        <v>24</v>
      </c>
      <c r="C236" s="8" t="s">
        <v>700</v>
      </c>
      <c r="D236" s="8" t="n">
        <v>2</v>
      </c>
      <c r="E236" s="8" t="s">
        <v>513</v>
      </c>
      <c r="F236" s="56" t="n">
        <v>4523.07</v>
      </c>
      <c r="G236" s="56" t="n">
        <v>1139.06</v>
      </c>
      <c r="H236" s="43" t="n">
        <v>0.0919</v>
      </c>
      <c r="I236" s="56" t="n">
        <v>66.04</v>
      </c>
      <c r="J236" s="56" t="n">
        <v>569.53</v>
      </c>
      <c r="K236" s="8" t="s">
        <v>581</v>
      </c>
      <c r="L236" s="19" t="n">
        <f aca="false">IF(G236=0,"",F236/G236)</f>
        <v>3.97087949712921</v>
      </c>
      <c r="M236" s="19" t="n">
        <f aca="false">IF(OR(L233="",L233&lt;=0,L236=""),"",L236/L233)</f>
        <v>0.51445259172643</v>
      </c>
      <c r="N236" s="65" t="n">
        <f aca="false">IF(I236=0,"",F236/I236)</f>
        <v>68.4898546335554</v>
      </c>
      <c r="O236" s="65" t="n">
        <f aca="false">IF(I236=0,"",G236/I236)</f>
        <v>17.248031496063</v>
      </c>
      <c r="P236" s="56" t="n">
        <v>2344.54</v>
      </c>
      <c r="Q236" s="56" t="n">
        <v>2137.46</v>
      </c>
    </row>
    <row r="237" customFormat="false" ht="15" hidden="false" customHeight="false" outlineLevel="0" collapsed="false">
      <c r="A237" s="8" t="s">
        <v>109</v>
      </c>
      <c r="B237" s="8" t="s">
        <v>24</v>
      </c>
      <c r="C237" s="8" t="s">
        <v>700</v>
      </c>
      <c r="D237" s="8" t="n">
        <v>2</v>
      </c>
      <c r="E237" s="8" t="s">
        <v>515</v>
      </c>
      <c r="F237" s="56" t="n">
        <v>4449.32</v>
      </c>
      <c r="G237" s="56" t="n">
        <v>1139.06</v>
      </c>
      <c r="H237" s="43" t="n">
        <v>0.0919</v>
      </c>
      <c r="I237" s="56" t="n">
        <v>65.83</v>
      </c>
      <c r="J237" s="56" t="n">
        <v>500</v>
      </c>
      <c r="K237" s="8" t="s">
        <v>581</v>
      </c>
      <c r="L237" s="19" t="n">
        <f aca="false">IF(G237=0,"",F237/G237)</f>
        <v>3.90613312731551</v>
      </c>
      <c r="M237" s="19" t="n">
        <f aca="false">IF(OR(L233="",L233&lt;=0,L237=""),"",L237/L233)</f>
        <v>0.506064289391993</v>
      </c>
      <c r="N237" s="65" t="n">
        <f aca="false">IF(I237=0,"",F237/I237)</f>
        <v>67.5880297736594</v>
      </c>
      <c r="O237" s="65" t="n">
        <f aca="false">IF(I237=0,"",G237/I237)</f>
        <v>17.3030533191554</v>
      </c>
      <c r="P237" s="56" t="n">
        <v>2344.54</v>
      </c>
      <c r="Q237" s="56" t="n">
        <v>2137.46</v>
      </c>
    </row>
    <row r="238" customFormat="false" ht="15" hidden="false" customHeight="false" outlineLevel="0" collapsed="false">
      <c r="A238" s="8" t="s">
        <v>109</v>
      </c>
      <c r="B238" s="8" t="s">
        <v>24</v>
      </c>
      <c r="C238" s="8" t="s">
        <v>700</v>
      </c>
      <c r="D238" s="8" t="n">
        <v>3</v>
      </c>
      <c r="E238" s="8" t="s">
        <v>513</v>
      </c>
      <c r="F238" s="56" t="n">
        <v>3675.78</v>
      </c>
      <c r="G238" s="56" t="n">
        <v>632.1</v>
      </c>
      <c r="H238" s="43" t="n">
        <v>0.0527</v>
      </c>
      <c r="I238" s="56" t="n">
        <v>55.22</v>
      </c>
      <c r="J238" s="56" t="n">
        <v>210.7</v>
      </c>
      <c r="K238" s="8" t="s">
        <v>581</v>
      </c>
      <c r="L238" s="19" t="n">
        <f aca="false">IF(G238=0,"",F238/G238)</f>
        <v>5.81518747033697</v>
      </c>
      <c r="M238" s="19" t="n">
        <f aca="false">IF(OR(L233="",L233&lt;=0,L238=""),"",L238/L233)</f>
        <v>0.753394372116493</v>
      </c>
      <c r="N238" s="65" t="n">
        <f aca="false">IF(I238=0,"",F238/I238)</f>
        <v>66.566099239406</v>
      </c>
      <c r="O238" s="65" t="n">
        <f aca="false">IF(I238=0,"",G238/I238)</f>
        <v>11.4469395146686</v>
      </c>
      <c r="P238" s="56" t="n">
        <v>1953.02</v>
      </c>
      <c r="Q238" s="56" t="n">
        <v>1691.45</v>
      </c>
    </row>
    <row r="239" customFormat="false" ht="15" hidden="false" customHeight="false" outlineLevel="0" collapsed="false">
      <c r="A239" s="8" t="s">
        <v>109</v>
      </c>
      <c r="B239" s="8" t="s">
        <v>24</v>
      </c>
      <c r="C239" s="8" t="s">
        <v>700</v>
      </c>
      <c r="D239" s="8" t="n">
        <v>3</v>
      </c>
      <c r="E239" s="8" t="s">
        <v>515</v>
      </c>
      <c r="F239" s="56" t="n">
        <v>3675.78</v>
      </c>
      <c r="G239" s="56" t="n">
        <v>632.1</v>
      </c>
      <c r="H239" s="43" t="n">
        <v>0.0527</v>
      </c>
      <c r="I239" s="56" t="n">
        <v>55.22</v>
      </c>
      <c r="J239" s="56" t="n">
        <v>210.7</v>
      </c>
      <c r="K239" s="8" t="s">
        <v>581</v>
      </c>
      <c r="L239" s="19" t="n">
        <f aca="false">IF(G239=0,"",F239/G239)</f>
        <v>5.81518747033697</v>
      </c>
      <c r="M239" s="19" t="n">
        <f aca="false">IF(OR(L233="",L233&lt;=0,L239=""),"",L239/L233)</f>
        <v>0.753394372116493</v>
      </c>
      <c r="N239" s="65" t="n">
        <f aca="false">IF(I239=0,"",F239/I239)</f>
        <v>66.566099239406</v>
      </c>
      <c r="O239" s="65" t="n">
        <f aca="false">IF(I239=0,"",G239/I239)</f>
        <v>11.4469395146686</v>
      </c>
      <c r="P239" s="56" t="n">
        <v>1953.02</v>
      </c>
      <c r="Q239" s="56" t="n">
        <v>1691.45</v>
      </c>
    </row>
    <row r="240" customFormat="false" ht="15" hidden="false" customHeight="false" outlineLevel="0" collapsed="false">
      <c r="A240" s="8" t="s">
        <v>109</v>
      </c>
      <c r="B240" s="8" t="s">
        <v>24</v>
      </c>
      <c r="C240" s="8" t="s">
        <v>700</v>
      </c>
      <c r="D240" s="8" t="n">
        <v>4</v>
      </c>
      <c r="E240" s="8" t="s">
        <v>513</v>
      </c>
      <c r="F240" s="56" t="n">
        <v>3351.33</v>
      </c>
      <c r="G240" s="56" t="n">
        <v>488.28</v>
      </c>
      <c r="H240" s="43" t="n">
        <v>0.0413</v>
      </c>
      <c r="I240" s="56" t="n">
        <v>52.05</v>
      </c>
      <c r="J240" s="56" t="n">
        <v>122.07</v>
      </c>
      <c r="K240" s="8" t="s">
        <v>581</v>
      </c>
      <c r="L240" s="19" t="n">
        <f aca="false">IF(G240=0,"",F240/G240)</f>
        <v>6.86354141066601</v>
      </c>
      <c r="M240" s="19" t="n">
        <f aca="false">IF(OR(L233="",L233&lt;=0,L240=""),"",L240/L233)</f>
        <v>0.889215265709161</v>
      </c>
      <c r="N240" s="65" t="n">
        <f aca="false">IF(I240=0,"",F240/I240)</f>
        <v>64.3867435158501</v>
      </c>
      <c r="O240" s="65" t="n">
        <f aca="false">IF(I240=0,"",G240/I240)</f>
        <v>9.38097982708934</v>
      </c>
      <c r="P240" s="56" t="n">
        <v>1785.59</v>
      </c>
      <c r="Q240" s="56" t="n">
        <v>1540.99</v>
      </c>
    </row>
    <row r="241" customFormat="false" ht="15" hidden="false" customHeight="false" outlineLevel="0" collapsed="false">
      <c r="A241" s="8" t="s">
        <v>109</v>
      </c>
      <c r="B241" s="8" t="s">
        <v>24</v>
      </c>
      <c r="C241" s="8" t="s">
        <v>700</v>
      </c>
      <c r="D241" s="8" t="n">
        <v>4</v>
      </c>
      <c r="E241" s="8" t="s">
        <v>515</v>
      </c>
      <c r="F241" s="56" t="n">
        <v>3351.33</v>
      </c>
      <c r="G241" s="56" t="n">
        <v>488.28</v>
      </c>
      <c r="H241" s="43" t="n">
        <v>0.0413</v>
      </c>
      <c r="I241" s="56" t="n">
        <v>52.05</v>
      </c>
      <c r="J241" s="56" t="n">
        <v>122.07</v>
      </c>
      <c r="K241" s="8" t="s">
        <v>581</v>
      </c>
      <c r="L241" s="19" t="n">
        <f aca="false">IF(G241=0,"",F241/G241)</f>
        <v>6.86354141066601</v>
      </c>
      <c r="M241" s="19" t="n">
        <f aca="false">IF(OR(L233="",L233&lt;=0,L241=""),"",L241/L233)</f>
        <v>0.889215265709161</v>
      </c>
      <c r="N241" s="65" t="n">
        <f aca="false">IF(I241=0,"",F241/I241)</f>
        <v>64.3867435158501</v>
      </c>
      <c r="O241" s="65" t="n">
        <f aca="false">IF(I241=0,"",G241/I241)</f>
        <v>9.38097982708934</v>
      </c>
      <c r="P241" s="56" t="n">
        <v>1785.59</v>
      </c>
      <c r="Q241" s="56" t="n">
        <v>1540.99</v>
      </c>
    </row>
    <row r="242" customFormat="false" ht="15" hidden="false" customHeight="false" outlineLevel="0" collapsed="false">
      <c r="A242" s="8" t="s">
        <v>109</v>
      </c>
      <c r="B242" s="8" t="s">
        <v>24</v>
      </c>
      <c r="C242" s="8" t="s">
        <v>700</v>
      </c>
      <c r="D242" s="8" t="n">
        <v>5</v>
      </c>
      <c r="E242" s="8" t="s">
        <v>513</v>
      </c>
      <c r="F242" s="56" t="n">
        <v>3217.21</v>
      </c>
      <c r="G242" s="56" t="n">
        <v>432</v>
      </c>
      <c r="H242" s="43" t="n">
        <v>0.0367</v>
      </c>
      <c r="I242" s="56" t="n">
        <v>50.79</v>
      </c>
      <c r="J242" s="56" t="n">
        <v>86.4</v>
      </c>
      <c r="K242" s="8" t="s">
        <v>581</v>
      </c>
      <c r="L242" s="19" t="n">
        <f aca="false">IF(G242=0,"",F242/G242)</f>
        <v>7.44724537037037</v>
      </c>
      <c r="M242" s="19" t="n">
        <f aca="false">IF(OR(L233="",L233&lt;=0,L242=""),"",L242/L233)</f>
        <v>0.964837811064159</v>
      </c>
      <c r="N242" s="65" t="n">
        <f aca="false">IF(I242=0,"",F242/I242)</f>
        <v>63.3433746800551</v>
      </c>
      <c r="O242" s="65" t="n">
        <f aca="false">IF(I242=0,"",G242/I242)</f>
        <v>8.50561134081512</v>
      </c>
      <c r="P242" s="56" t="n">
        <v>1734.01</v>
      </c>
      <c r="Q242" s="56" t="n">
        <v>1471.82</v>
      </c>
    </row>
    <row r="243" customFormat="false" ht="15" hidden="false" customHeight="false" outlineLevel="0" collapsed="false">
      <c r="A243" s="8" t="s">
        <v>109</v>
      </c>
      <c r="B243" s="8" t="s">
        <v>24</v>
      </c>
      <c r="C243" s="8" t="s">
        <v>700</v>
      </c>
      <c r="D243" s="8" t="n">
        <v>5</v>
      </c>
      <c r="E243" s="8" t="s">
        <v>515</v>
      </c>
      <c r="F243" s="56" t="n">
        <v>3217.21</v>
      </c>
      <c r="G243" s="56" t="n">
        <v>432</v>
      </c>
      <c r="H243" s="43" t="n">
        <v>0.0367</v>
      </c>
      <c r="I243" s="56" t="n">
        <v>50.79</v>
      </c>
      <c r="J243" s="56" t="n">
        <v>86.4</v>
      </c>
      <c r="K243" s="8" t="s">
        <v>581</v>
      </c>
      <c r="L243" s="19" t="n">
        <f aca="false">IF(G243=0,"",F243/G243)</f>
        <v>7.44724537037037</v>
      </c>
      <c r="M243" s="19" t="n">
        <f aca="false">IF(OR(L233="",L233&lt;=0,L243=""),"",L243/L233)</f>
        <v>0.964837811064159</v>
      </c>
      <c r="N243" s="65" t="n">
        <f aca="false">IF(I243=0,"",F243/I243)</f>
        <v>63.3433746800551</v>
      </c>
      <c r="O243" s="65" t="n">
        <f aca="false">IF(I243=0,"",G243/I243)</f>
        <v>8.50561134081512</v>
      </c>
      <c r="P243" s="56" t="n">
        <v>1734.01</v>
      </c>
      <c r="Q243" s="56" t="n">
        <v>1471.82</v>
      </c>
    </row>
    <row r="244" customFormat="false" ht="15" hidden="false" customHeight="false" outlineLevel="0" collapsed="false">
      <c r="A244" s="51" t="s">
        <v>109</v>
      </c>
      <c r="B244" s="51" t="s">
        <v>24</v>
      </c>
      <c r="C244" s="51" t="s">
        <v>528</v>
      </c>
      <c r="D244" s="51" t="n">
        <v>1</v>
      </c>
      <c r="E244" s="51" t="s">
        <v>513</v>
      </c>
      <c r="F244" s="52" t="n">
        <v>-14138.72</v>
      </c>
      <c r="G244" s="52" t="n">
        <v>60041.24</v>
      </c>
      <c r="H244" s="53" t="n">
        <v>1.074</v>
      </c>
      <c r="I244" s="52" t="n">
        <v>1320.13</v>
      </c>
      <c r="J244" s="52" t="n">
        <v>30020.62</v>
      </c>
      <c r="K244" s="51" t="s">
        <v>599</v>
      </c>
      <c r="L244" s="54" t="n">
        <f aca="false">IF(G244=0,"",F244/G244)</f>
        <v>-0.235483477689668</v>
      </c>
      <c r="M244" s="54" t="n">
        <f aca="false">IF(OR(L233="",L233&lt;=0,L244=""),"",L244/L233)</f>
        <v>-0.0305083761654782</v>
      </c>
      <c r="N244" s="64" t="n">
        <f aca="false">IF(I244=0,"",F244/I244)</f>
        <v>-10.7100967328975</v>
      </c>
      <c r="O244" s="64" t="n">
        <f aca="false">IF(I244=0,"",G244/I244)</f>
        <v>45.4813086589957</v>
      </c>
      <c r="P244" s="52" t="n">
        <v>45433.45</v>
      </c>
      <c r="Q244" s="52" t="n">
        <v>39944.46</v>
      </c>
    </row>
    <row r="245" customFormat="false" ht="15" hidden="false" customHeight="false" outlineLevel="0" collapsed="false">
      <c r="A245" s="8" t="s">
        <v>109</v>
      </c>
      <c r="B245" s="8" t="s">
        <v>24</v>
      </c>
      <c r="C245" s="8" t="s">
        <v>528</v>
      </c>
      <c r="D245" s="8" t="n">
        <v>1</v>
      </c>
      <c r="E245" s="8" t="s">
        <v>515</v>
      </c>
      <c r="F245" s="56" t="n">
        <v>25225.62</v>
      </c>
      <c r="G245" s="56" t="n">
        <v>3800</v>
      </c>
      <c r="H245" s="43" t="n">
        <v>0.1938</v>
      </c>
      <c r="I245" s="56" t="n">
        <v>396.97</v>
      </c>
      <c r="J245" s="56" t="n">
        <v>500</v>
      </c>
      <c r="K245" s="8" t="s">
        <v>581</v>
      </c>
      <c r="L245" s="19" t="n">
        <f aca="false">IF(G245=0,"",F245/G245)</f>
        <v>6.63832105263158</v>
      </c>
      <c r="M245" s="19" t="n">
        <f aca="false">IF(OR(L233="",L233&lt;=0,L245=""),"",L245/L233)</f>
        <v>0.860036541705036</v>
      </c>
      <c r="N245" s="65" t="n">
        <f aca="false">IF(I245=0,"",F245/I245)</f>
        <v>63.5454064538882</v>
      </c>
      <c r="O245" s="65" t="n">
        <f aca="false">IF(I245=0,"",G245/I245)</f>
        <v>9.57251177670857</v>
      </c>
      <c r="P245" s="56" t="n">
        <v>11968.87</v>
      </c>
      <c r="Q245" s="56" t="n">
        <v>10034.54</v>
      </c>
    </row>
    <row r="246" customFormat="false" ht="15" hidden="false" customHeight="false" outlineLevel="0" collapsed="false">
      <c r="A246" s="8" t="s">
        <v>109</v>
      </c>
      <c r="B246" s="8" t="s">
        <v>24</v>
      </c>
      <c r="C246" s="8" t="s">
        <v>528</v>
      </c>
      <c r="D246" s="8" t="n">
        <v>2</v>
      </c>
      <c r="E246" s="8" t="s">
        <v>513</v>
      </c>
      <c r="F246" s="56" t="n">
        <v>27490.05</v>
      </c>
      <c r="G246" s="56" t="n">
        <v>8599.92</v>
      </c>
      <c r="H246" s="43" t="n">
        <v>0.4399</v>
      </c>
      <c r="I246" s="56" t="n">
        <v>396.65</v>
      </c>
      <c r="J246" s="56" t="n">
        <v>4299.96</v>
      </c>
      <c r="K246" s="8" t="s">
        <v>581</v>
      </c>
      <c r="L246" s="19" t="n">
        <f aca="false">IF(G246=0,"",F246/G246)</f>
        <v>3.19654717718304</v>
      </c>
      <c r="M246" s="19" t="n">
        <f aca="false">IF(OR(L233="",L233&lt;=0,L246=""),"",L246/L233)</f>
        <v>0.414132934798578</v>
      </c>
      <c r="N246" s="65" t="n">
        <f aca="false">IF(I246=0,"",F246/I246)</f>
        <v>69.3055590571032</v>
      </c>
      <c r="O246" s="65" t="n">
        <f aca="false">IF(I246=0,"",G246/I246)</f>
        <v>21.6813815706542</v>
      </c>
      <c r="P246" s="56" t="n">
        <v>9168.53</v>
      </c>
      <c r="Q246" s="56" t="n">
        <v>7503.58</v>
      </c>
    </row>
    <row r="247" customFormat="false" ht="15" hidden="false" customHeight="false" outlineLevel="0" collapsed="false">
      <c r="A247" s="8" t="s">
        <v>109</v>
      </c>
      <c r="B247" s="8" t="s">
        <v>24</v>
      </c>
      <c r="C247" s="8" t="s">
        <v>528</v>
      </c>
      <c r="D247" s="8" t="n">
        <v>2</v>
      </c>
      <c r="E247" s="8" t="s">
        <v>515</v>
      </c>
      <c r="F247" s="56" t="n">
        <v>21183.26</v>
      </c>
      <c r="G247" s="56" t="n">
        <v>3599.8</v>
      </c>
      <c r="H247" s="43" t="n">
        <v>0.1914</v>
      </c>
      <c r="I247" s="56" t="n">
        <v>337.08</v>
      </c>
      <c r="J247" s="56" t="n">
        <v>500</v>
      </c>
      <c r="K247" s="8" t="s">
        <v>581</v>
      </c>
      <c r="L247" s="19" t="n">
        <f aca="false">IF(G247=0,"",F247/G247)</f>
        <v>5.88456580921162</v>
      </c>
      <c r="M247" s="19" t="n">
        <f aca="false">IF(OR(L233="",L233&lt;=0,L247=""),"",L247/L233)</f>
        <v>0.762382775383211</v>
      </c>
      <c r="N247" s="65" t="n">
        <f aca="false">IF(I247=0,"",F247/I247)</f>
        <v>62.8434199596535</v>
      </c>
      <c r="O247" s="65" t="n">
        <f aca="false">IF(I247=0,"",G247/I247)</f>
        <v>10.6793639492109</v>
      </c>
      <c r="P247" s="56" t="n">
        <v>8437.29</v>
      </c>
      <c r="Q247" s="56" t="n">
        <v>7170.82</v>
      </c>
    </row>
    <row r="248" customFormat="false" ht="15" hidden="false" customHeight="false" outlineLevel="0" collapsed="false">
      <c r="A248" s="8" t="s">
        <v>109</v>
      </c>
      <c r="B248" s="8" t="s">
        <v>24</v>
      </c>
      <c r="C248" s="8" t="s">
        <v>528</v>
      </c>
      <c r="D248" s="8" t="n">
        <v>3</v>
      </c>
      <c r="E248" s="8" t="s">
        <v>513</v>
      </c>
      <c r="F248" s="56" t="n">
        <v>19213.61</v>
      </c>
      <c r="G248" s="56" t="n">
        <v>4131.36</v>
      </c>
      <c r="H248" s="43" t="n">
        <v>0.2547</v>
      </c>
      <c r="I248" s="56" t="n">
        <v>300.49</v>
      </c>
      <c r="J248" s="56" t="n">
        <v>1377.12</v>
      </c>
      <c r="K248" s="8" t="s">
        <v>581</v>
      </c>
      <c r="L248" s="19" t="n">
        <f aca="false">IF(G248=0,"",F248/G248)</f>
        <v>4.65067435420782</v>
      </c>
      <c r="M248" s="19" t="n">
        <f aca="false">IF(OR(L233="",L233&lt;=0,L248=""),"",L248/L233)</f>
        <v>0.602524321508012</v>
      </c>
      <c r="N248" s="65" t="n">
        <f aca="false">IF(I248=0,"",F248/I248)</f>
        <v>63.9409298146361</v>
      </c>
      <c r="O248" s="65" t="n">
        <f aca="false">IF(I248=0,"",G248/I248)</f>
        <v>13.748743718593</v>
      </c>
      <c r="P248" s="56" t="n">
        <v>5888.23</v>
      </c>
      <c r="Q248" s="56" t="n">
        <v>4097.29</v>
      </c>
    </row>
    <row r="249" customFormat="false" ht="15" hidden="false" customHeight="false" outlineLevel="0" collapsed="false">
      <c r="A249" s="8" t="s">
        <v>109</v>
      </c>
      <c r="B249" s="8" t="s">
        <v>24</v>
      </c>
      <c r="C249" s="8" t="s">
        <v>528</v>
      </c>
      <c r="D249" s="8" t="n">
        <v>3</v>
      </c>
      <c r="E249" s="8" t="s">
        <v>515</v>
      </c>
      <c r="F249" s="56" t="n">
        <v>17940.82</v>
      </c>
      <c r="G249" s="56" t="n">
        <v>3242.92</v>
      </c>
      <c r="H249" s="43" t="n">
        <v>0.1999</v>
      </c>
      <c r="I249" s="56" t="n">
        <v>288.64</v>
      </c>
      <c r="J249" s="56" t="n">
        <v>500</v>
      </c>
      <c r="K249" s="8" t="s">
        <v>581</v>
      </c>
      <c r="L249" s="19" t="n">
        <f aca="false">IF(G249=0,"",F249/G249)</f>
        <v>5.53230421965389</v>
      </c>
      <c r="M249" s="19" t="n">
        <f aca="false">IF(OR(L233="",L233&lt;=0,L249=""),"",L249/L233)</f>
        <v>0.716745055113769</v>
      </c>
      <c r="N249" s="65" t="n">
        <f aca="false">IF(I249=0,"",F249/I249)</f>
        <v>62.1563885809313</v>
      </c>
      <c r="O249" s="65" t="n">
        <f aca="false">IF(I249=0,"",G249/I249)</f>
        <v>11.2351718403548</v>
      </c>
      <c r="P249" s="56" t="n">
        <v>5888.23</v>
      </c>
      <c r="Q249" s="56" t="n">
        <v>4097.29</v>
      </c>
    </row>
    <row r="250" customFormat="false" ht="15" hidden="false" customHeight="false" outlineLevel="0" collapsed="false">
      <c r="A250" s="8" t="s">
        <v>109</v>
      </c>
      <c r="B250" s="8" t="s">
        <v>24</v>
      </c>
      <c r="C250" s="8" t="s">
        <v>528</v>
      </c>
      <c r="D250" s="8" t="n">
        <v>4</v>
      </c>
      <c r="E250" s="8" t="s">
        <v>513</v>
      </c>
      <c r="F250" s="56" t="n">
        <v>16860.77</v>
      </c>
      <c r="G250" s="56" t="n">
        <v>3017.65</v>
      </c>
      <c r="H250" s="43" t="n">
        <v>0.194</v>
      </c>
      <c r="I250" s="56" t="n">
        <v>277.05</v>
      </c>
      <c r="J250" s="56" t="n">
        <v>754.41</v>
      </c>
      <c r="K250" s="8" t="s">
        <v>581</v>
      </c>
      <c r="L250" s="19" t="n">
        <f aca="false">IF(G250=0,"",F250/G250)</f>
        <v>5.5873842228224</v>
      </c>
      <c r="M250" s="19" t="n">
        <f aca="false">IF(OR(L233="",L233&lt;=0,L250=""),"",L250/L233)</f>
        <v>0.723881018419334</v>
      </c>
      <c r="N250" s="65" t="n">
        <f aca="false">IF(I250=0,"",F250/I250)</f>
        <v>60.8582205378091</v>
      </c>
      <c r="O250" s="65" t="n">
        <f aca="false">IF(I250=0,"",G250/I250)</f>
        <v>10.892077242375</v>
      </c>
      <c r="P250" s="56" t="n">
        <v>5232.62</v>
      </c>
      <c r="Q250" s="56" t="n">
        <v>3270.49</v>
      </c>
    </row>
    <row r="251" customFormat="false" ht="15" hidden="false" customHeight="false" outlineLevel="0" collapsed="false">
      <c r="A251" s="8" t="s">
        <v>109</v>
      </c>
      <c r="B251" s="8" t="s">
        <v>24</v>
      </c>
      <c r="C251" s="8" t="s">
        <v>528</v>
      </c>
      <c r="D251" s="8" t="n">
        <v>4</v>
      </c>
      <c r="E251" s="8" t="s">
        <v>515</v>
      </c>
      <c r="F251" s="56" t="n">
        <v>16418.32</v>
      </c>
      <c r="G251" s="56" t="n">
        <v>2914.12</v>
      </c>
      <c r="H251" s="43" t="n">
        <v>0.1873</v>
      </c>
      <c r="I251" s="56" t="n">
        <v>274.24</v>
      </c>
      <c r="J251" s="56" t="n">
        <v>500</v>
      </c>
      <c r="K251" s="8" t="s">
        <v>581</v>
      </c>
      <c r="L251" s="19" t="n">
        <f aca="false">IF(G251=0,"",F251/G251)</f>
        <v>5.63405762288444</v>
      </c>
      <c r="M251" s="19" t="n">
        <f aca="false">IF(OR(L233="",L233&lt;=0,L251=""),"",L251/L233)</f>
        <v>0.729927853042234</v>
      </c>
      <c r="N251" s="65" t="n">
        <f aca="false">IF(I251=0,"",F251/I251)</f>
        <v>59.8684364060677</v>
      </c>
      <c r="O251" s="65" t="n">
        <f aca="false">IF(I251=0,"",G251/I251)</f>
        <v>10.6261668611435</v>
      </c>
      <c r="P251" s="56" t="n">
        <v>5232.62</v>
      </c>
      <c r="Q251" s="56" t="n">
        <v>3270.49</v>
      </c>
    </row>
    <row r="252" customFormat="false" ht="15" hidden="false" customHeight="false" outlineLevel="0" collapsed="false">
      <c r="A252" s="8" t="s">
        <v>109</v>
      </c>
      <c r="B252" s="8" t="s">
        <v>24</v>
      </c>
      <c r="C252" s="8" t="s">
        <v>528</v>
      </c>
      <c r="D252" s="8" t="n">
        <v>5</v>
      </c>
      <c r="E252" s="8" t="s">
        <v>513</v>
      </c>
      <c r="F252" s="56" t="n">
        <v>14640.51</v>
      </c>
      <c r="G252" s="56" t="n">
        <v>2583.25</v>
      </c>
      <c r="H252" s="43" t="n">
        <v>0.1627</v>
      </c>
      <c r="I252" s="56" t="n">
        <v>250.48</v>
      </c>
      <c r="J252" s="56" t="n">
        <v>516.65</v>
      </c>
      <c r="K252" s="8" t="s">
        <v>581</v>
      </c>
      <c r="L252" s="19" t="n">
        <f aca="false">IF(G252=0,"",F252/G252)</f>
        <v>5.66747701538759</v>
      </c>
      <c r="M252" s="19" t="n">
        <f aca="false">IF(OR(L233="",L233&lt;=0,L252=""),"",L252/L233)</f>
        <v>0.734257547030581</v>
      </c>
      <c r="N252" s="65" t="n">
        <f aca="false">IF(I252=0,"",F252/I252)</f>
        <v>58.449816352603</v>
      </c>
      <c r="O252" s="65" t="n">
        <f aca="false">IF(I252=0,"",G252/I252)</f>
        <v>10.3131986585755</v>
      </c>
      <c r="P252" s="56" t="n">
        <v>4153.48</v>
      </c>
      <c r="Q252" s="56" t="n">
        <v>3161.39</v>
      </c>
    </row>
    <row r="253" customFormat="false" ht="15" hidden="false" customHeight="false" outlineLevel="0" collapsed="false">
      <c r="A253" s="8" t="s">
        <v>109</v>
      </c>
      <c r="B253" s="8" t="s">
        <v>24</v>
      </c>
      <c r="C253" s="8" t="s">
        <v>528</v>
      </c>
      <c r="D253" s="8" t="n">
        <v>5</v>
      </c>
      <c r="E253" s="8" t="s">
        <v>515</v>
      </c>
      <c r="F253" s="56" t="n">
        <v>14591.26</v>
      </c>
      <c r="G253" s="56" t="n">
        <v>2583.25</v>
      </c>
      <c r="H253" s="43" t="n">
        <v>0.1627</v>
      </c>
      <c r="I253" s="56" t="n">
        <v>250.28</v>
      </c>
      <c r="J253" s="56" t="n">
        <v>500</v>
      </c>
      <c r="K253" s="8" t="s">
        <v>581</v>
      </c>
      <c r="L253" s="19" t="n">
        <f aca="false">IF(G253=0,"",F253/G253)</f>
        <v>5.64841188425433</v>
      </c>
      <c r="M253" s="19" t="n">
        <f aca="false">IF(OR(L233="",L233&lt;=0,L253=""),"",L253/L233)</f>
        <v>0.731787538527376</v>
      </c>
      <c r="N253" s="65" t="n">
        <f aca="false">IF(I253=0,"",F253/I253)</f>
        <v>58.2997442863992</v>
      </c>
      <c r="O253" s="65" t="n">
        <f aca="false">IF(I253=0,"",G253/I253)</f>
        <v>10.3214399872143</v>
      </c>
      <c r="P253" s="56" t="n">
        <v>4153.48</v>
      </c>
      <c r="Q253" s="56" t="n">
        <v>3161.39</v>
      </c>
    </row>
    <row r="255" customFormat="false" ht="15" hidden="false" customHeight="false" outlineLevel="0" collapsed="false">
      <c r="A255" s="5" t="s">
        <v>109</v>
      </c>
      <c r="B255" s="5" t="s">
        <v>59</v>
      </c>
      <c r="C255" s="5" t="s">
        <v>698</v>
      </c>
      <c r="D255" s="5" t="s">
        <v>549</v>
      </c>
      <c r="E255" s="5" t="s">
        <v>549</v>
      </c>
      <c r="F255" s="62" t="n">
        <v>1682.55</v>
      </c>
      <c r="G255" s="62" t="n">
        <v>288.64</v>
      </c>
      <c r="H255" s="42" t="n">
        <v>0.0242</v>
      </c>
      <c r="I255" s="62" t="n">
        <v>50</v>
      </c>
      <c r="J255" s="62" t="n">
        <v>50</v>
      </c>
      <c r="K255" s="5" t="s">
        <v>581</v>
      </c>
      <c r="L255" s="21" t="n">
        <f aca="false">IF(G255=0,"",F255/G255)</f>
        <v>5.82923364745011</v>
      </c>
      <c r="M255" s="21" t="n">
        <v>1</v>
      </c>
      <c r="N255" s="63" t="n">
        <f aca="false">IF(I255=0,"",F255/I255)</f>
        <v>33.651</v>
      </c>
      <c r="O255" s="63" t="n">
        <f aca="false">IF(I255=0,"",G255/I255)</f>
        <v>5.7728</v>
      </c>
      <c r="P255" s="62" t="n">
        <v>1012.39</v>
      </c>
      <c r="Q255" s="62" t="n">
        <v>670.17</v>
      </c>
    </row>
    <row r="256" customFormat="false" ht="15" hidden="false" customHeight="false" outlineLevel="0" collapsed="false">
      <c r="A256" s="8" t="s">
        <v>109</v>
      </c>
      <c r="B256" s="8" t="s">
        <v>59</v>
      </c>
      <c r="C256" s="8" t="s">
        <v>700</v>
      </c>
      <c r="D256" s="8" t="n">
        <v>1</v>
      </c>
      <c r="E256" s="8" t="s">
        <v>513</v>
      </c>
      <c r="F256" s="56" t="n">
        <v>2674.72</v>
      </c>
      <c r="G256" s="56" t="n">
        <v>906.95</v>
      </c>
      <c r="H256" s="43" t="n">
        <v>0.0717</v>
      </c>
      <c r="I256" s="56" t="n">
        <v>67.44</v>
      </c>
      <c r="J256" s="56" t="n">
        <v>921.95</v>
      </c>
      <c r="K256" s="8" t="s">
        <v>581</v>
      </c>
      <c r="L256" s="19" t="n">
        <f aca="false">IF(G256=0,"",F256/G256)</f>
        <v>2.94913721814874</v>
      </c>
      <c r="M256" s="19" t="n">
        <f aca="false">IF(OR(L255="",L255&lt;=0,L256=""),"",L256/L255)</f>
        <v>0.505921943862858</v>
      </c>
      <c r="N256" s="65" t="n">
        <f aca="false">IF(I256=0,"",F256/I256)</f>
        <v>39.6607354685646</v>
      </c>
      <c r="O256" s="65" t="n">
        <f aca="false">IF(I256=0,"",G256/I256)</f>
        <v>13.4482502965599</v>
      </c>
      <c r="P256" s="56" t="n">
        <v>1403.16</v>
      </c>
      <c r="Q256" s="56" t="n">
        <v>1271.56</v>
      </c>
    </row>
    <row r="257" customFormat="false" ht="15" hidden="false" customHeight="false" outlineLevel="0" collapsed="false">
      <c r="A257" s="8" t="s">
        <v>109</v>
      </c>
      <c r="B257" s="8" t="s">
        <v>59</v>
      </c>
      <c r="C257" s="8" t="s">
        <v>700</v>
      </c>
      <c r="D257" s="8" t="n">
        <v>1</v>
      </c>
      <c r="E257" s="8" t="s">
        <v>515</v>
      </c>
      <c r="F257" s="56" t="n">
        <v>2248.27</v>
      </c>
      <c r="G257" s="56" t="n">
        <v>906.95</v>
      </c>
      <c r="H257" s="43" t="n">
        <v>0.0717</v>
      </c>
      <c r="I257" s="56" t="n">
        <v>65.28</v>
      </c>
      <c r="J257" s="56" t="n">
        <v>500</v>
      </c>
      <c r="K257" s="8" t="s">
        <v>581</v>
      </c>
      <c r="L257" s="19" t="n">
        <f aca="false">IF(G257=0,"",F257/G257)</f>
        <v>2.47893489166988</v>
      </c>
      <c r="M257" s="19" t="n">
        <f aca="false">IF(OR(L255="",L255&lt;=0,L257=""),"",L257/L255)</f>
        <v>0.425259140668387</v>
      </c>
      <c r="N257" s="65" t="n">
        <f aca="false">IF(I257=0,"",F257/I257)</f>
        <v>34.4404105392157</v>
      </c>
      <c r="O257" s="65" t="n">
        <f aca="false">IF(I257=0,"",G257/I257)</f>
        <v>13.8932291666667</v>
      </c>
      <c r="P257" s="56" t="n">
        <v>1403.16</v>
      </c>
      <c r="Q257" s="56" t="n">
        <v>845.11</v>
      </c>
    </row>
    <row r="258" customFormat="false" ht="15" hidden="false" customHeight="false" outlineLevel="0" collapsed="false">
      <c r="A258" s="8" t="s">
        <v>109</v>
      </c>
      <c r="B258" s="8" t="s">
        <v>59</v>
      </c>
      <c r="C258" s="8" t="s">
        <v>700</v>
      </c>
      <c r="D258" s="8" t="n">
        <v>2</v>
      </c>
      <c r="E258" s="8" t="s">
        <v>513</v>
      </c>
      <c r="F258" s="56" t="n">
        <v>1887.11</v>
      </c>
      <c r="G258" s="56" t="n">
        <v>470.38</v>
      </c>
      <c r="H258" s="43" t="n">
        <v>0.0388</v>
      </c>
      <c r="I258" s="56" t="n">
        <v>54.51</v>
      </c>
      <c r="J258" s="56" t="n">
        <v>242.4</v>
      </c>
      <c r="K258" s="8" t="s">
        <v>581</v>
      </c>
      <c r="L258" s="19" t="n">
        <f aca="false">IF(G258=0,"",F258/G258)</f>
        <v>4.01188400867384</v>
      </c>
      <c r="M258" s="19" t="n">
        <f aca="false">IF(OR(L255="",L255&lt;=0,L258=""),"",L258/L255)</f>
        <v>0.68823523833682</v>
      </c>
      <c r="N258" s="65" t="n">
        <f aca="false">IF(I258=0,"",F258/I258)</f>
        <v>34.6195193542469</v>
      </c>
      <c r="O258" s="65" t="n">
        <f aca="false">IF(I258=0,"",G258/I258)</f>
        <v>8.62924234085489</v>
      </c>
      <c r="P258" s="56" t="n">
        <v>1111.69</v>
      </c>
      <c r="Q258" s="56" t="n">
        <v>775.42</v>
      </c>
    </row>
    <row r="259" customFormat="false" ht="15" hidden="false" customHeight="false" outlineLevel="0" collapsed="false">
      <c r="A259" s="8" t="s">
        <v>109</v>
      </c>
      <c r="B259" s="8" t="s">
        <v>59</v>
      </c>
      <c r="C259" s="8" t="s">
        <v>700</v>
      </c>
      <c r="D259" s="8" t="n">
        <v>2</v>
      </c>
      <c r="E259" s="8" t="s">
        <v>515</v>
      </c>
      <c r="F259" s="56" t="n">
        <v>1887.11</v>
      </c>
      <c r="G259" s="56" t="n">
        <v>470.38</v>
      </c>
      <c r="H259" s="43" t="n">
        <v>0.0388</v>
      </c>
      <c r="I259" s="56" t="n">
        <v>54.51</v>
      </c>
      <c r="J259" s="56" t="n">
        <v>242.4</v>
      </c>
      <c r="K259" s="8" t="s">
        <v>581</v>
      </c>
      <c r="L259" s="19" t="n">
        <f aca="false">IF(G259=0,"",F259/G259)</f>
        <v>4.01188400867384</v>
      </c>
      <c r="M259" s="19" t="n">
        <f aca="false">IF(OR(L255="",L255&lt;=0,L259=""),"",L259/L255)</f>
        <v>0.68823523833682</v>
      </c>
      <c r="N259" s="65" t="n">
        <f aca="false">IF(I259=0,"",F259/I259)</f>
        <v>34.6195193542469</v>
      </c>
      <c r="O259" s="65" t="n">
        <f aca="false">IF(I259=0,"",G259/I259)</f>
        <v>8.62924234085489</v>
      </c>
      <c r="P259" s="56" t="n">
        <v>1111.69</v>
      </c>
      <c r="Q259" s="56" t="n">
        <v>775.42</v>
      </c>
    </row>
    <row r="260" customFormat="false" ht="15" hidden="false" customHeight="false" outlineLevel="0" collapsed="false">
      <c r="A260" s="8" t="s">
        <v>109</v>
      </c>
      <c r="B260" s="8" t="s">
        <v>59</v>
      </c>
      <c r="C260" s="8" t="s">
        <v>700</v>
      </c>
      <c r="D260" s="8" t="n">
        <v>3</v>
      </c>
      <c r="E260" s="8" t="s">
        <v>513</v>
      </c>
      <c r="F260" s="56" t="n">
        <v>1774.85</v>
      </c>
      <c r="G260" s="56" t="n">
        <v>347.6</v>
      </c>
      <c r="H260" s="43" t="n">
        <v>0.029</v>
      </c>
      <c r="I260" s="56" t="n">
        <v>51.39</v>
      </c>
      <c r="J260" s="56" t="n">
        <v>120.68</v>
      </c>
      <c r="K260" s="8" t="s">
        <v>581</v>
      </c>
      <c r="L260" s="19" t="n">
        <f aca="false">IF(G260=0,"",F260/G260)</f>
        <v>5.10601265822785</v>
      </c>
      <c r="M260" s="19" t="n">
        <f aca="false">IF(OR(L255="",L255&lt;=0,L260=""),"",L260/L255)</f>
        <v>0.87593206363608</v>
      </c>
      <c r="N260" s="65" t="n">
        <f aca="false">IF(I260=0,"",F260/I260)</f>
        <v>34.536874878381</v>
      </c>
      <c r="O260" s="65" t="n">
        <f aca="false">IF(I260=0,"",G260/I260)</f>
        <v>6.7639618602841</v>
      </c>
      <c r="P260" s="56" t="n">
        <v>1058.56</v>
      </c>
      <c r="Q260" s="56" t="n">
        <v>716.29</v>
      </c>
    </row>
    <row r="261" customFormat="false" ht="15" hidden="false" customHeight="false" outlineLevel="0" collapsed="false">
      <c r="A261" s="8" t="s">
        <v>109</v>
      </c>
      <c r="B261" s="8" t="s">
        <v>59</v>
      </c>
      <c r="C261" s="8" t="s">
        <v>700</v>
      </c>
      <c r="D261" s="8" t="n">
        <v>3</v>
      </c>
      <c r="E261" s="8" t="s">
        <v>515</v>
      </c>
      <c r="F261" s="56" t="n">
        <v>1774.85</v>
      </c>
      <c r="G261" s="56" t="n">
        <v>347.6</v>
      </c>
      <c r="H261" s="43" t="n">
        <v>0.029</v>
      </c>
      <c r="I261" s="56" t="n">
        <v>51.39</v>
      </c>
      <c r="J261" s="56" t="n">
        <v>120.68</v>
      </c>
      <c r="K261" s="8" t="s">
        <v>581</v>
      </c>
      <c r="L261" s="19" t="n">
        <f aca="false">IF(G261=0,"",F261/G261)</f>
        <v>5.10601265822785</v>
      </c>
      <c r="M261" s="19" t="n">
        <f aca="false">IF(OR(L255="",L255&lt;=0,L261=""),"",L261/L255)</f>
        <v>0.87593206363608</v>
      </c>
      <c r="N261" s="65" t="n">
        <f aca="false">IF(I261=0,"",F261/I261)</f>
        <v>34.536874878381</v>
      </c>
      <c r="O261" s="65" t="n">
        <f aca="false">IF(I261=0,"",G261/I261)</f>
        <v>6.7639618602841</v>
      </c>
      <c r="P261" s="56" t="n">
        <v>1058.56</v>
      </c>
      <c r="Q261" s="56" t="n">
        <v>716.29</v>
      </c>
    </row>
    <row r="262" customFormat="false" ht="15" hidden="false" customHeight="false" outlineLevel="0" collapsed="false">
      <c r="A262" s="8" t="s">
        <v>109</v>
      </c>
      <c r="B262" s="8" t="s">
        <v>59</v>
      </c>
      <c r="C262" s="8" t="s">
        <v>700</v>
      </c>
      <c r="D262" s="8" t="n">
        <v>4</v>
      </c>
      <c r="E262" s="8" t="s">
        <v>513</v>
      </c>
      <c r="F262" s="56" t="n">
        <v>1711.56</v>
      </c>
      <c r="G262" s="56" t="n">
        <v>302.47</v>
      </c>
      <c r="H262" s="43" t="n">
        <v>0.0253</v>
      </c>
      <c r="I262" s="56" t="n">
        <v>50.31</v>
      </c>
      <c r="J262" s="56" t="n">
        <v>79.22</v>
      </c>
      <c r="K262" s="8" t="s">
        <v>581</v>
      </c>
      <c r="L262" s="19" t="n">
        <f aca="false">IF(G262=0,"",F262/G262)</f>
        <v>5.65861077131616</v>
      </c>
      <c r="M262" s="19" t="n">
        <f aca="false">IF(OR(L255="",L255&lt;=0,L262=""),"",L262/L255)</f>
        <v>0.970729792893345</v>
      </c>
      <c r="N262" s="65" t="n">
        <f aca="false">IF(I262=0,"",F262/I262)</f>
        <v>34.0202742993441</v>
      </c>
      <c r="O262" s="65" t="n">
        <f aca="false">IF(I262=0,"",G262/I262)</f>
        <v>6.01212482607832</v>
      </c>
      <c r="P262" s="56" t="n">
        <v>1024.25</v>
      </c>
      <c r="Q262" s="56" t="n">
        <v>687.31</v>
      </c>
    </row>
    <row r="263" customFormat="false" ht="15" hidden="false" customHeight="false" outlineLevel="0" collapsed="false">
      <c r="A263" s="8" t="s">
        <v>109</v>
      </c>
      <c r="B263" s="8" t="s">
        <v>59</v>
      </c>
      <c r="C263" s="8" t="s">
        <v>700</v>
      </c>
      <c r="D263" s="8" t="n">
        <v>4</v>
      </c>
      <c r="E263" s="8" t="s">
        <v>515</v>
      </c>
      <c r="F263" s="56" t="n">
        <v>1711.56</v>
      </c>
      <c r="G263" s="56" t="n">
        <v>302.47</v>
      </c>
      <c r="H263" s="43" t="n">
        <v>0.0253</v>
      </c>
      <c r="I263" s="56" t="n">
        <v>50.31</v>
      </c>
      <c r="J263" s="56" t="n">
        <v>79.22</v>
      </c>
      <c r="K263" s="8" t="s">
        <v>581</v>
      </c>
      <c r="L263" s="19" t="n">
        <f aca="false">IF(G263=0,"",F263/G263)</f>
        <v>5.65861077131616</v>
      </c>
      <c r="M263" s="19" t="n">
        <f aca="false">IF(OR(L255="",L255&lt;=0,L263=""),"",L263/L255)</f>
        <v>0.970729792893345</v>
      </c>
      <c r="N263" s="65" t="n">
        <f aca="false">IF(I263=0,"",F263/I263)</f>
        <v>34.0202742993441</v>
      </c>
      <c r="O263" s="65" t="n">
        <f aca="false">IF(I263=0,"",G263/I263)</f>
        <v>6.01212482607832</v>
      </c>
      <c r="P263" s="56" t="n">
        <v>1024.25</v>
      </c>
      <c r="Q263" s="56" t="n">
        <v>687.31</v>
      </c>
    </row>
    <row r="264" customFormat="false" ht="15" hidden="false" customHeight="false" outlineLevel="0" collapsed="false">
      <c r="A264" s="8" t="s">
        <v>109</v>
      </c>
      <c r="B264" s="8" t="s">
        <v>59</v>
      </c>
      <c r="C264" s="8" t="s">
        <v>700</v>
      </c>
      <c r="D264" s="8" t="n">
        <v>5</v>
      </c>
      <c r="E264" s="8" t="s">
        <v>513</v>
      </c>
      <c r="F264" s="56" t="n">
        <v>1693.07</v>
      </c>
      <c r="G264" s="56" t="n">
        <v>289.25</v>
      </c>
      <c r="H264" s="43" t="n">
        <v>0.0243</v>
      </c>
      <c r="I264" s="56" t="n">
        <v>50.06</v>
      </c>
      <c r="J264" s="56" t="n">
        <v>60.73</v>
      </c>
      <c r="K264" s="8" t="s">
        <v>581</v>
      </c>
      <c r="L264" s="19" t="n">
        <f aca="false">IF(G264=0,"",F264/G264)</f>
        <v>5.8533102852204</v>
      </c>
      <c r="M264" s="19" t="n">
        <f aca="false">IF(OR(L255="",L255&lt;=0,L264=""),"",L264/L255)</f>
        <v>1.00413032642478</v>
      </c>
      <c r="N264" s="65" t="n">
        <f aca="false">IF(I264=0,"",F264/I264)</f>
        <v>33.8208150219736</v>
      </c>
      <c r="O264" s="65" t="n">
        <f aca="false">IF(I264=0,"",G264/I264)</f>
        <v>5.7780663204155</v>
      </c>
      <c r="P264" s="56" t="n">
        <v>1012.66</v>
      </c>
      <c r="Q264" s="56" t="n">
        <v>680.41</v>
      </c>
    </row>
    <row r="265" customFormat="false" ht="15" hidden="false" customHeight="false" outlineLevel="0" collapsed="false">
      <c r="A265" s="8" t="s">
        <v>109</v>
      </c>
      <c r="B265" s="8" t="s">
        <v>59</v>
      </c>
      <c r="C265" s="8" t="s">
        <v>700</v>
      </c>
      <c r="D265" s="8" t="n">
        <v>5</v>
      </c>
      <c r="E265" s="8" t="s">
        <v>515</v>
      </c>
      <c r="F265" s="56" t="n">
        <v>1693.07</v>
      </c>
      <c r="G265" s="56" t="n">
        <v>289.25</v>
      </c>
      <c r="H265" s="43" t="n">
        <v>0.0243</v>
      </c>
      <c r="I265" s="56" t="n">
        <v>50.06</v>
      </c>
      <c r="J265" s="56" t="n">
        <v>60.73</v>
      </c>
      <c r="K265" s="8" t="s">
        <v>581</v>
      </c>
      <c r="L265" s="19" t="n">
        <f aca="false">IF(G265=0,"",F265/G265)</f>
        <v>5.8533102852204</v>
      </c>
      <c r="M265" s="19" t="n">
        <f aca="false">IF(OR(L255="",L255&lt;=0,L265=""),"",L265/L255)</f>
        <v>1.00413032642478</v>
      </c>
      <c r="N265" s="65" t="n">
        <f aca="false">IF(I265=0,"",F265/I265)</f>
        <v>33.8208150219736</v>
      </c>
      <c r="O265" s="65" t="n">
        <f aca="false">IF(I265=0,"",G265/I265)</f>
        <v>5.7780663204155</v>
      </c>
      <c r="P265" s="56" t="n">
        <v>1012.66</v>
      </c>
      <c r="Q265" s="56" t="n">
        <v>680.41</v>
      </c>
    </row>
    <row r="266" customFormat="false" ht="15" hidden="false" customHeight="false" outlineLevel="0" collapsed="false">
      <c r="A266" s="8" t="s">
        <v>109</v>
      </c>
      <c r="B266" s="8" t="s">
        <v>59</v>
      </c>
      <c r="C266" s="8" t="s">
        <v>528</v>
      </c>
      <c r="D266" s="8" t="n">
        <v>1</v>
      </c>
      <c r="E266" s="8" t="s">
        <v>513</v>
      </c>
      <c r="F266" s="56" t="n">
        <v>12199.75</v>
      </c>
      <c r="G266" s="56" t="n">
        <v>7241.95</v>
      </c>
      <c r="H266" s="43" t="n">
        <v>0.3291</v>
      </c>
      <c r="I266" s="56" t="n">
        <v>343.66</v>
      </c>
      <c r="J266" s="56" t="n">
        <v>7360.92</v>
      </c>
      <c r="K266" s="8" t="s">
        <v>581</v>
      </c>
      <c r="L266" s="19" t="n">
        <f aca="false">IF(G266=0,"",F266/G266)</f>
        <v>1.68459461885266</v>
      </c>
      <c r="M266" s="19" t="n">
        <f aca="false">IF(OR(L255="",L255&lt;=0,L266=""),"",L266/L255)</f>
        <v>0.288990752599109</v>
      </c>
      <c r="N266" s="65" t="n">
        <f aca="false">IF(I266=0,"",F266/I266)</f>
        <v>35.4994762265029</v>
      </c>
      <c r="O266" s="65" t="n">
        <f aca="false">IF(I266=0,"",G266/I266)</f>
        <v>21.0730082057848</v>
      </c>
      <c r="P266" s="56" t="n">
        <v>3507.42</v>
      </c>
      <c r="Q266" s="56" t="n">
        <v>2801.13</v>
      </c>
    </row>
    <row r="267" customFormat="false" ht="15" hidden="false" customHeight="false" outlineLevel="0" collapsed="false">
      <c r="A267" s="8" t="s">
        <v>109</v>
      </c>
      <c r="B267" s="8" t="s">
        <v>59</v>
      </c>
      <c r="C267" s="8" t="s">
        <v>528</v>
      </c>
      <c r="D267" s="8" t="n">
        <v>1</v>
      </c>
      <c r="E267" s="8" t="s">
        <v>515</v>
      </c>
      <c r="F267" s="56" t="n">
        <v>7472.49</v>
      </c>
      <c r="G267" s="56" t="n">
        <v>2525.61</v>
      </c>
      <c r="H267" s="43" t="n">
        <v>0.1296</v>
      </c>
      <c r="I267" s="56" t="n">
        <v>286.66</v>
      </c>
      <c r="J267" s="56" t="n">
        <v>500</v>
      </c>
      <c r="K267" s="8" t="s">
        <v>581</v>
      </c>
      <c r="L267" s="19" t="n">
        <f aca="false">IF(G267=0,"",F267/G267)</f>
        <v>2.9586872082388</v>
      </c>
      <c r="M267" s="19" t="n">
        <f aca="false">IF(OR(L255="",L255&lt;=0,L267=""),"",L267/L255)</f>
        <v>0.50756023641856</v>
      </c>
      <c r="N267" s="65" t="n">
        <f aca="false">IF(I267=0,"",F267/I267)</f>
        <v>26.0674318007396</v>
      </c>
      <c r="O267" s="65" t="n">
        <f aca="false">IF(I267=0,"",G267/I267)</f>
        <v>8.81047233656597</v>
      </c>
      <c r="P267" s="56" t="n">
        <v>3149.74</v>
      </c>
      <c r="Q267" s="56" t="n">
        <v>1227.62</v>
      </c>
    </row>
    <row r="268" customFormat="false" ht="15" hidden="false" customHeight="false" outlineLevel="0" collapsed="false">
      <c r="A268" s="8" t="s">
        <v>109</v>
      </c>
      <c r="B268" s="8" t="s">
        <v>59</v>
      </c>
      <c r="C268" s="8" t="s">
        <v>528</v>
      </c>
      <c r="D268" s="8" t="n">
        <v>2</v>
      </c>
      <c r="E268" s="8" t="s">
        <v>513</v>
      </c>
      <c r="F268" s="56" t="n">
        <v>6022.9</v>
      </c>
      <c r="G268" s="56" t="n">
        <v>3325.74</v>
      </c>
      <c r="H268" s="43" t="n">
        <v>0.1888</v>
      </c>
      <c r="I268" s="56" t="n">
        <v>211.74</v>
      </c>
      <c r="J268" s="56" t="n">
        <v>1716.44</v>
      </c>
      <c r="K268" s="8" t="s">
        <v>581</v>
      </c>
      <c r="L268" s="19" t="n">
        <f aca="false">IF(G268=0,"",F268/G268)</f>
        <v>1.8109954476297</v>
      </c>
      <c r="M268" s="19" t="n">
        <f aca="false">IF(OR(L255="",L255&lt;=0,L268=""),"",L268/L255)</f>
        <v>0.310674705657387</v>
      </c>
      <c r="N268" s="65" t="n">
        <f aca="false">IF(I268=0,"",F268/I268)</f>
        <v>28.4447907811467</v>
      </c>
      <c r="O268" s="65" t="n">
        <f aca="false">IF(I268=0,"",G268/I268)</f>
        <v>15.7067157835081</v>
      </c>
      <c r="P268" s="56" t="n">
        <v>2139.35</v>
      </c>
      <c r="Q268" s="56" t="n">
        <v>950.61</v>
      </c>
    </row>
    <row r="269" customFormat="false" ht="15" hidden="false" customHeight="false" outlineLevel="0" collapsed="false">
      <c r="A269" s="8" t="s">
        <v>109</v>
      </c>
      <c r="B269" s="8" t="s">
        <v>59</v>
      </c>
      <c r="C269" s="8" t="s">
        <v>528</v>
      </c>
      <c r="D269" s="8" t="n">
        <v>2</v>
      </c>
      <c r="E269" s="8" t="s">
        <v>515</v>
      </c>
      <c r="F269" s="56" t="n">
        <v>5704.77</v>
      </c>
      <c r="G269" s="56" t="n">
        <v>2414.45</v>
      </c>
      <c r="H269" s="43" t="n">
        <v>0.1371</v>
      </c>
      <c r="I269" s="56" t="n">
        <v>199.06</v>
      </c>
      <c r="J269" s="56" t="n">
        <v>500</v>
      </c>
      <c r="K269" s="8" t="s">
        <v>581</v>
      </c>
      <c r="L269" s="19" t="n">
        <f aca="false">IF(G269=0,"",F269/G269)</f>
        <v>2.36276170556442</v>
      </c>
      <c r="M269" s="19" t="n">
        <f aca="false">IF(OR(L255="",L255&lt;=0,L269=""),"",L269/L255)</f>
        <v>0.40532973088117</v>
      </c>
      <c r="N269" s="65" t="n">
        <f aca="false">IF(I269=0,"",F269/I269)</f>
        <v>28.6585451622626</v>
      </c>
      <c r="O269" s="65" t="n">
        <f aca="false">IF(I269=0,"",G269/I269)</f>
        <v>12.1292575102984</v>
      </c>
      <c r="P269" s="56" t="n">
        <v>2139.35</v>
      </c>
      <c r="Q269" s="56" t="n">
        <v>723.66</v>
      </c>
    </row>
    <row r="270" customFormat="false" ht="15" hidden="false" customHeight="false" outlineLevel="0" collapsed="false">
      <c r="A270" s="8" t="s">
        <v>109</v>
      </c>
      <c r="B270" s="8" t="s">
        <v>59</v>
      </c>
      <c r="C270" s="8" t="s">
        <v>528</v>
      </c>
      <c r="D270" s="8" t="n">
        <v>3</v>
      </c>
      <c r="E270" s="8" t="s">
        <v>513</v>
      </c>
      <c r="F270" s="56" t="n">
        <v>5082.19</v>
      </c>
      <c r="G270" s="56" t="n">
        <v>2356.91</v>
      </c>
      <c r="H270" s="43" t="n">
        <v>0.1419</v>
      </c>
      <c r="I270" s="56" t="n">
        <v>179.55</v>
      </c>
      <c r="J270" s="56" t="n">
        <v>819.85</v>
      </c>
      <c r="K270" s="8" t="s">
        <v>581</v>
      </c>
      <c r="L270" s="19" t="n">
        <f aca="false">IF(G270=0,"",F270/G270)</f>
        <v>2.15629362173354</v>
      </c>
      <c r="M270" s="19" t="n">
        <f aca="false">IF(OR(L255="",L255&lt;=0,L270=""),"",L270/L255)</f>
        <v>0.369910309338308</v>
      </c>
      <c r="N270" s="65" t="n">
        <f aca="false">IF(I270=0,"",F270/I270)</f>
        <v>28.3051517683097</v>
      </c>
      <c r="O270" s="65" t="n">
        <f aca="false">IF(I270=0,"",G270/I270)</f>
        <v>13.126761347814</v>
      </c>
      <c r="P270" s="56" t="n">
        <v>1825.05</v>
      </c>
      <c r="Q270" s="56" t="n">
        <v>873.81</v>
      </c>
    </row>
    <row r="271" customFormat="false" ht="15" hidden="false" customHeight="false" outlineLevel="0" collapsed="false">
      <c r="A271" s="8" t="s">
        <v>109</v>
      </c>
      <c r="B271" s="8" t="s">
        <v>59</v>
      </c>
      <c r="C271" s="8" t="s">
        <v>528</v>
      </c>
      <c r="D271" s="8" t="n">
        <v>3</v>
      </c>
      <c r="E271" s="8" t="s">
        <v>515</v>
      </c>
      <c r="F271" s="56" t="n">
        <v>4873.81</v>
      </c>
      <c r="G271" s="56" t="n">
        <v>2242.02</v>
      </c>
      <c r="H271" s="43" t="n">
        <v>0.135</v>
      </c>
      <c r="I271" s="56" t="n">
        <v>177.32</v>
      </c>
      <c r="J271" s="56" t="n">
        <v>500</v>
      </c>
      <c r="K271" s="8" t="s">
        <v>581</v>
      </c>
      <c r="L271" s="19" t="n">
        <f aca="false">IF(G271=0,"",F271/G271)</f>
        <v>2.17384769092158</v>
      </c>
      <c r="M271" s="19" t="n">
        <f aca="false">IF(OR(L255="",L255&lt;=0,L271=""),"",L271/L255)</f>
        <v>0.372921694753561</v>
      </c>
      <c r="N271" s="65" t="n">
        <f aca="false">IF(I271=0,"",F271/I271)</f>
        <v>27.4859575907963</v>
      </c>
      <c r="O271" s="65" t="n">
        <f aca="false">IF(I271=0,"",G271/I271)</f>
        <v>12.6439205955335</v>
      </c>
      <c r="P271" s="56" t="n">
        <v>1825.05</v>
      </c>
      <c r="Q271" s="56" t="n">
        <v>873.81</v>
      </c>
    </row>
    <row r="272" customFormat="false" ht="15" hidden="false" customHeight="false" outlineLevel="0" collapsed="false">
      <c r="A272" s="8" t="s">
        <v>109</v>
      </c>
      <c r="B272" s="8" t="s">
        <v>59</v>
      </c>
      <c r="C272" s="8" t="s">
        <v>528</v>
      </c>
      <c r="D272" s="8" t="n">
        <v>4</v>
      </c>
      <c r="E272" s="8" t="s">
        <v>513</v>
      </c>
      <c r="F272" s="56" t="n">
        <v>4811</v>
      </c>
      <c r="G272" s="56" t="n">
        <v>1968</v>
      </c>
      <c r="H272" s="43" t="n">
        <v>0.1211</v>
      </c>
      <c r="I272" s="56" t="n">
        <v>164.17</v>
      </c>
      <c r="J272" s="56" t="n">
        <v>517</v>
      </c>
      <c r="K272" s="8" t="s">
        <v>581</v>
      </c>
      <c r="L272" s="19" t="n">
        <f aca="false">IF(G272=0,"",F272/G272)</f>
        <v>2.44461382113821</v>
      </c>
      <c r="M272" s="19" t="n">
        <f aca="false">IF(OR(L255="",L255&lt;=0,L272=""),"",L272/L255)</f>
        <v>0.419371390647133</v>
      </c>
      <c r="N272" s="65" t="n">
        <f aca="false">IF(I272=0,"",F272/I272)</f>
        <v>29.3049887311933</v>
      </c>
      <c r="O272" s="65" t="n">
        <f aca="false">IF(I272=0,"",G272/I272)</f>
        <v>11.9875738563684</v>
      </c>
      <c r="P272" s="56" t="n">
        <v>1729.15</v>
      </c>
      <c r="Q272" s="56" t="n">
        <v>915.75</v>
      </c>
    </row>
    <row r="273" customFormat="false" ht="15" hidden="false" customHeight="false" outlineLevel="0" collapsed="false">
      <c r="A273" s="8" t="s">
        <v>109</v>
      </c>
      <c r="B273" s="8" t="s">
        <v>59</v>
      </c>
      <c r="C273" s="8" t="s">
        <v>528</v>
      </c>
      <c r="D273" s="8" t="n">
        <v>4</v>
      </c>
      <c r="E273" s="8" t="s">
        <v>515</v>
      </c>
      <c r="F273" s="56" t="n">
        <v>4793.82</v>
      </c>
      <c r="G273" s="56" t="n">
        <v>1968</v>
      </c>
      <c r="H273" s="43" t="n">
        <v>0.1211</v>
      </c>
      <c r="I273" s="56" t="n">
        <v>164.08</v>
      </c>
      <c r="J273" s="56" t="n">
        <v>500</v>
      </c>
      <c r="K273" s="8" t="s">
        <v>581</v>
      </c>
      <c r="L273" s="19" t="n">
        <f aca="false">IF(G273=0,"",F273/G273)</f>
        <v>2.43588414634146</v>
      </c>
      <c r="M273" s="19" t="n">
        <f aca="false">IF(OR(L255="",L255&lt;=0,L273=""),"",L273/L255)</f>
        <v>0.417873822471843</v>
      </c>
      <c r="N273" s="65" t="n">
        <f aca="false">IF(I273=0,"",F273/I273)</f>
        <v>29.2163578742077</v>
      </c>
      <c r="O273" s="65" t="n">
        <f aca="false">IF(I273=0,"",G273/I273)</f>
        <v>11.9941491955144</v>
      </c>
      <c r="P273" s="56" t="n">
        <v>1729.15</v>
      </c>
      <c r="Q273" s="56" t="n">
        <v>915.75</v>
      </c>
    </row>
    <row r="274" customFormat="false" ht="15" hidden="false" customHeight="false" outlineLevel="0" collapsed="false">
      <c r="A274" s="8" t="s">
        <v>109</v>
      </c>
      <c r="B274" s="8" t="s">
        <v>59</v>
      </c>
      <c r="C274" s="8" t="s">
        <v>528</v>
      </c>
      <c r="D274" s="8" t="n">
        <v>5</v>
      </c>
      <c r="E274" s="8" t="s">
        <v>513</v>
      </c>
      <c r="F274" s="56" t="n">
        <v>4526.57</v>
      </c>
      <c r="G274" s="56" t="n">
        <v>1833.34</v>
      </c>
      <c r="H274" s="43" t="n">
        <v>0.1148</v>
      </c>
      <c r="I274" s="56" t="n">
        <v>158.25</v>
      </c>
      <c r="J274" s="56" t="n">
        <v>385.34</v>
      </c>
      <c r="K274" s="8" t="s">
        <v>581</v>
      </c>
      <c r="L274" s="19" t="n">
        <f aca="false">IF(G274=0,"",F274/G274)</f>
        <v>2.46902920353017</v>
      </c>
      <c r="M274" s="19" t="n">
        <f aca="false">IF(OR(L255="",L255&lt;=0,L274=""),"",L274/L255)</f>
        <v>0.423559828419333</v>
      </c>
      <c r="N274" s="65" t="n">
        <f aca="false">IF(I274=0,"",F274/I274)</f>
        <v>28.6039178515008</v>
      </c>
      <c r="O274" s="65" t="n">
        <f aca="false">IF(I274=0,"",G274/I274)</f>
        <v>11.5850868878357</v>
      </c>
      <c r="P274" s="56" t="n">
        <v>1604.95</v>
      </c>
      <c r="Q274" s="56" t="n">
        <v>917.47</v>
      </c>
    </row>
    <row r="275" customFormat="false" ht="15" hidden="false" customHeight="false" outlineLevel="0" collapsed="false">
      <c r="A275" s="8" t="s">
        <v>109</v>
      </c>
      <c r="B275" s="8" t="s">
        <v>59</v>
      </c>
      <c r="C275" s="8" t="s">
        <v>528</v>
      </c>
      <c r="D275" s="8" t="n">
        <v>5</v>
      </c>
      <c r="E275" s="8" t="s">
        <v>515</v>
      </c>
      <c r="F275" s="56" t="n">
        <v>4526.57</v>
      </c>
      <c r="G275" s="56" t="n">
        <v>1833.34</v>
      </c>
      <c r="H275" s="43" t="n">
        <v>0.1148</v>
      </c>
      <c r="I275" s="56" t="n">
        <v>158.25</v>
      </c>
      <c r="J275" s="56" t="n">
        <v>385.34</v>
      </c>
      <c r="K275" s="8" t="s">
        <v>581</v>
      </c>
      <c r="L275" s="19" t="n">
        <f aca="false">IF(G275=0,"",F275/G275)</f>
        <v>2.46902920353017</v>
      </c>
      <c r="M275" s="19" t="n">
        <f aca="false">IF(OR(L255="",L255&lt;=0,L275=""),"",L275/L255)</f>
        <v>0.423559828419333</v>
      </c>
      <c r="N275" s="65" t="n">
        <f aca="false">IF(I275=0,"",F275/I275)</f>
        <v>28.6039178515008</v>
      </c>
      <c r="O275" s="65" t="n">
        <f aca="false">IF(I275=0,"",G275/I275)</f>
        <v>11.5850868878357</v>
      </c>
      <c r="P275" s="56" t="n">
        <v>1604.95</v>
      </c>
      <c r="Q275" s="56" t="n">
        <v>917.47</v>
      </c>
    </row>
    <row r="278" customFormat="false" ht="15" hidden="false" customHeight="false" outlineLevel="0" collapsed="false">
      <c r="A278" s="6" t="s">
        <v>723</v>
      </c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customFormat="false" ht="42" hidden="false" customHeight="true" outlineLevel="0" collapsed="false">
      <c r="A279" s="7" t="s">
        <v>135</v>
      </c>
      <c r="B279" s="7" t="s">
        <v>136</v>
      </c>
      <c r="C279" s="7" t="s">
        <v>689</v>
      </c>
      <c r="D279" s="7" t="s">
        <v>690</v>
      </c>
      <c r="E279" s="7" t="s">
        <v>506</v>
      </c>
      <c r="F279" s="7" t="s">
        <v>724</v>
      </c>
      <c r="G279" s="7" t="s">
        <v>538</v>
      </c>
      <c r="H279" s="7" t="s">
        <v>539</v>
      </c>
      <c r="I279" s="7" t="s">
        <v>540</v>
      </c>
      <c r="J279" s="7" t="s">
        <v>542</v>
      </c>
      <c r="K279" s="7" t="s">
        <v>543</v>
      </c>
    </row>
    <row r="280" customFormat="false" ht="15" hidden="false" customHeight="false" outlineLevel="0" collapsed="false">
      <c r="A280" s="8" t="s">
        <v>23</v>
      </c>
      <c r="B280" s="8" t="s">
        <v>24</v>
      </c>
      <c r="C280" s="8" t="s">
        <v>700</v>
      </c>
      <c r="D280" s="8" t="n">
        <v>2</v>
      </c>
      <c r="E280" s="8" t="s">
        <v>725</v>
      </c>
      <c r="F280" s="8" t="s">
        <v>726</v>
      </c>
      <c r="G280" s="56" t="n">
        <v>22049.28</v>
      </c>
      <c r="H280" s="56" t="n">
        <v>6174.04</v>
      </c>
      <c r="I280" s="43" t="n">
        <v>0.2405</v>
      </c>
      <c r="J280" s="8" t="s">
        <v>581</v>
      </c>
      <c r="K280" s="19" t="n">
        <f aca="false">IF(H280=0,"",G280/H280)</f>
        <v>3.57128881575111</v>
      </c>
    </row>
    <row r="281" customFormat="false" ht="15" hidden="false" customHeight="false" outlineLevel="0" collapsed="false">
      <c r="A281" s="8" t="s">
        <v>23</v>
      </c>
      <c r="B281" s="8" t="s">
        <v>24</v>
      </c>
      <c r="C281" s="8" t="s">
        <v>700</v>
      </c>
      <c r="D281" s="8" t="n">
        <v>2</v>
      </c>
      <c r="E281" s="8" t="s">
        <v>725</v>
      </c>
      <c r="F281" s="8" t="s">
        <v>727</v>
      </c>
      <c r="G281" s="56" t="n">
        <v>4418.7</v>
      </c>
      <c r="H281" s="56" t="n">
        <v>2702.18</v>
      </c>
      <c r="I281" s="43" t="n">
        <v>0.1967</v>
      </c>
      <c r="J281" s="8" t="s">
        <v>581</v>
      </c>
      <c r="K281" s="19" t="n">
        <f aca="false">IF(H281=0,"",G281/H281)</f>
        <v>1.63523525449822</v>
      </c>
    </row>
    <row r="282" customFormat="false" ht="15" hidden="false" customHeight="false" outlineLevel="0" collapsed="false">
      <c r="A282" s="8" t="s">
        <v>23</v>
      </c>
      <c r="B282" s="8" t="s">
        <v>24</v>
      </c>
      <c r="C282" s="8" t="s">
        <v>700</v>
      </c>
      <c r="D282" s="8" t="n">
        <v>2</v>
      </c>
      <c r="E282" s="8" t="s">
        <v>515</v>
      </c>
      <c r="F282" s="8" t="s">
        <v>726</v>
      </c>
      <c r="G282" s="56" t="n">
        <v>27201.9</v>
      </c>
      <c r="H282" s="56" t="n">
        <v>4680.46</v>
      </c>
      <c r="I282" s="43" t="n">
        <v>0.3806</v>
      </c>
      <c r="J282" s="8" t="s">
        <v>581</v>
      </c>
      <c r="K282" s="19" t="n">
        <f aca="false">IF(H282=0,"",G282/H282)</f>
        <v>5.81180054951864</v>
      </c>
    </row>
    <row r="283" customFormat="false" ht="15" hidden="false" customHeight="false" outlineLevel="0" collapsed="false">
      <c r="A283" s="8" t="s">
        <v>23</v>
      </c>
      <c r="B283" s="8" t="s">
        <v>24</v>
      </c>
      <c r="C283" s="8" t="s">
        <v>700</v>
      </c>
      <c r="D283" s="8" t="n">
        <v>2</v>
      </c>
      <c r="E283" s="8" t="s">
        <v>515</v>
      </c>
      <c r="F283" s="8" t="s">
        <v>727</v>
      </c>
      <c r="G283" s="56" t="n">
        <v>11979.52</v>
      </c>
      <c r="H283" s="56" t="n">
        <v>2767.13</v>
      </c>
      <c r="I283" s="43" t="n">
        <v>0.2362</v>
      </c>
      <c r="J283" s="8" t="s">
        <v>581</v>
      </c>
      <c r="K283" s="19" t="n">
        <f aca="false">IF(H283=0,"",G283/H283)</f>
        <v>4.32922197366947</v>
      </c>
    </row>
    <row r="284" customFormat="false" ht="15" hidden="false" customHeight="false" outlineLevel="0" collapsed="false">
      <c r="A284" s="8" t="s">
        <v>23</v>
      </c>
      <c r="B284" s="8" t="s">
        <v>24</v>
      </c>
      <c r="C284" s="8" t="s">
        <v>700</v>
      </c>
      <c r="D284" s="8" t="n">
        <v>2</v>
      </c>
      <c r="E284" s="8" t="s">
        <v>728</v>
      </c>
      <c r="F284" s="8" t="s">
        <v>726</v>
      </c>
      <c r="G284" s="56" t="n">
        <v>28659.03</v>
      </c>
      <c r="H284" s="56" t="n">
        <v>7645.69</v>
      </c>
      <c r="I284" s="43" t="n">
        <v>0.32</v>
      </c>
      <c r="J284" s="8" t="s">
        <v>581</v>
      </c>
      <c r="K284" s="19" t="n">
        <f aca="false">IF(H284=0,"",G284/H284)</f>
        <v>3.74839026955056</v>
      </c>
    </row>
    <row r="285" customFormat="false" ht="15" hidden="false" customHeight="false" outlineLevel="0" collapsed="false">
      <c r="A285" s="8" t="s">
        <v>23</v>
      </c>
      <c r="B285" s="8" t="s">
        <v>24</v>
      </c>
      <c r="C285" s="8" t="s">
        <v>700</v>
      </c>
      <c r="D285" s="8" t="n">
        <v>2</v>
      </c>
      <c r="E285" s="8" t="s">
        <v>728</v>
      </c>
      <c r="F285" s="8" t="s">
        <v>727</v>
      </c>
      <c r="G285" s="56" t="n">
        <v>17112.62</v>
      </c>
      <c r="H285" s="56" t="n">
        <v>4062.2</v>
      </c>
      <c r="I285" s="43" t="n">
        <v>0.3467</v>
      </c>
      <c r="J285" s="8" t="s">
        <v>581</v>
      </c>
      <c r="K285" s="19" t="n">
        <f aca="false">IF(H285=0,"",G285/H285)</f>
        <v>4.21264831864507</v>
      </c>
    </row>
    <row r="286" customFormat="false" ht="15" hidden="false" customHeight="false" outlineLevel="0" collapsed="false">
      <c r="A286" s="8" t="s">
        <v>23</v>
      </c>
      <c r="B286" s="8" t="s">
        <v>24</v>
      </c>
      <c r="C286" s="8" t="s">
        <v>700</v>
      </c>
      <c r="D286" s="8" t="n">
        <v>3</v>
      </c>
      <c r="E286" s="8" t="s">
        <v>725</v>
      </c>
      <c r="F286" s="8" t="s">
        <v>726</v>
      </c>
      <c r="G286" s="56" t="n">
        <v>15764.13</v>
      </c>
      <c r="H286" s="56" t="n">
        <v>3785.72</v>
      </c>
      <c r="I286" s="43" t="n">
        <v>0.2023</v>
      </c>
      <c r="J286" s="8" t="s">
        <v>581</v>
      </c>
      <c r="K286" s="19" t="n">
        <f aca="false">IF(H286=0,"",G286/H286)</f>
        <v>4.16410352588147</v>
      </c>
    </row>
    <row r="287" customFormat="false" ht="15" hidden="false" customHeight="false" outlineLevel="0" collapsed="false">
      <c r="A287" s="8" t="s">
        <v>23</v>
      </c>
      <c r="B287" s="8" t="s">
        <v>24</v>
      </c>
      <c r="C287" s="8" t="s">
        <v>700</v>
      </c>
      <c r="D287" s="8" t="n">
        <v>3</v>
      </c>
      <c r="E287" s="8" t="s">
        <v>725</v>
      </c>
      <c r="F287" s="8" t="s">
        <v>727</v>
      </c>
      <c r="G287" s="56" t="n">
        <v>10828.63</v>
      </c>
      <c r="H287" s="56" t="n">
        <v>1882.35</v>
      </c>
      <c r="I287" s="43" t="n">
        <v>0.1664</v>
      </c>
      <c r="J287" s="8" t="s">
        <v>581</v>
      </c>
      <c r="K287" s="19" t="n">
        <f aca="false">IF(H287=0,"",G287/H287)</f>
        <v>5.75271867612293</v>
      </c>
    </row>
    <row r="288" customFormat="false" ht="15" hidden="false" customHeight="false" outlineLevel="0" collapsed="false">
      <c r="A288" s="8" t="s">
        <v>23</v>
      </c>
      <c r="B288" s="8" t="s">
        <v>24</v>
      </c>
      <c r="C288" s="8" t="s">
        <v>700</v>
      </c>
      <c r="D288" s="8" t="n">
        <v>3</v>
      </c>
      <c r="E288" s="8" t="s">
        <v>515</v>
      </c>
      <c r="F288" s="8" t="s">
        <v>726</v>
      </c>
      <c r="G288" s="56" t="n">
        <v>17975.08</v>
      </c>
      <c r="H288" s="56" t="n">
        <v>4689.09</v>
      </c>
      <c r="I288" s="43" t="n">
        <v>0.2549</v>
      </c>
      <c r="J288" s="8" t="s">
        <v>581</v>
      </c>
      <c r="K288" s="19" t="n">
        <f aca="false">IF(H288=0,"",G288/H288)</f>
        <v>3.83338344966721</v>
      </c>
    </row>
    <row r="289" customFormat="false" ht="15" hidden="false" customHeight="false" outlineLevel="0" collapsed="false">
      <c r="A289" s="8" t="s">
        <v>23</v>
      </c>
      <c r="B289" s="8" t="s">
        <v>24</v>
      </c>
      <c r="C289" s="8" t="s">
        <v>700</v>
      </c>
      <c r="D289" s="8" t="n">
        <v>3</v>
      </c>
      <c r="E289" s="8" t="s">
        <v>515</v>
      </c>
      <c r="F289" s="8" t="s">
        <v>727</v>
      </c>
      <c r="G289" s="56" t="n">
        <v>7904.97</v>
      </c>
      <c r="H289" s="56" t="n">
        <v>3282.98</v>
      </c>
      <c r="I289" s="43" t="n">
        <v>0.2991</v>
      </c>
      <c r="J289" s="8" t="s">
        <v>581</v>
      </c>
      <c r="K289" s="19" t="n">
        <f aca="false">IF(H289=0,"",G289/H289)</f>
        <v>2.40786419655313</v>
      </c>
    </row>
    <row r="290" customFormat="false" ht="15" hidden="false" customHeight="false" outlineLevel="0" collapsed="false">
      <c r="A290" s="8" t="s">
        <v>23</v>
      </c>
      <c r="B290" s="8" t="s">
        <v>24</v>
      </c>
      <c r="C290" s="8" t="s">
        <v>700</v>
      </c>
      <c r="D290" s="8" t="n">
        <v>3</v>
      </c>
      <c r="E290" s="8" t="s">
        <v>728</v>
      </c>
      <c r="F290" s="8" t="s">
        <v>726</v>
      </c>
      <c r="G290" s="56" t="n">
        <v>18561.85</v>
      </c>
      <c r="H290" s="56" t="n">
        <v>6988.45</v>
      </c>
      <c r="I290" s="43" t="n">
        <v>0.2834</v>
      </c>
      <c r="J290" s="8" t="s">
        <v>581</v>
      </c>
      <c r="K290" s="19" t="n">
        <f aca="false">IF(H290=0,"",G290/H290)</f>
        <v>2.65607538152237</v>
      </c>
    </row>
    <row r="291" customFormat="false" ht="15" hidden="false" customHeight="false" outlineLevel="0" collapsed="false">
      <c r="A291" s="8" t="s">
        <v>23</v>
      </c>
      <c r="B291" s="8" t="s">
        <v>24</v>
      </c>
      <c r="C291" s="8" t="s">
        <v>700</v>
      </c>
      <c r="D291" s="8" t="n">
        <v>3</v>
      </c>
      <c r="E291" s="8" t="s">
        <v>728</v>
      </c>
      <c r="F291" s="8" t="s">
        <v>727</v>
      </c>
      <c r="G291" s="56" t="n">
        <v>8662.25</v>
      </c>
      <c r="H291" s="56" t="n">
        <v>4245.23</v>
      </c>
      <c r="I291" s="43" t="n">
        <v>0.284</v>
      </c>
      <c r="J291" s="8" t="s">
        <v>581</v>
      </c>
      <c r="K291" s="19" t="n">
        <f aca="false">IF(H291=0,"",G291/H291)</f>
        <v>2.04046659427169</v>
      </c>
    </row>
    <row r="292" customFormat="false" ht="15" hidden="false" customHeight="false" outlineLevel="0" collapsed="false">
      <c r="A292" s="8" t="s">
        <v>23</v>
      </c>
      <c r="B292" s="8" t="s">
        <v>24</v>
      </c>
      <c r="C292" s="8" t="s">
        <v>528</v>
      </c>
      <c r="D292" s="8" t="n">
        <v>2</v>
      </c>
      <c r="E292" s="8" t="s">
        <v>725</v>
      </c>
      <c r="F292" s="8" t="s">
        <v>726</v>
      </c>
      <c r="G292" s="56" t="n">
        <v>29285.37</v>
      </c>
      <c r="H292" s="56" t="n">
        <v>7404.05</v>
      </c>
      <c r="I292" s="43" t="n">
        <v>0.4465</v>
      </c>
      <c r="J292" s="8" t="s">
        <v>581</v>
      </c>
      <c r="K292" s="19" t="n">
        <f aca="false">IF(H292=0,"",G292/H292)</f>
        <v>3.9553176977465</v>
      </c>
    </row>
    <row r="293" customFormat="false" ht="15" hidden="false" customHeight="false" outlineLevel="0" collapsed="false">
      <c r="A293" s="8" t="s">
        <v>23</v>
      </c>
      <c r="B293" s="8" t="s">
        <v>24</v>
      </c>
      <c r="C293" s="8" t="s">
        <v>528</v>
      </c>
      <c r="D293" s="8" t="n">
        <v>2</v>
      </c>
      <c r="E293" s="8" t="s">
        <v>725</v>
      </c>
      <c r="F293" s="8" t="s">
        <v>727</v>
      </c>
      <c r="G293" s="56" t="n">
        <v>20527.1</v>
      </c>
      <c r="H293" s="56" t="n">
        <v>7404.05</v>
      </c>
      <c r="I293" s="43" t="n">
        <v>0.3259</v>
      </c>
      <c r="J293" s="8" t="s">
        <v>581</v>
      </c>
      <c r="K293" s="19" t="n">
        <f aca="false">IF(H293=0,"",G293/H293)</f>
        <v>2.77241509714278</v>
      </c>
    </row>
    <row r="294" customFormat="false" ht="15" hidden="false" customHeight="false" outlineLevel="0" collapsed="false">
      <c r="A294" s="8" t="s">
        <v>23</v>
      </c>
      <c r="B294" s="8" t="s">
        <v>24</v>
      </c>
      <c r="C294" s="8" t="s">
        <v>528</v>
      </c>
      <c r="D294" s="8" t="n">
        <v>2</v>
      </c>
      <c r="E294" s="8" t="s">
        <v>515</v>
      </c>
      <c r="F294" s="8" t="s">
        <v>726</v>
      </c>
      <c r="G294" s="56" t="n">
        <v>60097.8</v>
      </c>
      <c r="H294" s="56" t="n">
        <v>14726.29</v>
      </c>
      <c r="I294" s="43" t="n">
        <v>0.7043</v>
      </c>
      <c r="J294" s="8" t="s">
        <v>581</v>
      </c>
      <c r="K294" s="19" t="n">
        <f aca="false">IF(H294=0,"",G294/H294)</f>
        <v>4.08098713253644</v>
      </c>
    </row>
    <row r="295" customFormat="false" ht="15" hidden="false" customHeight="false" outlineLevel="0" collapsed="false">
      <c r="A295" s="8" t="s">
        <v>23</v>
      </c>
      <c r="B295" s="8" t="s">
        <v>24</v>
      </c>
      <c r="C295" s="8" t="s">
        <v>528</v>
      </c>
      <c r="D295" s="8" t="n">
        <v>2</v>
      </c>
      <c r="E295" s="8" t="s">
        <v>515</v>
      </c>
      <c r="F295" s="8" t="s">
        <v>727</v>
      </c>
      <c r="G295" s="56" t="n">
        <v>33849.44</v>
      </c>
      <c r="H295" s="56" t="n">
        <v>13005.78</v>
      </c>
      <c r="I295" s="43" t="n">
        <v>0.3933</v>
      </c>
      <c r="J295" s="8" t="s">
        <v>581</v>
      </c>
      <c r="K295" s="19" t="n">
        <f aca="false">IF(H295=0,"",G295/H295)</f>
        <v>2.602645900515</v>
      </c>
    </row>
    <row r="296" customFormat="false" ht="15" hidden="false" customHeight="false" outlineLevel="0" collapsed="false">
      <c r="A296" s="51" t="s">
        <v>23</v>
      </c>
      <c r="B296" s="51" t="s">
        <v>24</v>
      </c>
      <c r="C296" s="51" t="s">
        <v>528</v>
      </c>
      <c r="D296" s="51" t="n">
        <v>2</v>
      </c>
      <c r="E296" s="51" t="s">
        <v>728</v>
      </c>
      <c r="F296" s="51" t="s">
        <v>726</v>
      </c>
      <c r="G296" s="52" t="n">
        <v>-10092.56</v>
      </c>
      <c r="H296" s="52" t="n">
        <v>14878.78</v>
      </c>
      <c r="I296" s="53" t="n">
        <v>1.0063</v>
      </c>
      <c r="J296" s="51" t="s">
        <v>729</v>
      </c>
      <c r="K296" s="54" t="n">
        <f aca="false">IF(H296=0,"",G296/H296)</f>
        <v>-0.678319055729032</v>
      </c>
    </row>
    <row r="297" customFormat="false" ht="15" hidden="false" customHeight="false" outlineLevel="0" collapsed="false">
      <c r="A297" s="8" t="s">
        <v>23</v>
      </c>
      <c r="B297" s="8" t="s">
        <v>24</v>
      </c>
      <c r="C297" s="8" t="s">
        <v>528</v>
      </c>
      <c r="D297" s="8" t="n">
        <v>2</v>
      </c>
      <c r="E297" s="8" t="s">
        <v>728</v>
      </c>
      <c r="F297" s="8" t="s">
        <v>727</v>
      </c>
      <c r="G297" s="56" t="n">
        <v>55214.82</v>
      </c>
      <c r="H297" s="56" t="n">
        <v>14517.8</v>
      </c>
      <c r="I297" s="43" t="n">
        <v>0.4488</v>
      </c>
      <c r="J297" s="8" t="s">
        <v>581</v>
      </c>
      <c r="K297" s="19" t="n">
        <f aca="false">IF(H297=0,"",G297/H297)</f>
        <v>3.80324980368926</v>
      </c>
    </row>
    <row r="298" customFormat="false" ht="15" hidden="false" customHeight="false" outlineLevel="0" collapsed="false">
      <c r="A298" s="8" t="s">
        <v>23</v>
      </c>
      <c r="B298" s="8" t="s">
        <v>24</v>
      </c>
      <c r="C298" s="8" t="s">
        <v>528</v>
      </c>
      <c r="D298" s="8" t="n">
        <v>3</v>
      </c>
      <c r="E298" s="8" t="s">
        <v>725</v>
      </c>
      <c r="F298" s="8" t="s">
        <v>726</v>
      </c>
      <c r="G298" s="56" t="n">
        <v>29287.11</v>
      </c>
      <c r="H298" s="56" t="n">
        <v>7404.05</v>
      </c>
      <c r="I298" s="43" t="n">
        <v>0.4173</v>
      </c>
      <c r="J298" s="8" t="s">
        <v>581</v>
      </c>
      <c r="K298" s="19" t="n">
        <f aca="false">IF(H298=0,"",G298/H298)</f>
        <v>3.95555270426321</v>
      </c>
    </row>
    <row r="299" customFormat="false" ht="15" hidden="false" customHeight="false" outlineLevel="0" collapsed="false">
      <c r="A299" s="8" t="s">
        <v>23</v>
      </c>
      <c r="B299" s="8" t="s">
        <v>24</v>
      </c>
      <c r="C299" s="8" t="s">
        <v>528</v>
      </c>
      <c r="D299" s="8" t="n">
        <v>3</v>
      </c>
      <c r="E299" s="8" t="s">
        <v>725</v>
      </c>
      <c r="F299" s="8" t="s">
        <v>727</v>
      </c>
      <c r="G299" s="56" t="n">
        <v>22304.47</v>
      </c>
      <c r="H299" s="56" t="n">
        <v>7404.05</v>
      </c>
      <c r="I299" s="43" t="n">
        <v>0.299</v>
      </c>
      <c r="J299" s="8" t="s">
        <v>581</v>
      </c>
      <c r="K299" s="19" t="n">
        <f aca="false">IF(H299=0,"",G299/H299)</f>
        <v>3.01246885150695</v>
      </c>
    </row>
    <row r="300" customFormat="false" ht="15" hidden="false" customHeight="false" outlineLevel="0" collapsed="false">
      <c r="A300" s="8" t="s">
        <v>23</v>
      </c>
      <c r="B300" s="8" t="s">
        <v>24</v>
      </c>
      <c r="C300" s="8" t="s">
        <v>528</v>
      </c>
      <c r="D300" s="8" t="n">
        <v>3</v>
      </c>
      <c r="E300" s="8" t="s">
        <v>515</v>
      </c>
      <c r="F300" s="8" t="s">
        <v>726</v>
      </c>
      <c r="G300" s="56" t="n">
        <v>58981.63</v>
      </c>
      <c r="H300" s="56" t="n">
        <v>14696.99</v>
      </c>
      <c r="I300" s="43" t="n">
        <v>0.5892</v>
      </c>
      <c r="J300" s="8" t="s">
        <v>581</v>
      </c>
      <c r="K300" s="19" t="n">
        <f aca="false">IF(H300=0,"",G300/H300)</f>
        <v>4.01317752818775</v>
      </c>
    </row>
    <row r="301" customFormat="false" ht="15" hidden="false" customHeight="false" outlineLevel="0" collapsed="false">
      <c r="A301" s="8" t="s">
        <v>23</v>
      </c>
      <c r="B301" s="8" t="s">
        <v>24</v>
      </c>
      <c r="C301" s="8" t="s">
        <v>528</v>
      </c>
      <c r="D301" s="8" t="n">
        <v>3</v>
      </c>
      <c r="E301" s="8" t="s">
        <v>515</v>
      </c>
      <c r="F301" s="8" t="s">
        <v>727</v>
      </c>
      <c r="G301" s="56" t="n">
        <v>17859.4</v>
      </c>
      <c r="H301" s="56" t="n">
        <v>10922.96</v>
      </c>
      <c r="I301" s="43" t="n">
        <v>0.4614</v>
      </c>
      <c r="J301" s="8" t="s">
        <v>581</v>
      </c>
      <c r="K301" s="19" t="n">
        <f aca="false">IF(H301=0,"",G301/H301)</f>
        <v>1.63503299471938</v>
      </c>
    </row>
    <row r="302" customFormat="false" ht="15" hidden="false" customHeight="false" outlineLevel="0" collapsed="false">
      <c r="A302" s="8" t="s">
        <v>23</v>
      </c>
      <c r="B302" s="8" t="s">
        <v>24</v>
      </c>
      <c r="C302" s="8" t="s">
        <v>528</v>
      </c>
      <c r="D302" s="8" t="n">
        <v>3</v>
      </c>
      <c r="E302" s="8" t="s">
        <v>728</v>
      </c>
      <c r="F302" s="8" t="s">
        <v>726</v>
      </c>
      <c r="G302" s="56" t="n">
        <v>98419.26</v>
      </c>
      <c r="H302" s="56" t="n">
        <v>26861.96</v>
      </c>
      <c r="I302" s="43" t="n">
        <v>0.701</v>
      </c>
      <c r="J302" s="8" t="s">
        <v>581</v>
      </c>
      <c r="K302" s="19" t="n">
        <f aca="false">IF(H302=0,"",G302/H302)</f>
        <v>3.66388975339104</v>
      </c>
    </row>
    <row r="303" customFormat="false" ht="15" hidden="false" customHeight="false" outlineLevel="0" collapsed="false">
      <c r="A303" s="8" t="s">
        <v>23</v>
      </c>
      <c r="B303" s="8" t="s">
        <v>24</v>
      </c>
      <c r="C303" s="8" t="s">
        <v>528</v>
      </c>
      <c r="D303" s="8" t="n">
        <v>3</v>
      </c>
      <c r="E303" s="8" t="s">
        <v>728</v>
      </c>
      <c r="F303" s="8" t="s">
        <v>727</v>
      </c>
      <c r="G303" s="56" t="n">
        <v>18208.08</v>
      </c>
      <c r="H303" s="56" t="n">
        <v>14352.67</v>
      </c>
      <c r="I303" s="43" t="n">
        <v>0.5415</v>
      </c>
      <c r="J303" s="8" t="s">
        <v>581</v>
      </c>
      <c r="K303" s="19" t="n">
        <f aca="false">IF(H303=0,"",G303/H303)</f>
        <v>1.26861970629855</v>
      </c>
    </row>
    <row r="305" customFormat="false" ht="15" hidden="false" customHeight="false" outlineLevel="0" collapsed="false">
      <c r="A305" s="8" t="s">
        <v>23</v>
      </c>
      <c r="B305" s="8" t="s">
        <v>59</v>
      </c>
      <c r="C305" s="8" t="s">
        <v>700</v>
      </c>
      <c r="D305" s="8" t="n">
        <v>2</v>
      </c>
      <c r="E305" s="8" t="s">
        <v>725</v>
      </c>
      <c r="F305" s="8" t="s">
        <v>726</v>
      </c>
      <c r="G305" s="56" t="n">
        <v>20249.35</v>
      </c>
      <c r="H305" s="56" t="n">
        <v>4182.72</v>
      </c>
      <c r="I305" s="43" t="n">
        <v>0.3403</v>
      </c>
      <c r="J305" s="8" t="s">
        <v>581</v>
      </c>
      <c r="K305" s="19" t="n">
        <f aca="false">IF(H305=0,"",G305/H305)</f>
        <v>4.84119185601714</v>
      </c>
    </row>
    <row r="306" customFormat="false" ht="15" hidden="false" customHeight="false" outlineLevel="0" collapsed="false">
      <c r="A306" s="8" t="s">
        <v>23</v>
      </c>
      <c r="B306" s="8" t="s">
        <v>59</v>
      </c>
      <c r="C306" s="8" t="s">
        <v>700</v>
      </c>
      <c r="D306" s="8" t="n">
        <v>2</v>
      </c>
      <c r="E306" s="8" t="s">
        <v>725</v>
      </c>
      <c r="F306" s="8" t="s">
        <v>727</v>
      </c>
      <c r="G306" s="56" t="n">
        <v>6554.75</v>
      </c>
      <c r="H306" s="56" t="n">
        <v>2306.9</v>
      </c>
      <c r="I306" s="43" t="n">
        <v>0.1346</v>
      </c>
      <c r="J306" s="8" t="s">
        <v>581</v>
      </c>
      <c r="K306" s="19" t="n">
        <f aca="false">IF(H306=0,"",G306/H306)</f>
        <v>2.84136720273961</v>
      </c>
    </row>
    <row r="307" customFormat="false" ht="15" hidden="false" customHeight="false" outlineLevel="0" collapsed="false">
      <c r="A307" s="8" t="s">
        <v>23</v>
      </c>
      <c r="B307" s="8" t="s">
        <v>59</v>
      </c>
      <c r="C307" s="8" t="s">
        <v>700</v>
      </c>
      <c r="D307" s="8" t="n">
        <v>2</v>
      </c>
      <c r="E307" s="8" t="s">
        <v>515</v>
      </c>
      <c r="F307" s="8" t="s">
        <v>726</v>
      </c>
      <c r="G307" s="56" t="n">
        <v>24820.59</v>
      </c>
      <c r="H307" s="56" t="n">
        <v>6900.19</v>
      </c>
      <c r="I307" s="43" t="n">
        <v>0.545</v>
      </c>
      <c r="J307" s="8" t="s">
        <v>581</v>
      </c>
      <c r="K307" s="19" t="n">
        <f aca="false">IF(H307=0,"",G307/H307)</f>
        <v>3.59708790627505</v>
      </c>
    </row>
    <row r="308" customFormat="false" ht="15" hidden="false" customHeight="false" outlineLevel="0" collapsed="false">
      <c r="A308" s="8" t="s">
        <v>23</v>
      </c>
      <c r="B308" s="8" t="s">
        <v>59</v>
      </c>
      <c r="C308" s="8" t="s">
        <v>700</v>
      </c>
      <c r="D308" s="8" t="n">
        <v>2</v>
      </c>
      <c r="E308" s="8" t="s">
        <v>515</v>
      </c>
      <c r="F308" s="8" t="s">
        <v>727</v>
      </c>
      <c r="G308" s="56" t="n">
        <v>12386.29</v>
      </c>
      <c r="H308" s="56" t="n">
        <v>3032.83</v>
      </c>
      <c r="I308" s="43" t="n">
        <v>0.2676</v>
      </c>
      <c r="J308" s="8" t="s">
        <v>581</v>
      </c>
      <c r="K308" s="19" t="n">
        <f aca="false">IF(H308=0,"",G308/H308)</f>
        <v>4.08406999403198</v>
      </c>
    </row>
    <row r="309" customFormat="false" ht="15" hidden="false" customHeight="false" outlineLevel="0" collapsed="false">
      <c r="A309" s="8" t="s">
        <v>23</v>
      </c>
      <c r="B309" s="8" t="s">
        <v>59</v>
      </c>
      <c r="C309" s="8" t="s">
        <v>700</v>
      </c>
      <c r="D309" s="8" t="n">
        <v>2</v>
      </c>
      <c r="E309" s="8" t="s">
        <v>728</v>
      </c>
      <c r="F309" s="8" t="s">
        <v>726</v>
      </c>
      <c r="G309" s="56" t="n">
        <v>26055.14</v>
      </c>
      <c r="H309" s="56" t="n">
        <v>5618.4</v>
      </c>
      <c r="I309" s="43" t="n">
        <v>0.2566</v>
      </c>
      <c r="J309" s="8" t="s">
        <v>581</v>
      </c>
      <c r="K309" s="19" t="n">
        <f aca="false">IF(H309=0,"",G309/H309)</f>
        <v>4.63746618254307</v>
      </c>
    </row>
    <row r="310" customFormat="false" ht="15" hidden="false" customHeight="false" outlineLevel="0" collapsed="false">
      <c r="A310" s="8" t="s">
        <v>23</v>
      </c>
      <c r="B310" s="8" t="s">
        <v>59</v>
      </c>
      <c r="C310" s="8" t="s">
        <v>700</v>
      </c>
      <c r="D310" s="8" t="n">
        <v>2</v>
      </c>
      <c r="E310" s="8" t="s">
        <v>728</v>
      </c>
      <c r="F310" s="8" t="s">
        <v>727</v>
      </c>
      <c r="G310" s="56" t="n">
        <v>16099.79</v>
      </c>
      <c r="H310" s="56" t="n">
        <v>3919.96</v>
      </c>
      <c r="I310" s="43" t="n">
        <v>0.3459</v>
      </c>
      <c r="J310" s="8" t="s">
        <v>581</v>
      </c>
      <c r="K310" s="19" t="n">
        <f aca="false">IF(H310=0,"",G310/H310)</f>
        <v>4.10713119521628</v>
      </c>
    </row>
    <row r="311" customFormat="false" ht="15" hidden="false" customHeight="false" outlineLevel="0" collapsed="false">
      <c r="A311" s="8" t="s">
        <v>23</v>
      </c>
      <c r="B311" s="8" t="s">
        <v>59</v>
      </c>
      <c r="C311" s="8" t="s">
        <v>700</v>
      </c>
      <c r="D311" s="8" t="n">
        <v>3</v>
      </c>
      <c r="E311" s="8" t="s">
        <v>725</v>
      </c>
      <c r="F311" s="8" t="s">
        <v>726</v>
      </c>
      <c r="G311" s="56" t="n">
        <v>14737.75</v>
      </c>
      <c r="H311" s="56" t="n">
        <v>3791.26</v>
      </c>
      <c r="I311" s="43" t="n">
        <v>0.34</v>
      </c>
      <c r="J311" s="8" t="s">
        <v>581</v>
      </c>
      <c r="K311" s="19" t="n">
        <f aca="false">IF(H311=0,"",G311/H311)</f>
        <v>3.88729604405923</v>
      </c>
    </row>
    <row r="312" customFormat="false" ht="15" hidden="false" customHeight="false" outlineLevel="0" collapsed="false">
      <c r="A312" s="8" t="s">
        <v>23</v>
      </c>
      <c r="B312" s="8" t="s">
        <v>59</v>
      </c>
      <c r="C312" s="8" t="s">
        <v>700</v>
      </c>
      <c r="D312" s="8" t="n">
        <v>3</v>
      </c>
      <c r="E312" s="8" t="s">
        <v>725</v>
      </c>
      <c r="F312" s="8" t="s">
        <v>727</v>
      </c>
      <c r="G312" s="56" t="n">
        <v>7925.05</v>
      </c>
      <c r="H312" s="56" t="n">
        <v>2094.15</v>
      </c>
      <c r="I312" s="43" t="n">
        <v>0.1938</v>
      </c>
      <c r="J312" s="8" t="s">
        <v>581</v>
      </c>
      <c r="K312" s="19" t="n">
        <f aca="false">IF(H312=0,"",G312/H312)</f>
        <v>3.78437552228828</v>
      </c>
    </row>
    <row r="313" customFormat="false" ht="15" hidden="false" customHeight="false" outlineLevel="0" collapsed="false">
      <c r="A313" s="8" t="s">
        <v>23</v>
      </c>
      <c r="B313" s="8" t="s">
        <v>59</v>
      </c>
      <c r="C313" s="8" t="s">
        <v>700</v>
      </c>
      <c r="D313" s="8" t="n">
        <v>3</v>
      </c>
      <c r="E313" s="8" t="s">
        <v>515</v>
      </c>
      <c r="F313" s="8" t="s">
        <v>726</v>
      </c>
      <c r="G313" s="56" t="n">
        <v>16914.3</v>
      </c>
      <c r="H313" s="56" t="n">
        <v>3178.25</v>
      </c>
      <c r="I313" s="43" t="n">
        <v>0.2698</v>
      </c>
      <c r="J313" s="8" t="s">
        <v>581</v>
      </c>
      <c r="K313" s="19" t="n">
        <f aca="false">IF(H313=0,"",G313/H313)</f>
        <v>5.32189097773932</v>
      </c>
    </row>
    <row r="314" customFormat="false" ht="15" hidden="false" customHeight="false" outlineLevel="0" collapsed="false">
      <c r="A314" s="8" t="s">
        <v>23</v>
      </c>
      <c r="B314" s="8" t="s">
        <v>59</v>
      </c>
      <c r="C314" s="8" t="s">
        <v>700</v>
      </c>
      <c r="D314" s="8" t="n">
        <v>3</v>
      </c>
      <c r="E314" s="8" t="s">
        <v>515</v>
      </c>
      <c r="F314" s="8" t="s">
        <v>727</v>
      </c>
      <c r="G314" s="56" t="n">
        <v>8677.6</v>
      </c>
      <c r="H314" s="56" t="n">
        <v>2742.74</v>
      </c>
      <c r="I314" s="43" t="n">
        <v>0.2538</v>
      </c>
      <c r="J314" s="8" t="s">
        <v>581</v>
      </c>
      <c r="K314" s="19" t="n">
        <f aca="false">IF(H314=0,"",G314/H314)</f>
        <v>3.16384345581426</v>
      </c>
    </row>
    <row r="315" customFormat="false" ht="15" hidden="false" customHeight="false" outlineLevel="0" collapsed="false">
      <c r="A315" s="8" t="s">
        <v>23</v>
      </c>
      <c r="B315" s="8" t="s">
        <v>59</v>
      </c>
      <c r="C315" s="8" t="s">
        <v>700</v>
      </c>
      <c r="D315" s="8" t="n">
        <v>3</v>
      </c>
      <c r="E315" s="8" t="s">
        <v>728</v>
      </c>
      <c r="F315" s="8" t="s">
        <v>726</v>
      </c>
      <c r="G315" s="56" t="n">
        <v>17270.82</v>
      </c>
      <c r="H315" s="56" t="n">
        <v>2922.89</v>
      </c>
      <c r="I315" s="43" t="n">
        <v>0.2395</v>
      </c>
      <c r="J315" s="8" t="s">
        <v>581</v>
      </c>
      <c r="K315" s="19" t="n">
        <f aca="false">IF(H315=0,"",G315/H315)</f>
        <v>5.90881627430386</v>
      </c>
    </row>
    <row r="316" customFormat="false" ht="15" hidden="false" customHeight="false" outlineLevel="0" collapsed="false">
      <c r="A316" s="8" t="s">
        <v>23</v>
      </c>
      <c r="B316" s="8" t="s">
        <v>59</v>
      </c>
      <c r="C316" s="8" t="s">
        <v>700</v>
      </c>
      <c r="D316" s="8" t="n">
        <v>3</v>
      </c>
      <c r="E316" s="8" t="s">
        <v>728</v>
      </c>
      <c r="F316" s="8" t="s">
        <v>727</v>
      </c>
      <c r="G316" s="56" t="n">
        <v>17270.82</v>
      </c>
      <c r="H316" s="56" t="n">
        <v>2922.89</v>
      </c>
      <c r="I316" s="43" t="n">
        <v>0.2395</v>
      </c>
      <c r="J316" s="8" t="s">
        <v>581</v>
      </c>
      <c r="K316" s="19" t="n">
        <f aca="false">IF(H316=0,"",G316/H316)</f>
        <v>5.90881627430386</v>
      </c>
    </row>
    <row r="317" customFormat="false" ht="15" hidden="false" customHeight="false" outlineLevel="0" collapsed="false">
      <c r="A317" s="8" t="s">
        <v>23</v>
      </c>
      <c r="B317" s="8" t="s">
        <v>59</v>
      </c>
      <c r="C317" s="8" t="s">
        <v>528</v>
      </c>
      <c r="D317" s="8" t="n">
        <v>2</v>
      </c>
      <c r="E317" s="8" t="s">
        <v>725</v>
      </c>
      <c r="F317" s="8" t="s">
        <v>726</v>
      </c>
      <c r="G317" s="56" t="n">
        <v>25643.58</v>
      </c>
      <c r="H317" s="56" t="n">
        <v>7158.23</v>
      </c>
      <c r="I317" s="43" t="n">
        <v>0.4741</v>
      </c>
      <c r="J317" s="8" t="s">
        <v>581</v>
      </c>
      <c r="K317" s="19" t="n">
        <f aca="false">IF(H317=0,"",G317/H317)</f>
        <v>3.58239117770734</v>
      </c>
    </row>
    <row r="318" customFormat="false" ht="15" hidden="false" customHeight="false" outlineLevel="0" collapsed="false">
      <c r="A318" s="8" t="s">
        <v>23</v>
      </c>
      <c r="B318" s="8" t="s">
        <v>59</v>
      </c>
      <c r="C318" s="8" t="s">
        <v>528</v>
      </c>
      <c r="D318" s="8" t="n">
        <v>2</v>
      </c>
      <c r="E318" s="8" t="s">
        <v>725</v>
      </c>
      <c r="F318" s="8" t="s">
        <v>727</v>
      </c>
      <c r="G318" s="56" t="n">
        <v>16609.98</v>
      </c>
      <c r="H318" s="56" t="n">
        <v>5829.78</v>
      </c>
      <c r="I318" s="43" t="n">
        <v>0.2534</v>
      </c>
      <c r="J318" s="8" t="s">
        <v>581</v>
      </c>
      <c r="K318" s="19" t="n">
        <f aca="false">IF(H318=0,"",G318/H318)</f>
        <v>2.84916068873954</v>
      </c>
    </row>
    <row r="319" customFormat="false" ht="15" hidden="false" customHeight="false" outlineLevel="0" collapsed="false">
      <c r="A319" s="8" t="s">
        <v>23</v>
      </c>
      <c r="B319" s="8" t="s">
        <v>59</v>
      </c>
      <c r="C319" s="8" t="s">
        <v>528</v>
      </c>
      <c r="D319" s="8" t="n">
        <v>2</v>
      </c>
      <c r="E319" s="8" t="s">
        <v>515</v>
      </c>
      <c r="F319" s="8" t="s">
        <v>726</v>
      </c>
      <c r="G319" s="56" t="n">
        <v>51668.5</v>
      </c>
      <c r="H319" s="56" t="n">
        <v>14117.68</v>
      </c>
      <c r="I319" s="43" t="n">
        <v>0.705</v>
      </c>
      <c r="J319" s="8" t="s">
        <v>581</v>
      </c>
      <c r="K319" s="19" t="n">
        <f aca="false">IF(H319=0,"",G319/H319)</f>
        <v>3.6598435436984</v>
      </c>
    </row>
    <row r="320" customFormat="false" ht="15" hidden="false" customHeight="false" outlineLevel="0" collapsed="false">
      <c r="A320" s="8" t="s">
        <v>23</v>
      </c>
      <c r="B320" s="8" t="s">
        <v>59</v>
      </c>
      <c r="C320" s="8" t="s">
        <v>528</v>
      </c>
      <c r="D320" s="8" t="n">
        <v>2</v>
      </c>
      <c r="E320" s="8" t="s">
        <v>515</v>
      </c>
      <c r="F320" s="8" t="s">
        <v>727</v>
      </c>
      <c r="G320" s="56" t="n">
        <v>36517.55</v>
      </c>
      <c r="H320" s="56" t="n">
        <v>11260.58</v>
      </c>
      <c r="I320" s="43" t="n">
        <v>0.4263</v>
      </c>
      <c r="J320" s="8" t="s">
        <v>581</v>
      </c>
      <c r="K320" s="19" t="n">
        <f aca="false">IF(H320=0,"",G320/H320)</f>
        <v>3.24295462578304</v>
      </c>
    </row>
    <row r="321" customFormat="false" ht="15" hidden="false" customHeight="false" outlineLevel="0" collapsed="false">
      <c r="A321" s="51" t="s">
        <v>23</v>
      </c>
      <c r="B321" s="51" t="s">
        <v>59</v>
      </c>
      <c r="C321" s="51" t="s">
        <v>528</v>
      </c>
      <c r="D321" s="51" t="n">
        <v>2</v>
      </c>
      <c r="E321" s="51" t="s">
        <v>728</v>
      </c>
      <c r="F321" s="51" t="s">
        <v>726</v>
      </c>
      <c r="G321" s="52" t="n">
        <v>-10268.28</v>
      </c>
      <c r="H321" s="52" t="n">
        <v>13325.96</v>
      </c>
      <c r="I321" s="53" t="n">
        <v>1.0205</v>
      </c>
      <c r="J321" s="51" t="s">
        <v>729</v>
      </c>
      <c r="K321" s="54" t="n">
        <f aca="false">IF(H321=0,"",G321/H321)</f>
        <v>-0.770547112553242</v>
      </c>
    </row>
    <row r="322" customFormat="false" ht="15" hidden="false" customHeight="false" outlineLevel="0" collapsed="false">
      <c r="A322" s="8" t="s">
        <v>23</v>
      </c>
      <c r="B322" s="8" t="s">
        <v>59</v>
      </c>
      <c r="C322" s="8" t="s">
        <v>528</v>
      </c>
      <c r="D322" s="8" t="n">
        <v>2</v>
      </c>
      <c r="E322" s="8" t="s">
        <v>728</v>
      </c>
      <c r="F322" s="8" t="s">
        <v>727</v>
      </c>
      <c r="G322" s="56" t="n">
        <v>43200.09</v>
      </c>
      <c r="H322" s="56" t="n">
        <v>11990.38</v>
      </c>
      <c r="I322" s="43" t="n">
        <v>0.6199</v>
      </c>
      <c r="J322" s="8" t="s">
        <v>581</v>
      </c>
      <c r="K322" s="19" t="n">
        <f aca="false">IF(H322=0,"",G322/H322)</f>
        <v>3.60289582148356</v>
      </c>
    </row>
    <row r="323" customFormat="false" ht="15" hidden="false" customHeight="false" outlineLevel="0" collapsed="false">
      <c r="A323" s="8" t="s">
        <v>23</v>
      </c>
      <c r="B323" s="8" t="s">
        <v>59</v>
      </c>
      <c r="C323" s="8" t="s">
        <v>528</v>
      </c>
      <c r="D323" s="8" t="n">
        <v>3</v>
      </c>
      <c r="E323" s="8" t="s">
        <v>725</v>
      </c>
      <c r="F323" s="8" t="s">
        <v>726</v>
      </c>
      <c r="G323" s="56" t="n">
        <v>25894.38</v>
      </c>
      <c r="H323" s="56" t="n">
        <v>7158.23</v>
      </c>
      <c r="I323" s="43" t="n">
        <v>0.3965</v>
      </c>
      <c r="J323" s="8" t="s">
        <v>581</v>
      </c>
      <c r="K323" s="19" t="n">
        <f aca="false">IF(H323=0,"",G323/H323)</f>
        <v>3.61742777194921</v>
      </c>
    </row>
    <row r="324" customFormat="false" ht="15" hidden="false" customHeight="false" outlineLevel="0" collapsed="false">
      <c r="A324" s="8" t="s">
        <v>23</v>
      </c>
      <c r="B324" s="8" t="s">
        <v>59</v>
      </c>
      <c r="C324" s="8" t="s">
        <v>528</v>
      </c>
      <c r="D324" s="8" t="n">
        <v>3</v>
      </c>
      <c r="E324" s="8" t="s">
        <v>725</v>
      </c>
      <c r="F324" s="8" t="s">
        <v>727</v>
      </c>
      <c r="G324" s="56" t="n">
        <v>16451.04</v>
      </c>
      <c r="H324" s="56" t="n">
        <v>5829.78</v>
      </c>
      <c r="I324" s="43" t="n">
        <v>0.3496</v>
      </c>
      <c r="J324" s="8" t="s">
        <v>581</v>
      </c>
      <c r="K324" s="19" t="n">
        <f aca="false">IF(H324=0,"",G324/H324)</f>
        <v>2.82189722425203</v>
      </c>
    </row>
    <row r="325" customFormat="false" ht="15" hidden="false" customHeight="false" outlineLevel="0" collapsed="false">
      <c r="A325" s="8" t="s">
        <v>23</v>
      </c>
      <c r="B325" s="8" t="s">
        <v>59</v>
      </c>
      <c r="C325" s="8" t="s">
        <v>528</v>
      </c>
      <c r="D325" s="8" t="n">
        <v>3</v>
      </c>
      <c r="E325" s="8" t="s">
        <v>515</v>
      </c>
      <c r="F325" s="8" t="s">
        <v>726</v>
      </c>
      <c r="G325" s="56" t="n">
        <v>50663.19</v>
      </c>
      <c r="H325" s="56" t="n">
        <v>14012.75</v>
      </c>
      <c r="I325" s="43" t="n">
        <v>0.671</v>
      </c>
      <c r="J325" s="8" t="s">
        <v>581</v>
      </c>
      <c r="K325" s="19" t="n">
        <f aca="false">IF(H325=0,"",G325/H325)</f>
        <v>3.61550659221067</v>
      </c>
    </row>
    <row r="326" customFormat="false" ht="15" hidden="false" customHeight="false" outlineLevel="0" collapsed="false">
      <c r="A326" s="8" t="s">
        <v>23</v>
      </c>
      <c r="B326" s="8" t="s">
        <v>59</v>
      </c>
      <c r="C326" s="8" t="s">
        <v>528</v>
      </c>
      <c r="D326" s="8" t="n">
        <v>3</v>
      </c>
      <c r="E326" s="8" t="s">
        <v>515</v>
      </c>
      <c r="F326" s="8" t="s">
        <v>727</v>
      </c>
      <c r="G326" s="56" t="n">
        <v>29940.03</v>
      </c>
      <c r="H326" s="56" t="n">
        <v>10387</v>
      </c>
      <c r="I326" s="43" t="n">
        <v>0.4104</v>
      </c>
      <c r="J326" s="8" t="s">
        <v>581</v>
      </c>
      <c r="K326" s="19" t="n">
        <f aca="false">IF(H326=0,"",G326/H326)</f>
        <v>2.88245210359103</v>
      </c>
    </row>
    <row r="327" customFormat="false" ht="15" hidden="false" customHeight="false" outlineLevel="0" collapsed="false">
      <c r="A327" s="51" t="s">
        <v>23</v>
      </c>
      <c r="B327" s="51" t="s">
        <v>59</v>
      </c>
      <c r="C327" s="51" t="s">
        <v>528</v>
      </c>
      <c r="D327" s="51" t="n">
        <v>3</v>
      </c>
      <c r="E327" s="51" t="s">
        <v>728</v>
      </c>
      <c r="F327" s="51" t="s">
        <v>726</v>
      </c>
      <c r="G327" s="52" t="n">
        <v>-10952.09</v>
      </c>
      <c r="H327" s="52" t="n">
        <v>15416.74</v>
      </c>
      <c r="I327" s="53" t="n">
        <v>1.0658</v>
      </c>
      <c r="J327" s="51" t="s">
        <v>729</v>
      </c>
      <c r="K327" s="54" t="n">
        <f aca="false">IF(H327=0,"",G327/H327)</f>
        <v>-0.710402458626143</v>
      </c>
    </row>
    <row r="328" customFormat="false" ht="15" hidden="false" customHeight="false" outlineLevel="0" collapsed="false">
      <c r="A328" s="8" t="s">
        <v>23</v>
      </c>
      <c r="B328" s="8" t="s">
        <v>59</v>
      </c>
      <c r="C328" s="8" t="s">
        <v>528</v>
      </c>
      <c r="D328" s="8" t="n">
        <v>3</v>
      </c>
      <c r="E328" s="8" t="s">
        <v>728</v>
      </c>
      <c r="F328" s="8" t="s">
        <v>727</v>
      </c>
      <c r="G328" s="56" t="n">
        <v>32555.87</v>
      </c>
      <c r="H328" s="56" t="n">
        <v>12595.03</v>
      </c>
      <c r="I328" s="43" t="n">
        <v>0.495</v>
      </c>
      <c r="J328" s="8" t="s">
        <v>581</v>
      </c>
      <c r="K328" s="19" t="n">
        <f aca="false">IF(H328=0,"",G328/H328)</f>
        <v>2.58481877375441</v>
      </c>
    </row>
    <row r="330" customFormat="false" ht="15" hidden="false" customHeight="false" outlineLevel="0" collapsed="false">
      <c r="A330" s="8" t="s">
        <v>62</v>
      </c>
      <c r="B330" s="8" t="s">
        <v>24</v>
      </c>
      <c r="C330" s="8" t="s">
        <v>700</v>
      </c>
      <c r="D330" s="8" t="n">
        <v>2</v>
      </c>
      <c r="E330" s="8" t="s">
        <v>725</v>
      </c>
      <c r="F330" s="8" t="s">
        <v>726</v>
      </c>
      <c r="G330" s="56" t="n">
        <v>11890.99</v>
      </c>
      <c r="H330" s="56" t="n">
        <v>8161.2</v>
      </c>
      <c r="I330" s="43" t="n">
        <v>0.6471</v>
      </c>
      <c r="J330" s="8" t="s">
        <v>581</v>
      </c>
      <c r="K330" s="19" t="n">
        <f aca="false">IF(H330=0,"",G330/H330)</f>
        <v>1.45701489976964</v>
      </c>
    </row>
    <row r="331" customFormat="false" ht="15" hidden="false" customHeight="false" outlineLevel="0" collapsed="false">
      <c r="A331" s="8" t="s">
        <v>62</v>
      </c>
      <c r="B331" s="8" t="s">
        <v>24</v>
      </c>
      <c r="C331" s="8" t="s">
        <v>700</v>
      </c>
      <c r="D331" s="8" t="n">
        <v>2</v>
      </c>
      <c r="E331" s="8" t="s">
        <v>725</v>
      </c>
      <c r="F331" s="8" t="s">
        <v>727</v>
      </c>
      <c r="G331" s="56" t="n">
        <v>5823.77</v>
      </c>
      <c r="H331" s="56" t="n">
        <v>3801.83</v>
      </c>
      <c r="I331" s="43" t="n">
        <v>0.2166</v>
      </c>
      <c r="J331" s="8" t="s">
        <v>581</v>
      </c>
      <c r="K331" s="19" t="n">
        <f aca="false">IF(H331=0,"",G331/H331)</f>
        <v>1.53183335393745</v>
      </c>
    </row>
    <row r="332" customFormat="false" ht="15" hidden="false" customHeight="false" outlineLevel="0" collapsed="false">
      <c r="A332" s="51" t="s">
        <v>62</v>
      </c>
      <c r="B332" s="51" t="s">
        <v>24</v>
      </c>
      <c r="C332" s="51" t="s">
        <v>700</v>
      </c>
      <c r="D332" s="51" t="n">
        <v>2</v>
      </c>
      <c r="E332" s="51" t="s">
        <v>515</v>
      </c>
      <c r="F332" s="51" t="s">
        <v>726</v>
      </c>
      <c r="G332" s="52" t="n">
        <v>-10049.18</v>
      </c>
      <c r="H332" s="52" t="n">
        <v>12079.88</v>
      </c>
      <c r="I332" s="53" t="n">
        <v>1.0041</v>
      </c>
      <c r="J332" s="51" t="s">
        <v>729</v>
      </c>
      <c r="K332" s="54" t="n">
        <f aca="false">IF(H332=0,"",G332/H332)</f>
        <v>-0.831894025437339</v>
      </c>
    </row>
    <row r="333" customFormat="false" ht="15" hidden="false" customHeight="false" outlineLevel="0" collapsed="false">
      <c r="A333" s="8" t="s">
        <v>62</v>
      </c>
      <c r="B333" s="8" t="s">
        <v>24</v>
      </c>
      <c r="C333" s="8" t="s">
        <v>700</v>
      </c>
      <c r="D333" s="8" t="n">
        <v>2</v>
      </c>
      <c r="E333" s="8" t="s">
        <v>515</v>
      </c>
      <c r="F333" s="8" t="s">
        <v>727</v>
      </c>
      <c r="G333" s="56" t="n">
        <v>13230.41</v>
      </c>
      <c r="H333" s="56" t="n">
        <v>4520.7</v>
      </c>
      <c r="I333" s="43" t="n">
        <v>0.3413</v>
      </c>
      <c r="J333" s="8" t="s">
        <v>581</v>
      </c>
      <c r="K333" s="19" t="n">
        <f aca="false">IF(H333=0,"",G333/H333)</f>
        <v>2.92662861946159</v>
      </c>
    </row>
    <row r="334" customFormat="false" ht="15" hidden="false" customHeight="false" outlineLevel="0" collapsed="false">
      <c r="A334" s="51" t="s">
        <v>62</v>
      </c>
      <c r="B334" s="51" t="s">
        <v>24</v>
      </c>
      <c r="C334" s="51" t="s">
        <v>700</v>
      </c>
      <c r="D334" s="51" t="n">
        <v>2</v>
      </c>
      <c r="E334" s="51" t="s">
        <v>728</v>
      </c>
      <c r="F334" s="51" t="s">
        <v>726</v>
      </c>
      <c r="G334" s="52" t="n">
        <v>-10368.17</v>
      </c>
      <c r="H334" s="52" t="n">
        <v>12562.89</v>
      </c>
      <c r="I334" s="53" t="n">
        <v>1.0302</v>
      </c>
      <c r="J334" s="51" t="s">
        <v>729</v>
      </c>
      <c r="K334" s="54" t="n">
        <f aca="false">IF(H334=0,"",G334/H334)</f>
        <v>-0.825301343878678</v>
      </c>
    </row>
    <row r="335" customFormat="false" ht="15" hidden="false" customHeight="false" outlineLevel="0" collapsed="false">
      <c r="A335" s="8" t="s">
        <v>62</v>
      </c>
      <c r="B335" s="8" t="s">
        <v>24</v>
      </c>
      <c r="C335" s="8" t="s">
        <v>700</v>
      </c>
      <c r="D335" s="8" t="n">
        <v>2</v>
      </c>
      <c r="E335" s="8" t="s">
        <v>728</v>
      </c>
      <c r="F335" s="8" t="s">
        <v>727</v>
      </c>
      <c r="G335" s="56" t="n">
        <v>15183.99</v>
      </c>
      <c r="H335" s="56" t="n">
        <v>7472.7</v>
      </c>
      <c r="I335" s="43" t="n">
        <v>0.5032</v>
      </c>
      <c r="J335" s="8" t="s">
        <v>581</v>
      </c>
      <c r="K335" s="19" t="n">
        <f aca="false">IF(H335=0,"",G335/H335)</f>
        <v>2.03192821871613</v>
      </c>
    </row>
    <row r="336" customFormat="false" ht="15" hidden="false" customHeight="false" outlineLevel="0" collapsed="false">
      <c r="A336" s="8" t="s">
        <v>62</v>
      </c>
      <c r="B336" s="8" t="s">
        <v>24</v>
      </c>
      <c r="C336" s="8" t="s">
        <v>700</v>
      </c>
      <c r="D336" s="8" t="n">
        <v>3</v>
      </c>
      <c r="E336" s="8" t="s">
        <v>725</v>
      </c>
      <c r="F336" s="8" t="s">
        <v>726</v>
      </c>
      <c r="G336" s="56" t="n">
        <v>12710.87</v>
      </c>
      <c r="H336" s="56" t="n">
        <v>7711.59</v>
      </c>
      <c r="I336" s="43" t="n">
        <v>0.6651</v>
      </c>
      <c r="J336" s="8" t="s">
        <v>581</v>
      </c>
      <c r="K336" s="19" t="n">
        <f aca="false">IF(H336=0,"",G336/H336)</f>
        <v>1.6482813531321</v>
      </c>
    </row>
    <row r="337" customFormat="false" ht="15" hidden="false" customHeight="false" outlineLevel="0" collapsed="false">
      <c r="A337" s="8" t="s">
        <v>62</v>
      </c>
      <c r="B337" s="8" t="s">
        <v>24</v>
      </c>
      <c r="C337" s="8" t="s">
        <v>700</v>
      </c>
      <c r="D337" s="8" t="n">
        <v>3</v>
      </c>
      <c r="E337" s="8" t="s">
        <v>725</v>
      </c>
      <c r="F337" s="8" t="s">
        <v>727</v>
      </c>
      <c r="G337" s="56" t="n">
        <v>8771.02</v>
      </c>
      <c r="H337" s="56" t="n">
        <v>2897.7</v>
      </c>
      <c r="I337" s="43" t="n">
        <v>0.2636</v>
      </c>
      <c r="J337" s="8" t="s">
        <v>581</v>
      </c>
      <c r="K337" s="19" t="n">
        <f aca="false">IF(H337=0,"",G337/H337)</f>
        <v>3.02689029230079</v>
      </c>
    </row>
    <row r="338" customFormat="false" ht="15" hidden="false" customHeight="false" outlineLevel="0" collapsed="false">
      <c r="A338" s="51" t="s">
        <v>62</v>
      </c>
      <c r="B338" s="51" t="s">
        <v>24</v>
      </c>
      <c r="C338" s="51" t="s">
        <v>700</v>
      </c>
      <c r="D338" s="51" t="n">
        <v>3</v>
      </c>
      <c r="E338" s="51" t="s">
        <v>515</v>
      </c>
      <c r="F338" s="51" t="s">
        <v>726</v>
      </c>
      <c r="G338" s="52" t="n">
        <v>-10446.22</v>
      </c>
      <c r="H338" s="52" t="n">
        <v>11438.56</v>
      </c>
      <c r="I338" s="53" t="n">
        <v>1.0406</v>
      </c>
      <c r="J338" s="51" t="s">
        <v>729</v>
      </c>
      <c r="K338" s="54" t="n">
        <f aca="false">IF(H338=0,"",G338/H338)</f>
        <v>-0.913246072932257</v>
      </c>
    </row>
    <row r="339" customFormat="false" ht="15" hidden="false" customHeight="false" outlineLevel="0" collapsed="false">
      <c r="A339" s="8" t="s">
        <v>62</v>
      </c>
      <c r="B339" s="8" t="s">
        <v>24</v>
      </c>
      <c r="C339" s="8" t="s">
        <v>700</v>
      </c>
      <c r="D339" s="8" t="n">
        <v>3</v>
      </c>
      <c r="E339" s="8" t="s">
        <v>515</v>
      </c>
      <c r="F339" s="8" t="s">
        <v>727</v>
      </c>
      <c r="G339" s="56" t="n">
        <v>11813.99</v>
      </c>
      <c r="H339" s="56" t="n">
        <v>4215.86</v>
      </c>
      <c r="I339" s="43" t="n">
        <v>0.2584</v>
      </c>
      <c r="J339" s="8" t="s">
        <v>581</v>
      </c>
      <c r="K339" s="19" t="n">
        <f aca="false">IF(H339=0,"",G339/H339)</f>
        <v>2.80227284587249</v>
      </c>
    </row>
    <row r="340" customFormat="false" ht="15" hidden="false" customHeight="false" outlineLevel="0" collapsed="false">
      <c r="A340" s="51" t="s">
        <v>62</v>
      </c>
      <c r="B340" s="51" t="s">
        <v>24</v>
      </c>
      <c r="C340" s="51" t="s">
        <v>700</v>
      </c>
      <c r="D340" s="51" t="n">
        <v>3</v>
      </c>
      <c r="E340" s="51" t="s">
        <v>728</v>
      </c>
      <c r="F340" s="51" t="s">
        <v>726</v>
      </c>
      <c r="G340" s="52" t="n">
        <v>-10602.58</v>
      </c>
      <c r="H340" s="52" t="n">
        <v>11594.92</v>
      </c>
      <c r="I340" s="53" t="n">
        <v>1.0548</v>
      </c>
      <c r="J340" s="51" t="s">
        <v>729</v>
      </c>
      <c r="K340" s="54" t="n">
        <f aca="false">IF(H340=0,"",G340/H340)</f>
        <v>-0.914415968372356</v>
      </c>
    </row>
    <row r="341" customFormat="false" ht="15" hidden="false" customHeight="false" outlineLevel="0" collapsed="false">
      <c r="A341" s="8" t="s">
        <v>62</v>
      </c>
      <c r="B341" s="8" t="s">
        <v>24</v>
      </c>
      <c r="C341" s="8" t="s">
        <v>700</v>
      </c>
      <c r="D341" s="8" t="n">
        <v>3</v>
      </c>
      <c r="E341" s="8" t="s">
        <v>728</v>
      </c>
      <c r="F341" s="8" t="s">
        <v>727</v>
      </c>
      <c r="G341" s="56" t="n">
        <v>10664.84</v>
      </c>
      <c r="H341" s="56" t="n">
        <v>6928.76</v>
      </c>
      <c r="I341" s="43" t="n">
        <v>0.3898</v>
      </c>
      <c r="J341" s="8" t="s">
        <v>581</v>
      </c>
      <c r="K341" s="19" t="n">
        <f aca="false">IF(H341=0,"",G341/H341)</f>
        <v>1.53921336573932</v>
      </c>
    </row>
    <row r="342" customFormat="false" ht="15" hidden="false" customHeight="false" outlineLevel="0" collapsed="false">
      <c r="A342" s="8" t="s">
        <v>62</v>
      </c>
      <c r="B342" s="8" t="s">
        <v>24</v>
      </c>
      <c r="C342" s="8" t="s">
        <v>528</v>
      </c>
      <c r="D342" s="8" t="n">
        <v>2</v>
      </c>
      <c r="E342" s="8" t="s">
        <v>725</v>
      </c>
      <c r="F342" s="8" t="s">
        <v>726</v>
      </c>
      <c r="G342" s="56" t="n">
        <v>32420.3</v>
      </c>
      <c r="H342" s="56" t="n">
        <v>9154.95</v>
      </c>
      <c r="I342" s="43" t="n">
        <v>0.6825</v>
      </c>
      <c r="J342" s="8" t="s">
        <v>581</v>
      </c>
      <c r="K342" s="19" t="n">
        <f aca="false">IF(H342=0,"",G342/H342)</f>
        <v>3.54128640789955</v>
      </c>
    </row>
    <row r="343" customFormat="false" ht="15" hidden="false" customHeight="false" outlineLevel="0" collapsed="false">
      <c r="A343" s="8" t="s">
        <v>62</v>
      </c>
      <c r="B343" s="8" t="s">
        <v>24</v>
      </c>
      <c r="C343" s="8" t="s">
        <v>528</v>
      </c>
      <c r="D343" s="8" t="n">
        <v>2</v>
      </c>
      <c r="E343" s="8" t="s">
        <v>725</v>
      </c>
      <c r="F343" s="8" t="s">
        <v>727</v>
      </c>
      <c r="G343" s="56" t="n">
        <v>27535.39</v>
      </c>
      <c r="H343" s="56" t="n">
        <v>9154.95</v>
      </c>
      <c r="I343" s="43" t="n">
        <v>0.3076</v>
      </c>
      <c r="J343" s="8" t="s">
        <v>581</v>
      </c>
      <c r="K343" s="19" t="n">
        <f aca="false">IF(H343=0,"",G343/H343)</f>
        <v>3.00770512127319</v>
      </c>
    </row>
    <row r="344" customFormat="false" ht="15" hidden="false" customHeight="false" outlineLevel="0" collapsed="false">
      <c r="A344" s="51" t="s">
        <v>62</v>
      </c>
      <c r="B344" s="51" t="s">
        <v>24</v>
      </c>
      <c r="C344" s="51" t="s">
        <v>528</v>
      </c>
      <c r="D344" s="51" t="n">
        <v>2</v>
      </c>
      <c r="E344" s="51" t="s">
        <v>515</v>
      </c>
      <c r="F344" s="51" t="s">
        <v>726</v>
      </c>
      <c r="G344" s="52" t="n">
        <v>-10409.76</v>
      </c>
      <c r="H344" s="52" t="n">
        <v>14689.44</v>
      </c>
      <c r="I344" s="53" t="n">
        <v>1.0287</v>
      </c>
      <c r="J344" s="51" t="s">
        <v>729</v>
      </c>
      <c r="K344" s="54" t="n">
        <f aca="false">IF(H344=0,"",G344/H344)</f>
        <v>-0.708656014116263</v>
      </c>
    </row>
    <row r="345" customFormat="false" ht="15" hidden="false" customHeight="false" outlineLevel="0" collapsed="false">
      <c r="A345" s="8" t="s">
        <v>62</v>
      </c>
      <c r="B345" s="8" t="s">
        <v>24</v>
      </c>
      <c r="C345" s="8" t="s">
        <v>528</v>
      </c>
      <c r="D345" s="8" t="n">
        <v>2</v>
      </c>
      <c r="E345" s="8" t="s">
        <v>515</v>
      </c>
      <c r="F345" s="8" t="s">
        <v>727</v>
      </c>
      <c r="G345" s="56" t="n">
        <v>46684.46</v>
      </c>
      <c r="H345" s="56" t="n">
        <v>16385.04</v>
      </c>
      <c r="I345" s="43" t="n">
        <v>0.383</v>
      </c>
      <c r="J345" s="8" t="s">
        <v>581</v>
      </c>
      <c r="K345" s="19" t="n">
        <f aca="false">IF(H345=0,"",G345/H345)</f>
        <v>2.84921245233457</v>
      </c>
    </row>
    <row r="346" customFormat="false" ht="15" hidden="false" customHeight="false" outlineLevel="0" collapsed="false">
      <c r="A346" s="51" t="s">
        <v>62</v>
      </c>
      <c r="B346" s="51" t="s">
        <v>24</v>
      </c>
      <c r="C346" s="51" t="s">
        <v>528</v>
      </c>
      <c r="D346" s="51" t="n">
        <v>2</v>
      </c>
      <c r="E346" s="51" t="s">
        <v>728</v>
      </c>
      <c r="F346" s="51" t="s">
        <v>726</v>
      </c>
      <c r="G346" s="52" t="n">
        <v>-10764.17</v>
      </c>
      <c r="H346" s="52" t="n">
        <v>17250</v>
      </c>
      <c r="I346" s="53" t="n">
        <v>1.0464</v>
      </c>
      <c r="J346" s="51" t="s">
        <v>729</v>
      </c>
      <c r="K346" s="54" t="n">
        <f aca="false">IF(H346=0,"",G346/H346)</f>
        <v>-0.624009855072464</v>
      </c>
    </row>
    <row r="347" customFormat="false" ht="15" hidden="false" customHeight="false" outlineLevel="0" collapsed="false">
      <c r="A347" s="8" t="s">
        <v>62</v>
      </c>
      <c r="B347" s="8" t="s">
        <v>24</v>
      </c>
      <c r="C347" s="8" t="s">
        <v>528</v>
      </c>
      <c r="D347" s="8" t="n">
        <v>2</v>
      </c>
      <c r="E347" s="8" t="s">
        <v>728</v>
      </c>
      <c r="F347" s="8" t="s">
        <v>727</v>
      </c>
      <c r="G347" s="56" t="n">
        <v>63837.12</v>
      </c>
      <c r="H347" s="56" t="n">
        <v>17625.19</v>
      </c>
      <c r="I347" s="43" t="n">
        <v>0.6215</v>
      </c>
      <c r="J347" s="8" t="s">
        <v>581</v>
      </c>
      <c r="K347" s="19" t="n">
        <f aca="false">IF(H347=0,"",G347/H347)</f>
        <v>3.62192521045163</v>
      </c>
    </row>
    <row r="348" customFormat="false" ht="15" hidden="false" customHeight="false" outlineLevel="0" collapsed="false">
      <c r="A348" s="8" t="s">
        <v>62</v>
      </c>
      <c r="B348" s="8" t="s">
        <v>24</v>
      </c>
      <c r="C348" s="8" t="s">
        <v>528</v>
      </c>
      <c r="D348" s="8" t="n">
        <v>3</v>
      </c>
      <c r="E348" s="8" t="s">
        <v>725</v>
      </c>
      <c r="F348" s="8" t="s">
        <v>726</v>
      </c>
      <c r="G348" s="56" t="n">
        <v>31638.37</v>
      </c>
      <c r="H348" s="56" t="n">
        <v>9154.95</v>
      </c>
      <c r="I348" s="43" t="n">
        <v>0.7135</v>
      </c>
      <c r="J348" s="8" t="s">
        <v>581</v>
      </c>
      <c r="K348" s="19" t="n">
        <f aca="false">IF(H348=0,"",G348/H348)</f>
        <v>3.45587578304633</v>
      </c>
    </row>
    <row r="349" customFormat="false" ht="15" hidden="false" customHeight="false" outlineLevel="0" collapsed="false">
      <c r="A349" s="8" t="s">
        <v>62</v>
      </c>
      <c r="B349" s="8" t="s">
        <v>24</v>
      </c>
      <c r="C349" s="8" t="s">
        <v>528</v>
      </c>
      <c r="D349" s="8" t="n">
        <v>3</v>
      </c>
      <c r="E349" s="8" t="s">
        <v>725</v>
      </c>
      <c r="F349" s="8" t="s">
        <v>727</v>
      </c>
      <c r="G349" s="56" t="n">
        <v>27926.31</v>
      </c>
      <c r="H349" s="56" t="n">
        <v>9154.95</v>
      </c>
      <c r="I349" s="43" t="n">
        <v>0.304</v>
      </c>
      <c r="J349" s="8" t="s">
        <v>581</v>
      </c>
      <c r="K349" s="19" t="n">
        <f aca="false">IF(H349=0,"",G349/H349)</f>
        <v>3.05040551832615</v>
      </c>
    </row>
    <row r="350" customFormat="false" ht="15" hidden="false" customHeight="false" outlineLevel="0" collapsed="false">
      <c r="A350" s="51" t="s">
        <v>62</v>
      </c>
      <c r="B350" s="51" t="s">
        <v>24</v>
      </c>
      <c r="C350" s="51" t="s">
        <v>528</v>
      </c>
      <c r="D350" s="51" t="n">
        <v>3</v>
      </c>
      <c r="E350" s="51" t="s">
        <v>515</v>
      </c>
      <c r="F350" s="51" t="s">
        <v>726</v>
      </c>
      <c r="G350" s="52" t="n">
        <v>-10261.92</v>
      </c>
      <c r="H350" s="52" t="n">
        <v>11771.41</v>
      </c>
      <c r="I350" s="53" t="n">
        <v>1.0228</v>
      </c>
      <c r="J350" s="51" t="s">
        <v>729</v>
      </c>
      <c r="K350" s="54" t="n">
        <f aca="false">IF(H350=0,"",G350/H350)</f>
        <v>-0.871766423903339</v>
      </c>
    </row>
    <row r="351" customFormat="false" ht="15" hidden="false" customHeight="false" outlineLevel="0" collapsed="false">
      <c r="A351" s="8" t="s">
        <v>62</v>
      </c>
      <c r="B351" s="8" t="s">
        <v>24</v>
      </c>
      <c r="C351" s="8" t="s">
        <v>528</v>
      </c>
      <c r="D351" s="8" t="n">
        <v>3</v>
      </c>
      <c r="E351" s="8" t="s">
        <v>515</v>
      </c>
      <c r="F351" s="8" t="s">
        <v>727</v>
      </c>
      <c r="G351" s="56" t="n">
        <v>51480.28</v>
      </c>
      <c r="H351" s="56" t="n">
        <v>16635.43</v>
      </c>
      <c r="I351" s="43" t="n">
        <v>0.3588</v>
      </c>
      <c r="J351" s="8" t="s">
        <v>581</v>
      </c>
      <c r="K351" s="19" t="n">
        <f aca="false">IF(H351=0,"",G351/H351)</f>
        <v>3.09461673067663</v>
      </c>
    </row>
    <row r="352" customFormat="false" ht="15" hidden="false" customHeight="false" outlineLevel="0" collapsed="false">
      <c r="A352" s="51" t="s">
        <v>62</v>
      </c>
      <c r="B352" s="51" t="s">
        <v>24</v>
      </c>
      <c r="C352" s="51" t="s">
        <v>528</v>
      </c>
      <c r="D352" s="51" t="n">
        <v>3</v>
      </c>
      <c r="E352" s="51" t="s">
        <v>728</v>
      </c>
      <c r="F352" s="51" t="s">
        <v>726</v>
      </c>
      <c r="G352" s="52" t="n">
        <v>-10611.99</v>
      </c>
      <c r="H352" s="52" t="n">
        <v>12121.48</v>
      </c>
      <c r="I352" s="53" t="n">
        <v>1.0532</v>
      </c>
      <c r="J352" s="51" t="s">
        <v>729</v>
      </c>
      <c r="K352" s="54" t="n">
        <f aca="false">IF(H352=0,"",G352/H352)</f>
        <v>-0.875469827116821</v>
      </c>
    </row>
    <row r="353" customFormat="false" ht="15" hidden="false" customHeight="false" outlineLevel="0" collapsed="false">
      <c r="A353" s="8" t="s">
        <v>62</v>
      </c>
      <c r="B353" s="8" t="s">
        <v>24</v>
      </c>
      <c r="C353" s="8" t="s">
        <v>528</v>
      </c>
      <c r="D353" s="8" t="n">
        <v>3</v>
      </c>
      <c r="E353" s="8" t="s">
        <v>728</v>
      </c>
      <c r="F353" s="8" t="s">
        <v>727</v>
      </c>
      <c r="G353" s="56" t="n">
        <v>47796.34</v>
      </c>
      <c r="H353" s="56" t="n">
        <v>20545.1</v>
      </c>
      <c r="I353" s="43" t="n">
        <v>0.4014</v>
      </c>
      <c r="J353" s="8" t="s">
        <v>581</v>
      </c>
      <c r="K353" s="19" t="n">
        <f aca="false">IF(H353=0,"",G353/H353)</f>
        <v>2.32641067699841</v>
      </c>
    </row>
    <row r="355" customFormat="false" ht="15" hidden="false" customHeight="false" outlineLevel="0" collapsed="false">
      <c r="A355" s="8" t="s">
        <v>62</v>
      </c>
      <c r="B355" s="8" t="s">
        <v>59</v>
      </c>
      <c r="C355" s="8" t="s">
        <v>700</v>
      </c>
      <c r="D355" s="8" t="n">
        <v>2</v>
      </c>
      <c r="E355" s="8" t="s">
        <v>725</v>
      </c>
      <c r="F355" s="8" t="s">
        <v>726</v>
      </c>
      <c r="G355" s="56" t="n">
        <v>9788.7</v>
      </c>
      <c r="H355" s="56" t="n">
        <v>4242.24</v>
      </c>
      <c r="I355" s="43" t="n">
        <v>0.3441</v>
      </c>
      <c r="J355" s="8" t="s">
        <v>581</v>
      </c>
      <c r="K355" s="19" t="n">
        <f aca="false">IF(H355=0,"",G355/H355)</f>
        <v>2.30743663724825</v>
      </c>
    </row>
    <row r="356" customFormat="false" ht="15" hidden="false" customHeight="false" outlineLevel="0" collapsed="false">
      <c r="A356" s="8" t="s">
        <v>62</v>
      </c>
      <c r="B356" s="8" t="s">
        <v>59</v>
      </c>
      <c r="C356" s="8" t="s">
        <v>700</v>
      </c>
      <c r="D356" s="8" t="n">
        <v>2</v>
      </c>
      <c r="E356" s="8" t="s">
        <v>725</v>
      </c>
      <c r="F356" s="8" t="s">
        <v>727</v>
      </c>
      <c r="G356" s="56" t="n">
        <v>6370.58</v>
      </c>
      <c r="H356" s="56" t="n">
        <v>1596.99</v>
      </c>
      <c r="I356" s="43" t="n">
        <v>0.1018</v>
      </c>
      <c r="J356" s="8" t="s">
        <v>581</v>
      </c>
      <c r="K356" s="19" t="n">
        <f aca="false">IF(H356=0,"",G356/H356)</f>
        <v>3.98911702640593</v>
      </c>
    </row>
    <row r="357" customFormat="false" ht="15" hidden="false" customHeight="false" outlineLevel="0" collapsed="false">
      <c r="A357" s="8" t="s">
        <v>62</v>
      </c>
      <c r="B357" s="8" t="s">
        <v>59</v>
      </c>
      <c r="C357" s="8" t="s">
        <v>700</v>
      </c>
      <c r="D357" s="8" t="n">
        <v>2</v>
      </c>
      <c r="E357" s="8" t="s">
        <v>515</v>
      </c>
      <c r="F357" s="8" t="s">
        <v>726</v>
      </c>
      <c r="G357" s="56" t="n">
        <v>12817.14</v>
      </c>
      <c r="H357" s="56" t="n">
        <v>6562.74</v>
      </c>
      <c r="I357" s="43" t="n">
        <v>0.5707</v>
      </c>
      <c r="J357" s="8" t="s">
        <v>581</v>
      </c>
      <c r="K357" s="19" t="n">
        <f aca="false">IF(H357=0,"",G357/H357)</f>
        <v>1.95301657539381</v>
      </c>
    </row>
    <row r="358" customFormat="false" ht="15" hidden="false" customHeight="false" outlineLevel="0" collapsed="false">
      <c r="A358" s="8" t="s">
        <v>62</v>
      </c>
      <c r="B358" s="8" t="s">
        <v>59</v>
      </c>
      <c r="C358" s="8" t="s">
        <v>700</v>
      </c>
      <c r="D358" s="8" t="n">
        <v>2</v>
      </c>
      <c r="E358" s="8" t="s">
        <v>515</v>
      </c>
      <c r="F358" s="8" t="s">
        <v>727</v>
      </c>
      <c r="G358" s="56" t="n">
        <v>5360.15</v>
      </c>
      <c r="H358" s="56" t="n">
        <v>2630.8</v>
      </c>
      <c r="I358" s="43" t="n">
        <v>0.1499</v>
      </c>
      <c r="J358" s="8" t="s">
        <v>581</v>
      </c>
      <c r="K358" s="19" t="n">
        <f aca="false">IF(H358=0,"",G358/H358)</f>
        <v>2.0374600881861</v>
      </c>
    </row>
    <row r="359" customFormat="false" ht="15" hidden="false" customHeight="false" outlineLevel="0" collapsed="false">
      <c r="A359" s="8" t="s">
        <v>62</v>
      </c>
      <c r="B359" s="8" t="s">
        <v>59</v>
      </c>
      <c r="C359" s="8" t="s">
        <v>700</v>
      </c>
      <c r="D359" s="8" t="n">
        <v>2</v>
      </c>
      <c r="E359" s="8" t="s">
        <v>728</v>
      </c>
      <c r="F359" s="8" t="s">
        <v>726</v>
      </c>
      <c r="G359" s="56" t="n">
        <v>14468.66</v>
      </c>
      <c r="H359" s="56" t="n">
        <v>8753.05</v>
      </c>
      <c r="I359" s="43" t="n">
        <v>0.3854</v>
      </c>
      <c r="J359" s="8" t="s">
        <v>581</v>
      </c>
      <c r="K359" s="19" t="n">
        <f aca="false">IF(H359=0,"",G359/H359)</f>
        <v>1.65298495952839</v>
      </c>
    </row>
    <row r="360" customFormat="false" ht="15" hidden="false" customHeight="false" outlineLevel="0" collapsed="false">
      <c r="A360" s="8" t="s">
        <v>62</v>
      </c>
      <c r="B360" s="8" t="s">
        <v>59</v>
      </c>
      <c r="C360" s="8" t="s">
        <v>700</v>
      </c>
      <c r="D360" s="8" t="n">
        <v>2</v>
      </c>
      <c r="E360" s="8" t="s">
        <v>728</v>
      </c>
      <c r="F360" s="8" t="s">
        <v>727</v>
      </c>
      <c r="G360" s="56" t="n">
        <v>3874.76</v>
      </c>
      <c r="H360" s="56" t="n">
        <v>5746.2</v>
      </c>
      <c r="I360" s="43" t="n">
        <v>0.3405</v>
      </c>
      <c r="J360" s="8" t="s">
        <v>581</v>
      </c>
      <c r="K360" s="19" t="n">
        <f aca="false">IF(H360=0,"",G360/H360)</f>
        <v>0.67431693989071</v>
      </c>
    </row>
    <row r="361" customFormat="false" ht="15" hidden="false" customHeight="false" outlineLevel="0" collapsed="false">
      <c r="A361" s="8" t="s">
        <v>62</v>
      </c>
      <c r="B361" s="8" t="s">
        <v>59</v>
      </c>
      <c r="C361" s="8" t="s">
        <v>700</v>
      </c>
      <c r="D361" s="8" t="n">
        <v>3</v>
      </c>
      <c r="E361" s="8" t="s">
        <v>725</v>
      </c>
      <c r="F361" s="8" t="s">
        <v>726</v>
      </c>
      <c r="G361" s="56" t="n">
        <v>9048.39</v>
      </c>
      <c r="H361" s="56" t="n">
        <v>3311.14</v>
      </c>
      <c r="I361" s="43" t="n">
        <v>0.2925</v>
      </c>
      <c r="J361" s="8" t="s">
        <v>581</v>
      </c>
      <c r="K361" s="19" t="n">
        <f aca="false">IF(H361=0,"",G361/H361)</f>
        <v>2.73271139245094</v>
      </c>
    </row>
    <row r="362" customFormat="false" ht="15" hidden="false" customHeight="false" outlineLevel="0" collapsed="false">
      <c r="A362" s="8" t="s">
        <v>62</v>
      </c>
      <c r="B362" s="8" t="s">
        <v>59</v>
      </c>
      <c r="C362" s="8" t="s">
        <v>700</v>
      </c>
      <c r="D362" s="8" t="n">
        <v>3</v>
      </c>
      <c r="E362" s="8" t="s">
        <v>725</v>
      </c>
      <c r="F362" s="8" t="s">
        <v>727</v>
      </c>
      <c r="G362" s="56" t="n">
        <v>3886.7</v>
      </c>
      <c r="H362" s="56" t="n">
        <v>2183.45</v>
      </c>
      <c r="I362" s="43" t="n">
        <v>0.1503</v>
      </c>
      <c r="J362" s="8" t="s">
        <v>581</v>
      </c>
      <c r="K362" s="19" t="n">
        <f aca="false">IF(H362=0,"",G362/H362)</f>
        <v>1.78007282053631</v>
      </c>
    </row>
    <row r="363" customFormat="false" ht="15" hidden="false" customHeight="false" outlineLevel="0" collapsed="false">
      <c r="A363" s="8" t="s">
        <v>62</v>
      </c>
      <c r="B363" s="8" t="s">
        <v>59</v>
      </c>
      <c r="C363" s="8" t="s">
        <v>700</v>
      </c>
      <c r="D363" s="8" t="n">
        <v>3</v>
      </c>
      <c r="E363" s="8" t="s">
        <v>515</v>
      </c>
      <c r="F363" s="8" t="s">
        <v>726</v>
      </c>
      <c r="G363" s="56" t="n">
        <v>10359.21</v>
      </c>
      <c r="H363" s="56" t="n">
        <v>3980.68</v>
      </c>
      <c r="I363" s="43" t="n">
        <v>0.2004</v>
      </c>
      <c r="J363" s="8" t="s">
        <v>581</v>
      </c>
      <c r="K363" s="19" t="n">
        <f aca="false">IF(H363=0,"",G363/H363)</f>
        <v>2.60237195655014</v>
      </c>
    </row>
    <row r="364" customFormat="false" ht="15" hidden="false" customHeight="false" outlineLevel="0" collapsed="false">
      <c r="A364" s="8" t="s">
        <v>62</v>
      </c>
      <c r="B364" s="8" t="s">
        <v>59</v>
      </c>
      <c r="C364" s="8" t="s">
        <v>700</v>
      </c>
      <c r="D364" s="8" t="n">
        <v>3</v>
      </c>
      <c r="E364" s="8" t="s">
        <v>515</v>
      </c>
      <c r="F364" s="8" t="s">
        <v>727</v>
      </c>
      <c r="G364" s="56" t="n">
        <v>4310.19</v>
      </c>
      <c r="H364" s="56" t="n">
        <v>3943.27</v>
      </c>
      <c r="I364" s="43" t="n">
        <v>0.265</v>
      </c>
      <c r="J364" s="8" t="s">
        <v>581</v>
      </c>
      <c r="K364" s="19" t="n">
        <f aca="false">IF(H364=0,"",G364/H364)</f>
        <v>1.09304967704469</v>
      </c>
    </row>
    <row r="365" customFormat="false" ht="15" hidden="false" customHeight="false" outlineLevel="0" collapsed="false">
      <c r="A365" s="8" t="s">
        <v>62</v>
      </c>
      <c r="B365" s="8" t="s">
        <v>59</v>
      </c>
      <c r="C365" s="8" t="s">
        <v>700</v>
      </c>
      <c r="D365" s="8" t="n">
        <v>3</v>
      </c>
      <c r="E365" s="8" t="s">
        <v>728</v>
      </c>
      <c r="F365" s="8" t="s">
        <v>726</v>
      </c>
      <c r="G365" s="56" t="n">
        <v>10550.73</v>
      </c>
      <c r="H365" s="56" t="n">
        <v>5071.34</v>
      </c>
      <c r="I365" s="43" t="n">
        <v>0.2547</v>
      </c>
      <c r="J365" s="8" t="s">
        <v>581</v>
      </c>
      <c r="K365" s="19" t="n">
        <f aca="false">IF(H365=0,"",G365/H365)</f>
        <v>2.08046196863157</v>
      </c>
    </row>
    <row r="366" customFormat="false" ht="15" hidden="false" customHeight="false" outlineLevel="0" collapsed="false">
      <c r="A366" s="8" t="s">
        <v>62</v>
      </c>
      <c r="B366" s="8" t="s">
        <v>59</v>
      </c>
      <c r="C366" s="8" t="s">
        <v>700</v>
      </c>
      <c r="D366" s="8" t="n">
        <v>3</v>
      </c>
      <c r="E366" s="8" t="s">
        <v>728</v>
      </c>
      <c r="F366" s="8" t="s">
        <v>727</v>
      </c>
      <c r="G366" s="56" t="n">
        <v>7589.56</v>
      </c>
      <c r="H366" s="56" t="n">
        <v>3369.97</v>
      </c>
      <c r="I366" s="43" t="n">
        <v>0.1734</v>
      </c>
      <c r="J366" s="8" t="s">
        <v>581</v>
      </c>
      <c r="K366" s="19" t="n">
        <f aca="false">IF(H366=0,"",G366/H366)</f>
        <v>2.25211500399113</v>
      </c>
    </row>
    <row r="367" customFormat="false" ht="15" hidden="false" customHeight="false" outlineLevel="0" collapsed="false">
      <c r="A367" s="8" t="s">
        <v>62</v>
      </c>
      <c r="B367" s="8" t="s">
        <v>59</v>
      </c>
      <c r="C367" s="8" t="s">
        <v>528</v>
      </c>
      <c r="D367" s="8" t="n">
        <v>2</v>
      </c>
      <c r="E367" s="8" t="s">
        <v>725</v>
      </c>
      <c r="F367" s="8" t="s">
        <v>726</v>
      </c>
      <c r="G367" s="56" t="n">
        <v>15618.15</v>
      </c>
      <c r="H367" s="56" t="n">
        <v>6306.41</v>
      </c>
      <c r="I367" s="43" t="n">
        <v>0.4016</v>
      </c>
      <c r="J367" s="8" t="s">
        <v>581</v>
      </c>
      <c r="K367" s="19" t="n">
        <f aca="false">IF(H367=0,"",G367/H367)</f>
        <v>2.47655163555811</v>
      </c>
    </row>
    <row r="368" customFormat="false" ht="15" hidden="false" customHeight="false" outlineLevel="0" collapsed="false">
      <c r="A368" s="8" t="s">
        <v>62</v>
      </c>
      <c r="B368" s="8" t="s">
        <v>59</v>
      </c>
      <c r="C368" s="8" t="s">
        <v>528</v>
      </c>
      <c r="D368" s="8" t="n">
        <v>2</v>
      </c>
      <c r="E368" s="8" t="s">
        <v>725</v>
      </c>
      <c r="F368" s="8" t="s">
        <v>727</v>
      </c>
      <c r="G368" s="56" t="n">
        <v>11814.75</v>
      </c>
      <c r="H368" s="56" t="n">
        <v>6306.41</v>
      </c>
      <c r="I368" s="43" t="n">
        <v>0.3152</v>
      </c>
      <c r="J368" s="8" t="s">
        <v>581</v>
      </c>
      <c r="K368" s="19" t="n">
        <f aca="false">IF(H368=0,"",G368/H368)</f>
        <v>1.87345098082744</v>
      </c>
    </row>
    <row r="369" customFormat="false" ht="15" hidden="false" customHeight="false" outlineLevel="0" collapsed="false">
      <c r="A369" s="8" t="s">
        <v>62</v>
      </c>
      <c r="B369" s="8" t="s">
        <v>59</v>
      </c>
      <c r="C369" s="8" t="s">
        <v>528</v>
      </c>
      <c r="D369" s="8" t="n">
        <v>2</v>
      </c>
      <c r="E369" s="8" t="s">
        <v>515</v>
      </c>
      <c r="F369" s="8" t="s">
        <v>726</v>
      </c>
      <c r="G369" s="56" t="n">
        <v>31688.86</v>
      </c>
      <c r="H369" s="56" t="n">
        <v>12494.03</v>
      </c>
      <c r="I369" s="43" t="n">
        <v>0.7217</v>
      </c>
      <c r="J369" s="8" t="s">
        <v>581</v>
      </c>
      <c r="K369" s="19" t="n">
        <f aca="false">IF(H369=0,"",G369/H369)</f>
        <v>2.53632014650197</v>
      </c>
    </row>
    <row r="370" customFormat="false" ht="15" hidden="false" customHeight="false" outlineLevel="0" collapsed="false">
      <c r="A370" s="8" t="s">
        <v>62</v>
      </c>
      <c r="B370" s="8" t="s">
        <v>59</v>
      </c>
      <c r="C370" s="8" t="s">
        <v>528</v>
      </c>
      <c r="D370" s="8" t="n">
        <v>2</v>
      </c>
      <c r="E370" s="8" t="s">
        <v>515</v>
      </c>
      <c r="F370" s="8" t="s">
        <v>727</v>
      </c>
      <c r="G370" s="56" t="n">
        <v>17582.76</v>
      </c>
      <c r="H370" s="56" t="n">
        <v>11121.45</v>
      </c>
      <c r="I370" s="43" t="n">
        <v>0.4196</v>
      </c>
      <c r="J370" s="8" t="s">
        <v>581</v>
      </c>
      <c r="K370" s="19" t="n">
        <f aca="false">IF(H370=0,"",G370/H370)</f>
        <v>1.58097730062177</v>
      </c>
    </row>
    <row r="371" customFormat="false" ht="15" hidden="false" customHeight="false" outlineLevel="0" collapsed="false">
      <c r="A371" s="51" t="s">
        <v>62</v>
      </c>
      <c r="B371" s="51" t="s">
        <v>59</v>
      </c>
      <c r="C371" s="51" t="s">
        <v>528</v>
      </c>
      <c r="D371" s="51" t="n">
        <v>2</v>
      </c>
      <c r="E371" s="51" t="s">
        <v>728</v>
      </c>
      <c r="F371" s="51" t="s">
        <v>726</v>
      </c>
      <c r="G371" s="52" t="n">
        <v>-10229.83</v>
      </c>
      <c r="H371" s="52" t="n">
        <v>13636.85</v>
      </c>
      <c r="I371" s="53" t="n">
        <v>1.0171</v>
      </c>
      <c r="J371" s="51" t="s">
        <v>729</v>
      </c>
      <c r="K371" s="54" t="n">
        <f aca="false">IF(H371=0,"",G371/H371)</f>
        <v>-0.750160777598932</v>
      </c>
    </row>
    <row r="372" customFormat="false" ht="15" hidden="false" customHeight="false" outlineLevel="0" collapsed="false">
      <c r="A372" s="8" t="s">
        <v>62</v>
      </c>
      <c r="B372" s="8" t="s">
        <v>59</v>
      </c>
      <c r="C372" s="8" t="s">
        <v>528</v>
      </c>
      <c r="D372" s="8" t="n">
        <v>2</v>
      </c>
      <c r="E372" s="8" t="s">
        <v>728</v>
      </c>
      <c r="F372" s="8" t="s">
        <v>727</v>
      </c>
      <c r="G372" s="56" t="n">
        <v>11136.22</v>
      </c>
      <c r="H372" s="56" t="n">
        <v>11255.94</v>
      </c>
      <c r="I372" s="43" t="n">
        <v>0.5268</v>
      </c>
      <c r="J372" s="8" t="s">
        <v>581</v>
      </c>
      <c r="K372" s="19" t="n">
        <f aca="false">IF(H372=0,"",G372/H372)</f>
        <v>0.989363838115697</v>
      </c>
    </row>
    <row r="373" customFormat="false" ht="15" hidden="false" customHeight="false" outlineLevel="0" collapsed="false">
      <c r="A373" s="8" t="s">
        <v>62</v>
      </c>
      <c r="B373" s="8" t="s">
        <v>59</v>
      </c>
      <c r="C373" s="8" t="s">
        <v>528</v>
      </c>
      <c r="D373" s="8" t="n">
        <v>3</v>
      </c>
      <c r="E373" s="8" t="s">
        <v>725</v>
      </c>
      <c r="F373" s="8" t="s">
        <v>726</v>
      </c>
      <c r="G373" s="56" t="n">
        <v>15631.09</v>
      </c>
      <c r="H373" s="56" t="n">
        <v>6306.41</v>
      </c>
      <c r="I373" s="43" t="n">
        <v>0.3957</v>
      </c>
      <c r="J373" s="8" t="s">
        <v>581</v>
      </c>
      <c r="K373" s="19" t="n">
        <f aca="false">IF(H373=0,"",G373/H373)</f>
        <v>2.47860351610504</v>
      </c>
    </row>
    <row r="374" customFormat="false" ht="15" hidden="false" customHeight="false" outlineLevel="0" collapsed="false">
      <c r="A374" s="8" t="s">
        <v>62</v>
      </c>
      <c r="B374" s="8" t="s">
        <v>59</v>
      </c>
      <c r="C374" s="8" t="s">
        <v>528</v>
      </c>
      <c r="D374" s="8" t="n">
        <v>3</v>
      </c>
      <c r="E374" s="8" t="s">
        <v>725</v>
      </c>
      <c r="F374" s="8" t="s">
        <v>727</v>
      </c>
      <c r="G374" s="56" t="n">
        <v>12612.44</v>
      </c>
      <c r="H374" s="56" t="n">
        <v>6306.41</v>
      </c>
      <c r="I374" s="43" t="n">
        <v>0.3031</v>
      </c>
      <c r="J374" s="8" t="s">
        <v>581</v>
      </c>
      <c r="K374" s="19" t="n">
        <f aca="false">IF(H374=0,"",G374/H374)</f>
        <v>1.99993974384793</v>
      </c>
    </row>
    <row r="375" customFormat="false" ht="15" hidden="false" customHeight="false" outlineLevel="0" collapsed="false">
      <c r="A375" s="8" t="s">
        <v>62</v>
      </c>
      <c r="B375" s="8" t="s">
        <v>59</v>
      </c>
      <c r="C375" s="8" t="s">
        <v>528</v>
      </c>
      <c r="D375" s="8" t="n">
        <v>3</v>
      </c>
      <c r="E375" s="8" t="s">
        <v>515</v>
      </c>
      <c r="F375" s="8" t="s">
        <v>726</v>
      </c>
      <c r="G375" s="56" t="n">
        <v>29503.05</v>
      </c>
      <c r="H375" s="56" t="n">
        <v>12376.25</v>
      </c>
      <c r="I375" s="43" t="n">
        <v>0.6779</v>
      </c>
      <c r="J375" s="8" t="s">
        <v>581</v>
      </c>
      <c r="K375" s="19" t="n">
        <f aca="false">IF(H375=0,"",G375/H375)</f>
        <v>2.38384405615594</v>
      </c>
    </row>
    <row r="376" customFormat="false" ht="15" hidden="false" customHeight="false" outlineLevel="0" collapsed="false">
      <c r="A376" s="8" t="s">
        <v>62</v>
      </c>
      <c r="B376" s="8" t="s">
        <v>59</v>
      </c>
      <c r="C376" s="8" t="s">
        <v>528</v>
      </c>
      <c r="D376" s="8" t="n">
        <v>3</v>
      </c>
      <c r="E376" s="8" t="s">
        <v>515</v>
      </c>
      <c r="F376" s="8" t="s">
        <v>727</v>
      </c>
      <c r="G376" s="56" t="n">
        <v>24417.33</v>
      </c>
      <c r="H376" s="56" t="n">
        <v>10783.61</v>
      </c>
      <c r="I376" s="43" t="n">
        <v>0.341</v>
      </c>
      <c r="J376" s="8" t="s">
        <v>581</v>
      </c>
      <c r="K376" s="19" t="n">
        <f aca="false">IF(H376=0,"",G376/H376)</f>
        <v>2.26430017406045</v>
      </c>
    </row>
    <row r="377" customFormat="false" ht="15" hidden="false" customHeight="false" outlineLevel="0" collapsed="false">
      <c r="A377" s="51" t="s">
        <v>62</v>
      </c>
      <c r="B377" s="51" t="s">
        <v>59</v>
      </c>
      <c r="C377" s="51" t="s">
        <v>528</v>
      </c>
      <c r="D377" s="51" t="n">
        <v>3</v>
      </c>
      <c r="E377" s="51" t="s">
        <v>728</v>
      </c>
      <c r="F377" s="51" t="s">
        <v>726</v>
      </c>
      <c r="G377" s="52" t="n">
        <v>-10533.76</v>
      </c>
      <c r="H377" s="52" t="n">
        <v>13237.17</v>
      </c>
      <c r="I377" s="53" t="n">
        <v>1.042</v>
      </c>
      <c r="J377" s="51" t="s">
        <v>729</v>
      </c>
      <c r="K377" s="54" t="n">
        <f aca="false">IF(H377=0,"",G377/H377)</f>
        <v>-0.795771301569746</v>
      </c>
    </row>
    <row r="378" customFormat="false" ht="15" hidden="false" customHeight="false" outlineLevel="0" collapsed="false">
      <c r="A378" s="8" t="s">
        <v>62</v>
      </c>
      <c r="B378" s="8" t="s">
        <v>59</v>
      </c>
      <c r="C378" s="8" t="s">
        <v>528</v>
      </c>
      <c r="D378" s="8" t="n">
        <v>3</v>
      </c>
      <c r="E378" s="8" t="s">
        <v>728</v>
      </c>
      <c r="F378" s="8" t="s">
        <v>727</v>
      </c>
      <c r="G378" s="56" t="n">
        <v>25315.72</v>
      </c>
      <c r="H378" s="56" t="n">
        <v>12183.02</v>
      </c>
      <c r="I378" s="43" t="n">
        <v>0.3858</v>
      </c>
      <c r="J378" s="8" t="s">
        <v>581</v>
      </c>
      <c r="K378" s="19" t="n">
        <f aca="false">IF(H378=0,"",G378/H378)</f>
        <v>2.07795111556905</v>
      </c>
    </row>
    <row r="380" customFormat="false" ht="15" hidden="false" customHeight="false" outlineLevel="0" collapsed="false">
      <c r="A380" s="8" t="s">
        <v>87</v>
      </c>
      <c r="B380" s="8" t="s">
        <v>24</v>
      </c>
      <c r="C380" s="8" t="s">
        <v>700</v>
      </c>
      <c r="D380" s="8" t="n">
        <v>2</v>
      </c>
      <c r="E380" s="8" t="s">
        <v>725</v>
      </c>
      <c r="F380" s="8" t="s">
        <v>726</v>
      </c>
      <c r="G380" s="56" t="n">
        <v>18355.41</v>
      </c>
      <c r="H380" s="56" t="n">
        <v>4330.14</v>
      </c>
      <c r="I380" s="43" t="n">
        <v>0.277</v>
      </c>
      <c r="J380" s="8" t="s">
        <v>581</v>
      </c>
      <c r="K380" s="19" t="n">
        <f aca="false">IF(H380=0,"",G380/H380)</f>
        <v>4.23898765397886</v>
      </c>
    </row>
    <row r="381" customFormat="false" ht="15" hidden="false" customHeight="false" outlineLevel="0" collapsed="false">
      <c r="A381" s="8" t="s">
        <v>87</v>
      </c>
      <c r="B381" s="8" t="s">
        <v>24</v>
      </c>
      <c r="C381" s="8" t="s">
        <v>700</v>
      </c>
      <c r="D381" s="8" t="n">
        <v>2</v>
      </c>
      <c r="E381" s="8" t="s">
        <v>725</v>
      </c>
      <c r="F381" s="8" t="s">
        <v>727</v>
      </c>
      <c r="G381" s="56" t="n">
        <v>9924.21</v>
      </c>
      <c r="H381" s="56" t="n">
        <v>1958.24</v>
      </c>
      <c r="I381" s="43" t="n">
        <v>0.1492</v>
      </c>
      <c r="J381" s="8" t="s">
        <v>581</v>
      </c>
      <c r="K381" s="19" t="n">
        <f aca="false">IF(H381=0,"",G381/H381)</f>
        <v>5.06792323719258</v>
      </c>
    </row>
    <row r="382" customFormat="false" ht="15" hidden="false" customHeight="false" outlineLevel="0" collapsed="false">
      <c r="A382" s="8" t="s">
        <v>87</v>
      </c>
      <c r="B382" s="8" t="s">
        <v>24</v>
      </c>
      <c r="C382" s="8" t="s">
        <v>700</v>
      </c>
      <c r="D382" s="8" t="n">
        <v>2</v>
      </c>
      <c r="E382" s="8" t="s">
        <v>515</v>
      </c>
      <c r="F382" s="8" t="s">
        <v>726</v>
      </c>
      <c r="G382" s="56" t="n">
        <v>19831.71</v>
      </c>
      <c r="H382" s="56" t="n">
        <v>7786.84</v>
      </c>
      <c r="I382" s="43" t="n">
        <v>0.4784</v>
      </c>
      <c r="J382" s="8" t="s">
        <v>581</v>
      </c>
      <c r="K382" s="19" t="n">
        <f aca="false">IF(H382=0,"",G382/H382)</f>
        <v>2.54682387207134</v>
      </c>
    </row>
    <row r="383" customFormat="false" ht="15" hidden="false" customHeight="false" outlineLevel="0" collapsed="false">
      <c r="A383" s="8" t="s">
        <v>87</v>
      </c>
      <c r="B383" s="8" t="s">
        <v>24</v>
      </c>
      <c r="C383" s="8" t="s">
        <v>700</v>
      </c>
      <c r="D383" s="8" t="n">
        <v>2</v>
      </c>
      <c r="E383" s="8" t="s">
        <v>515</v>
      </c>
      <c r="F383" s="8" t="s">
        <v>727</v>
      </c>
      <c r="G383" s="56" t="n">
        <v>12637.32</v>
      </c>
      <c r="H383" s="56" t="n">
        <v>3212.06</v>
      </c>
      <c r="I383" s="43" t="n">
        <v>0.2292</v>
      </c>
      <c r="J383" s="8" t="s">
        <v>581</v>
      </c>
      <c r="K383" s="19" t="n">
        <f aca="false">IF(H383=0,"",G383/H383)</f>
        <v>3.93433497506273</v>
      </c>
    </row>
    <row r="384" customFormat="false" ht="15" hidden="false" customHeight="false" outlineLevel="0" collapsed="false">
      <c r="A384" s="8" t="s">
        <v>87</v>
      </c>
      <c r="B384" s="8" t="s">
        <v>24</v>
      </c>
      <c r="C384" s="8" t="s">
        <v>700</v>
      </c>
      <c r="D384" s="8" t="n">
        <v>2</v>
      </c>
      <c r="E384" s="8" t="s">
        <v>728</v>
      </c>
      <c r="F384" s="8" t="s">
        <v>726</v>
      </c>
      <c r="G384" s="56" t="n">
        <v>20346.75</v>
      </c>
      <c r="H384" s="56" t="n">
        <v>13858.46</v>
      </c>
      <c r="I384" s="43" t="n">
        <v>0.8467</v>
      </c>
      <c r="J384" s="8" t="s">
        <v>581</v>
      </c>
      <c r="K384" s="19" t="n">
        <f aca="false">IF(H384=0,"",G384/H384)</f>
        <v>1.46818261192081</v>
      </c>
    </row>
    <row r="385" customFormat="false" ht="15" hidden="false" customHeight="false" outlineLevel="0" collapsed="false">
      <c r="A385" s="8" t="s">
        <v>87</v>
      </c>
      <c r="B385" s="8" t="s">
        <v>24</v>
      </c>
      <c r="C385" s="8" t="s">
        <v>700</v>
      </c>
      <c r="D385" s="8" t="n">
        <v>2</v>
      </c>
      <c r="E385" s="8" t="s">
        <v>728</v>
      </c>
      <c r="F385" s="8" t="s">
        <v>727</v>
      </c>
      <c r="G385" s="56" t="n">
        <v>14724.75</v>
      </c>
      <c r="H385" s="56" t="n">
        <v>4758.28</v>
      </c>
      <c r="I385" s="43" t="n">
        <v>0.2907</v>
      </c>
      <c r="J385" s="8" t="s">
        <v>581</v>
      </c>
      <c r="K385" s="19" t="n">
        <f aca="false">IF(H385=0,"",G385/H385)</f>
        <v>3.09455307379978</v>
      </c>
    </row>
    <row r="386" customFormat="false" ht="15" hidden="false" customHeight="false" outlineLevel="0" collapsed="false">
      <c r="A386" s="8" t="s">
        <v>87</v>
      </c>
      <c r="B386" s="8" t="s">
        <v>24</v>
      </c>
      <c r="C386" s="8" t="s">
        <v>700</v>
      </c>
      <c r="D386" s="8" t="n">
        <v>3</v>
      </c>
      <c r="E386" s="8" t="s">
        <v>725</v>
      </c>
      <c r="F386" s="8" t="s">
        <v>726</v>
      </c>
      <c r="G386" s="56" t="n">
        <v>14765.74</v>
      </c>
      <c r="H386" s="56" t="n">
        <v>3916.69</v>
      </c>
      <c r="I386" s="43" t="n">
        <v>0.267</v>
      </c>
      <c r="J386" s="8" t="s">
        <v>581</v>
      </c>
      <c r="K386" s="19" t="n">
        <f aca="false">IF(H386=0,"",G386/H386)</f>
        <v>3.76995371091406</v>
      </c>
    </row>
    <row r="387" customFormat="false" ht="15" hidden="false" customHeight="false" outlineLevel="0" collapsed="false">
      <c r="A387" s="8" t="s">
        <v>87</v>
      </c>
      <c r="B387" s="8" t="s">
        <v>24</v>
      </c>
      <c r="C387" s="8" t="s">
        <v>700</v>
      </c>
      <c r="D387" s="8" t="n">
        <v>3</v>
      </c>
      <c r="E387" s="8" t="s">
        <v>725</v>
      </c>
      <c r="F387" s="8" t="s">
        <v>727</v>
      </c>
      <c r="G387" s="56" t="n">
        <v>12879.95</v>
      </c>
      <c r="H387" s="56" t="n">
        <v>1790.77</v>
      </c>
      <c r="I387" s="43" t="n">
        <v>0.1281</v>
      </c>
      <c r="J387" s="8" t="s">
        <v>581</v>
      </c>
      <c r="K387" s="19" t="n">
        <f aca="false">IF(H387=0,"",G387/H387)</f>
        <v>7.19240885205805</v>
      </c>
    </row>
    <row r="388" customFormat="false" ht="15" hidden="false" customHeight="false" outlineLevel="0" collapsed="false">
      <c r="A388" s="8" t="s">
        <v>87</v>
      </c>
      <c r="B388" s="8" t="s">
        <v>24</v>
      </c>
      <c r="C388" s="8" t="s">
        <v>700</v>
      </c>
      <c r="D388" s="8" t="n">
        <v>3</v>
      </c>
      <c r="E388" s="8" t="s">
        <v>515</v>
      </c>
      <c r="F388" s="8" t="s">
        <v>726</v>
      </c>
      <c r="G388" s="56" t="n">
        <v>15106.13</v>
      </c>
      <c r="H388" s="56" t="n">
        <v>6645.53</v>
      </c>
      <c r="I388" s="43" t="n">
        <v>0.453</v>
      </c>
      <c r="J388" s="8" t="s">
        <v>581</v>
      </c>
      <c r="K388" s="19" t="n">
        <f aca="false">IF(H388=0,"",G388/H388)</f>
        <v>2.27312644740149</v>
      </c>
    </row>
    <row r="389" customFormat="false" ht="15" hidden="false" customHeight="false" outlineLevel="0" collapsed="false">
      <c r="A389" s="8" t="s">
        <v>87</v>
      </c>
      <c r="B389" s="8" t="s">
        <v>24</v>
      </c>
      <c r="C389" s="8" t="s">
        <v>700</v>
      </c>
      <c r="D389" s="8" t="n">
        <v>3</v>
      </c>
      <c r="E389" s="8" t="s">
        <v>515</v>
      </c>
      <c r="F389" s="8" t="s">
        <v>727</v>
      </c>
      <c r="G389" s="56" t="n">
        <v>12478.75</v>
      </c>
      <c r="H389" s="56" t="n">
        <v>2578.41</v>
      </c>
      <c r="I389" s="43" t="n">
        <v>0.1757</v>
      </c>
      <c r="J389" s="8" t="s">
        <v>581</v>
      </c>
      <c r="K389" s="19" t="n">
        <f aca="false">IF(H389=0,"",G389/H389)</f>
        <v>4.83970741658619</v>
      </c>
    </row>
    <row r="390" customFormat="false" ht="15" hidden="false" customHeight="false" outlineLevel="0" collapsed="false">
      <c r="A390" s="8" t="s">
        <v>87</v>
      </c>
      <c r="B390" s="8" t="s">
        <v>24</v>
      </c>
      <c r="C390" s="8" t="s">
        <v>700</v>
      </c>
      <c r="D390" s="8" t="n">
        <v>3</v>
      </c>
      <c r="E390" s="8" t="s">
        <v>728</v>
      </c>
      <c r="F390" s="8" t="s">
        <v>726</v>
      </c>
      <c r="G390" s="56" t="n">
        <v>15197.04</v>
      </c>
      <c r="H390" s="56" t="n">
        <v>10847.11</v>
      </c>
      <c r="I390" s="43" t="n">
        <v>0.7394</v>
      </c>
      <c r="J390" s="8" t="s">
        <v>581</v>
      </c>
      <c r="K390" s="19" t="n">
        <f aca="false">IF(H390=0,"",G390/H390)</f>
        <v>1.40102202337766</v>
      </c>
    </row>
    <row r="391" customFormat="false" ht="15" hidden="false" customHeight="false" outlineLevel="0" collapsed="false">
      <c r="A391" s="8" t="s">
        <v>87</v>
      </c>
      <c r="B391" s="8" t="s">
        <v>24</v>
      </c>
      <c r="C391" s="8" t="s">
        <v>700</v>
      </c>
      <c r="D391" s="8" t="n">
        <v>3</v>
      </c>
      <c r="E391" s="8" t="s">
        <v>728</v>
      </c>
      <c r="F391" s="8" t="s">
        <v>727</v>
      </c>
      <c r="G391" s="56" t="n">
        <v>12167.65</v>
      </c>
      <c r="H391" s="56" t="n">
        <v>3915.03</v>
      </c>
      <c r="I391" s="43" t="n">
        <v>0.2669</v>
      </c>
      <c r="J391" s="8" t="s">
        <v>581</v>
      </c>
      <c r="K391" s="19" t="n">
        <f aca="false">IF(H391=0,"",G391/H391)</f>
        <v>3.1079327616902</v>
      </c>
    </row>
    <row r="392" customFormat="false" ht="15" hidden="false" customHeight="false" outlineLevel="0" collapsed="false">
      <c r="A392" s="8" t="s">
        <v>87</v>
      </c>
      <c r="B392" s="8" t="s">
        <v>24</v>
      </c>
      <c r="C392" s="8" t="s">
        <v>528</v>
      </c>
      <c r="D392" s="8" t="n">
        <v>2</v>
      </c>
      <c r="E392" s="8" t="s">
        <v>725</v>
      </c>
      <c r="F392" s="8" t="s">
        <v>726</v>
      </c>
      <c r="G392" s="56" t="n">
        <v>43795.22</v>
      </c>
      <c r="H392" s="56" t="n">
        <v>5549.37</v>
      </c>
      <c r="I392" s="43" t="n">
        <v>0.2677</v>
      </c>
      <c r="J392" s="8" t="s">
        <v>581</v>
      </c>
      <c r="K392" s="19" t="n">
        <f aca="false">IF(H392=0,"",G392/H392)</f>
        <v>7.89192647093274</v>
      </c>
    </row>
    <row r="393" customFormat="false" ht="15" hidden="false" customHeight="false" outlineLevel="0" collapsed="false">
      <c r="A393" s="8" t="s">
        <v>87</v>
      </c>
      <c r="B393" s="8" t="s">
        <v>24</v>
      </c>
      <c r="C393" s="8" t="s">
        <v>528</v>
      </c>
      <c r="D393" s="8" t="n">
        <v>2</v>
      </c>
      <c r="E393" s="8" t="s">
        <v>725</v>
      </c>
      <c r="F393" s="8" t="s">
        <v>727</v>
      </c>
      <c r="G393" s="56" t="n">
        <v>37088.01</v>
      </c>
      <c r="H393" s="56" t="n">
        <v>5096.17</v>
      </c>
      <c r="I393" s="43" t="n">
        <v>0.3158</v>
      </c>
      <c r="J393" s="8" t="s">
        <v>581</v>
      </c>
      <c r="K393" s="19" t="n">
        <f aca="false">IF(H393=0,"",G393/H393)</f>
        <v>7.27762417658752</v>
      </c>
    </row>
    <row r="394" customFormat="false" ht="15" hidden="false" customHeight="false" outlineLevel="0" collapsed="false">
      <c r="A394" s="8" t="s">
        <v>87</v>
      </c>
      <c r="B394" s="8" t="s">
        <v>24</v>
      </c>
      <c r="C394" s="8" t="s">
        <v>528</v>
      </c>
      <c r="D394" s="8" t="n">
        <v>2</v>
      </c>
      <c r="E394" s="8" t="s">
        <v>515</v>
      </c>
      <c r="F394" s="8" t="s">
        <v>726</v>
      </c>
      <c r="G394" s="56" t="n">
        <v>81503.48</v>
      </c>
      <c r="H394" s="56" t="n">
        <v>10812.57</v>
      </c>
      <c r="I394" s="43" t="n">
        <v>0.4551</v>
      </c>
      <c r="J394" s="8" t="s">
        <v>581</v>
      </c>
      <c r="K394" s="19" t="n">
        <f aca="false">IF(H394=0,"",G394/H394)</f>
        <v>7.53784530412289</v>
      </c>
    </row>
    <row r="395" customFormat="false" ht="15" hidden="false" customHeight="false" outlineLevel="0" collapsed="false">
      <c r="A395" s="8" t="s">
        <v>87</v>
      </c>
      <c r="B395" s="8" t="s">
        <v>24</v>
      </c>
      <c r="C395" s="8" t="s">
        <v>528</v>
      </c>
      <c r="D395" s="8" t="n">
        <v>2</v>
      </c>
      <c r="E395" s="8" t="s">
        <v>515</v>
      </c>
      <c r="F395" s="8" t="s">
        <v>727</v>
      </c>
      <c r="G395" s="56" t="n">
        <v>66132.33</v>
      </c>
      <c r="H395" s="56" t="n">
        <v>8229.06</v>
      </c>
      <c r="I395" s="43" t="n">
        <v>0.3921</v>
      </c>
      <c r="J395" s="8" t="s">
        <v>581</v>
      </c>
      <c r="K395" s="19" t="n">
        <f aca="false">IF(H395=0,"",G395/H395)</f>
        <v>8.03643794066394</v>
      </c>
    </row>
    <row r="396" customFormat="false" ht="15" hidden="false" customHeight="false" outlineLevel="0" collapsed="false">
      <c r="A396" s="8" t="s">
        <v>87</v>
      </c>
      <c r="B396" s="8" t="s">
        <v>24</v>
      </c>
      <c r="C396" s="8" t="s">
        <v>528</v>
      </c>
      <c r="D396" s="8" t="n">
        <v>2</v>
      </c>
      <c r="E396" s="8" t="s">
        <v>728</v>
      </c>
      <c r="F396" s="8" t="s">
        <v>726</v>
      </c>
      <c r="G396" s="56" t="n">
        <v>130571.27</v>
      </c>
      <c r="H396" s="56" t="n">
        <v>19372.49</v>
      </c>
      <c r="I396" s="43" t="n">
        <v>0.4169</v>
      </c>
      <c r="J396" s="8" t="s">
        <v>581</v>
      </c>
      <c r="K396" s="19" t="n">
        <f aca="false">IF(H396=0,"",G396/H396)</f>
        <v>6.74003548330648</v>
      </c>
    </row>
    <row r="397" customFormat="false" ht="15" hidden="false" customHeight="false" outlineLevel="0" collapsed="false">
      <c r="A397" s="8" t="s">
        <v>87</v>
      </c>
      <c r="B397" s="8" t="s">
        <v>24</v>
      </c>
      <c r="C397" s="8" t="s">
        <v>528</v>
      </c>
      <c r="D397" s="8" t="n">
        <v>2</v>
      </c>
      <c r="E397" s="8" t="s">
        <v>728</v>
      </c>
      <c r="F397" s="8" t="s">
        <v>727</v>
      </c>
      <c r="G397" s="56" t="n">
        <v>62965.24</v>
      </c>
      <c r="H397" s="56" t="n">
        <v>8782.2</v>
      </c>
      <c r="I397" s="43" t="n">
        <v>0.4492</v>
      </c>
      <c r="J397" s="8" t="s">
        <v>581</v>
      </c>
      <c r="K397" s="19" t="n">
        <f aca="false">IF(H397=0,"",G397/H397)</f>
        <v>7.16964314180957</v>
      </c>
    </row>
    <row r="398" customFormat="false" ht="15" hidden="false" customHeight="false" outlineLevel="0" collapsed="false">
      <c r="A398" s="8" t="s">
        <v>87</v>
      </c>
      <c r="B398" s="8" t="s">
        <v>24</v>
      </c>
      <c r="C398" s="8" t="s">
        <v>528</v>
      </c>
      <c r="D398" s="8" t="n">
        <v>3</v>
      </c>
      <c r="E398" s="8" t="s">
        <v>725</v>
      </c>
      <c r="F398" s="8" t="s">
        <v>726</v>
      </c>
      <c r="G398" s="56" t="n">
        <v>43322.43</v>
      </c>
      <c r="H398" s="56" t="n">
        <v>5549.37</v>
      </c>
      <c r="I398" s="43" t="n">
        <v>0.2604</v>
      </c>
      <c r="J398" s="8" t="s">
        <v>581</v>
      </c>
      <c r="K398" s="19" t="n">
        <f aca="false">IF(H398=0,"",G398/H398)</f>
        <v>7.80672941252791</v>
      </c>
    </row>
    <row r="399" customFormat="false" ht="15" hidden="false" customHeight="false" outlineLevel="0" collapsed="false">
      <c r="A399" s="8" t="s">
        <v>87</v>
      </c>
      <c r="B399" s="8" t="s">
        <v>24</v>
      </c>
      <c r="C399" s="8" t="s">
        <v>528</v>
      </c>
      <c r="D399" s="8" t="n">
        <v>3</v>
      </c>
      <c r="E399" s="8" t="s">
        <v>725</v>
      </c>
      <c r="F399" s="8" t="s">
        <v>727</v>
      </c>
      <c r="G399" s="56" t="n">
        <v>39567.29</v>
      </c>
      <c r="H399" s="56" t="n">
        <v>5529.68</v>
      </c>
      <c r="I399" s="43" t="n">
        <v>0.3113</v>
      </c>
      <c r="J399" s="8" t="s">
        <v>581</v>
      </c>
      <c r="K399" s="19" t="n">
        <f aca="false">IF(H399=0,"",G399/H399)</f>
        <v>7.15543937443035</v>
      </c>
    </row>
    <row r="400" customFormat="false" ht="15" hidden="false" customHeight="false" outlineLevel="0" collapsed="false">
      <c r="A400" s="8" t="s">
        <v>87</v>
      </c>
      <c r="B400" s="8" t="s">
        <v>24</v>
      </c>
      <c r="C400" s="8" t="s">
        <v>528</v>
      </c>
      <c r="D400" s="8" t="n">
        <v>3</v>
      </c>
      <c r="E400" s="8" t="s">
        <v>515</v>
      </c>
      <c r="F400" s="8" t="s">
        <v>726</v>
      </c>
      <c r="G400" s="56" t="n">
        <v>83688.51</v>
      </c>
      <c r="H400" s="56" t="n">
        <v>10392.39</v>
      </c>
      <c r="I400" s="43" t="n">
        <v>0.3337</v>
      </c>
      <c r="J400" s="8" t="s">
        <v>581</v>
      </c>
      <c r="K400" s="19" t="n">
        <f aca="false">IF(H400=0,"",G400/H400)</f>
        <v>8.05286464422525</v>
      </c>
    </row>
    <row r="401" customFormat="false" ht="15" hidden="false" customHeight="false" outlineLevel="0" collapsed="false">
      <c r="A401" s="8" t="s">
        <v>87</v>
      </c>
      <c r="B401" s="8" t="s">
        <v>24</v>
      </c>
      <c r="C401" s="8" t="s">
        <v>528</v>
      </c>
      <c r="D401" s="8" t="n">
        <v>3</v>
      </c>
      <c r="E401" s="8" t="s">
        <v>515</v>
      </c>
      <c r="F401" s="8" t="s">
        <v>727</v>
      </c>
      <c r="G401" s="56" t="n">
        <v>67852.71</v>
      </c>
      <c r="H401" s="56" t="n">
        <v>7179.4</v>
      </c>
      <c r="I401" s="43" t="n">
        <v>0.3608</v>
      </c>
      <c r="J401" s="8" t="s">
        <v>581</v>
      </c>
      <c r="K401" s="19" t="n">
        <f aca="false">IF(H401=0,"",G401/H401)</f>
        <v>9.45102794105357</v>
      </c>
    </row>
    <row r="402" customFormat="false" ht="15" hidden="false" customHeight="false" outlineLevel="0" collapsed="false">
      <c r="A402" s="8" t="s">
        <v>87</v>
      </c>
      <c r="B402" s="8" t="s">
        <v>24</v>
      </c>
      <c r="C402" s="8" t="s">
        <v>528</v>
      </c>
      <c r="D402" s="8" t="n">
        <v>3</v>
      </c>
      <c r="E402" s="8" t="s">
        <v>728</v>
      </c>
      <c r="F402" s="8" t="s">
        <v>726</v>
      </c>
      <c r="G402" s="56" t="n">
        <v>112909.06</v>
      </c>
      <c r="H402" s="56" t="n">
        <v>18489.47</v>
      </c>
      <c r="I402" s="43" t="n">
        <v>0.4978</v>
      </c>
      <c r="J402" s="8" t="s">
        <v>581</v>
      </c>
      <c r="K402" s="19" t="n">
        <f aca="false">IF(H402=0,"",G402/H402)</f>
        <v>6.10666828200051</v>
      </c>
    </row>
    <row r="403" customFormat="false" ht="15" hidden="false" customHeight="false" outlineLevel="0" collapsed="false">
      <c r="A403" s="8" t="s">
        <v>87</v>
      </c>
      <c r="B403" s="8" t="s">
        <v>24</v>
      </c>
      <c r="C403" s="8" t="s">
        <v>528</v>
      </c>
      <c r="D403" s="8" t="n">
        <v>3</v>
      </c>
      <c r="E403" s="8" t="s">
        <v>728</v>
      </c>
      <c r="F403" s="8" t="s">
        <v>727</v>
      </c>
      <c r="G403" s="56" t="n">
        <v>82663.96</v>
      </c>
      <c r="H403" s="56" t="n">
        <v>11707.25</v>
      </c>
      <c r="I403" s="43" t="n">
        <v>0.3489</v>
      </c>
      <c r="J403" s="8" t="s">
        <v>581</v>
      </c>
      <c r="K403" s="19" t="n">
        <f aca="false">IF(H403=0,"",G403/H403)</f>
        <v>7.06092036985629</v>
      </c>
    </row>
    <row r="405" customFormat="false" ht="15" hidden="false" customHeight="false" outlineLevel="0" collapsed="false">
      <c r="A405" s="8" t="s">
        <v>87</v>
      </c>
      <c r="B405" s="8" t="s">
        <v>59</v>
      </c>
      <c r="C405" s="8" t="s">
        <v>700</v>
      </c>
      <c r="D405" s="8" t="n">
        <v>2</v>
      </c>
      <c r="E405" s="8" t="s">
        <v>725</v>
      </c>
      <c r="F405" s="8" t="s">
        <v>726</v>
      </c>
      <c r="G405" s="56" t="n">
        <v>6337.4</v>
      </c>
      <c r="H405" s="56" t="n">
        <v>3342.04</v>
      </c>
      <c r="I405" s="43" t="n">
        <v>0.2688</v>
      </c>
      <c r="J405" s="8" t="s">
        <v>581</v>
      </c>
      <c r="K405" s="19" t="n">
        <f aca="false">IF(H405=0,"",G405/H405)</f>
        <v>1.89626695072471</v>
      </c>
    </row>
    <row r="406" customFormat="false" ht="15" hidden="false" customHeight="false" outlineLevel="0" collapsed="false">
      <c r="A406" s="8" t="s">
        <v>87</v>
      </c>
      <c r="B406" s="8" t="s">
        <v>59</v>
      </c>
      <c r="C406" s="8" t="s">
        <v>700</v>
      </c>
      <c r="D406" s="8" t="n">
        <v>2</v>
      </c>
      <c r="E406" s="8" t="s">
        <v>725</v>
      </c>
      <c r="F406" s="8" t="s">
        <v>727</v>
      </c>
      <c r="G406" s="56" t="n">
        <v>4781.24</v>
      </c>
      <c r="H406" s="56" t="n">
        <v>1452.98</v>
      </c>
      <c r="I406" s="43" t="n">
        <v>0.1168</v>
      </c>
      <c r="J406" s="8" t="s">
        <v>581</v>
      </c>
      <c r="K406" s="19" t="n">
        <f aca="false">IF(H406=0,"",G406/H406)</f>
        <v>3.29064405566491</v>
      </c>
    </row>
    <row r="407" customFormat="false" ht="15" hidden="false" customHeight="false" outlineLevel="0" collapsed="false">
      <c r="A407" s="8" t="s">
        <v>87</v>
      </c>
      <c r="B407" s="8" t="s">
        <v>59</v>
      </c>
      <c r="C407" s="8" t="s">
        <v>700</v>
      </c>
      <c r="D407" s="8" t="n">
        <v>2</v>
      </c>
      <c r="E407" s="8" t="s">
        <v>515</v>
      </c>
      <c r="F407" s="8" t="s">
        <v>726</v>
      </c>
      <c r="G407" s="56" t="n">
        <v>6458.06</v>
      </c>
      <c r="H407" s="56" t="n">
        <v>5611.05</v>
      </c>
      <c r="I407" s="43" t="n">
        <v>0.4512</v>
      </c>
      <c r="J407" s="8" t="s">
        <v>581</v>
      </c>
      <c r="K407" s="19" t="n">
        <f aca="false">IF(H407=0,"",G407/H407)</f>
        <v>1.15095392128033</v>
      </c>
    </row>
    <row r="408" customFormat="false" ht="15" hidden="false" customHeight="false" outlineLevel="0" collapsed="false">
      <c r="A408" s="8" t="s">
        <v>87</v>
      </c>
      <c r="B408" s="8" t="s">
        <v>59</v>
      </c>
      <c r="C408" s="8" t="s">
        <v>700</v>
      </c>
      <c r="D408" s="8" t="n">
        <v>2</v>
      </c>
      <c r="E408" s="8" t="s">
        <v>515</v>
      </c>
      <c r="F408" s="8" t="s">
        <v>727</v>
      </c>
      <c r="G408" s="56" t="n">
        <v>4854.31</v>
      </c>
      <c r="H408" s="56" t="n">
        <v>1767.94</v>
      </c>
      <c r="I408" s="43" t="n">
        <v>0.1422</v>
      </c>
      <c r="J408" s="8" t="s">
        <v>581</v>
      </c>
      <c r="K408" s="19" t="n">
        <f aca="false">IF(H408=0,"",G408/H408)</f>
        <v>2.74574363383373</v>
      </c>
    </row>
    <row r="409" customFormat="false" ht="15" hidden="false" customHeight="false" outlineLevel="0" collapsed="false">
      <c r="A409" s="8" t="s">
        <v>87</v>
      </c>
      <c r="B409" s="8" t="s">
        <v>59</v>
      </c>
      <c r="C409" s="8" t="s">
        <v>700</v>
      </c>
      <c r="D409" s="8" t="n">
        <v>2</v>
      </c>
      <c r="E409" s="8" t="s">
        <v>728</v>
      </c>
      <c r="F409" s="8" t="s">
        <v>726</v>
      </c>
      <c r="G409" s="56" t="n">
        <v>6817</v>
      </c>
      <c r="H409" s="56" t="n">
        <v>7108.34</v>
      </c>
      <c r="I409" s="43" t="n">
        <v>0.5716</v>
      </c>
      <c r="J409" s="8" t="s">
        <v>581</v>
      </c>
      <c r="K409" s="19" t="n">
        <f aca="false">IF(H409=0,"",G409/H409)</f>
        <v>0.95901434090097</v>
      </c>
    </row>
    <row r="410" customFormat="false" ht="15" hidden="false" customHeight="false" outlineLevel="0" collapsed="false">
      <c r="A410" s="8" t="s">
        <v>87</v>
      </c>
      <c r="B410" s="8" t="s">
        <v>59</v>
      </c>
      <c r="C410" s="8" t="s">
        <v>700</v>
      </c>
      <c r="D410" s="8" t="n">
        <v>2</v>
      </c>
      <c r="E410" s="8" t="s">
        <v>728</v>
      </c>
      <c r="F410" s="8" t="s">
        <v>727</v>
      </c>
      <c r="G410" s="56" t="n">
        <v>4418.22</v>
      </c>
      <c r="H410" s="56" t="n">
        <v>3186.69</v>
      </c>
      <c r="I410" s="43" t="n">
        <v>0.2563</v>
      </c>
      <c r="J410" s="8" t="s">
        <v>581</v>
      </c>
      <c r="K410" s="19" t="n">
        <f aca="false">IF(H410=0,"",G410/H410)</f>
        <v>1.38646055938921</v>
      </c>
    </row>
    <row r="411" customFormat="false" ht="15" hidden="false" customHeight="false" outlineLevel="0" collapsed="false">
      <c r="A411" s="8" t="s">
        <v>87</v>
      </c>
      <c r="B411" s="8" t="s">
        <v>59</v>
      </c>
      <c r="C411" s="8" t="s">
        <v>700</v>
      </c>
      <c r="D411" s="8" t="n">
        <v>3</v>
      </c>
      <c r="E411" s="8" t="s">
        <v>725</v>
      </c>
      <c r="F411" s="8" t="s">
        <v>726</v>
      </c>
      <c r="G411" s="56" t="n">
        <v>5133.27</v>
      </c>
      <c r="H411" s="56" t="n">
        <v>3236.95</v>
      </c>
      <c r="I411" s="43" t="n">
        <v>0.2694</v>
      </c>
      <c r="J411" s="8" t="s">
        <v>581</v>
      </c>
      <c r="K411" s="19" t="n">
        <f aca="false">IF(H411=0,"",G411/H411)</f>
        <v>1.58583543150188</v>
      </c>
    </row>
    <row r="412" customFormat="false" ht="15" hidden="false" customHeight="false" outlineLevel="0" collapsed="false">
      <c r="A412" s="8" t="s">
        <v>87</v>
      </c>
      <c r="B412" s="8" t="s">
        <v>59</v>
      </c>
      <c r="C412" s="8" t="s">
        <v>700</v>
      </c>
      <c r="D412" s="8" t="n">
        <v>3</v>
      </c>
      <c r="E412" s="8" t="s">
        <v>725</v>
      </c>
      <c r="F412" s="8" t="s">
        <v>727</v>
      </c>
      <c r="G412" s="56" t="n">
        <v>4179.37</v>
      </c>
      <c r="H412" s="56" t="n">
        <v>1591.53</v>
      </c>
      <c r="I412" s="43" t="n">
        <v>0.1325</v>
      </c>
      <c r="J412" s="8" t="s">
        <v>581</v>
      </c>
      <c r="K412" s="19" t="n">
        <f aca="false">IF(H412=0,"",G412/H412)</f>
        <v>2.62600767814619</v>
      </c>
    </row>
    <row r="413" customFormat="false" ht="15" hidden="false" customHeight="false" outlineLevel="0" collapsed="false">
      <c r="A413" s="8" t="s">
        <v>87</v>
      </c>
      <c r="B413" s="8" t="s">
        <v>59</v>
      </c>
      <c r="C413" s="8" t="s">
        <v>700</v>
      </c>
      <c r="D413" s="8" t="n">
        <v>3</v>
      </c>
      <c r="E413" s="8" t="s">
        <v>515</v>
      </c>
      <c r="F413" s="8" t="s">
        <v>726</v>
      </c>
      <c r="G413" s="56" t="n">
        <v>5258.96</v>
      </c>
      <c r="H413" s="56" t="n">
        <v>3903.83</v>
      </c>
      <c r="I413" s="43" t="n">
        <v>0.3249</v>
      </c>
      <c r="J413" s="8" t="s">
        <v>581</v>
      </c>
      <c r="K413" s="19" t="n">
        <f aca="false">IF(H413=0,"",G413/H413)</f>
        <v>1.34712833294483</v>
      </c>
    </row>
    <row r="414" customFormat="false" ht="15" hidden="false" customHeight="false" outlineLevel="0" collapsed="false">
      <c r="A414" s="8" t="s">
        <v>87</v>
      </c>
      <c r="B414" s="8" t="s">
        <v>59</v>
      </c>
      <c r="C414" s="8" t="s">
        <v>700</v>
      </c>
      <c r="D414" s="8" t="n">
        <v>3</v>
      </c>
      <c r="E414" s="8" t="s">
        <v>515</v>
      </c>
      <c r="F414" s="8" t="s">
        <v>727</v>
      </c>
      <c r="G414" s="56" t="n">
        <v>4028.78</v>
      </c>
      <c r="H414" s="56" t="n">
        <v>2255.61</v>
      </c>
      <c r="I414" s="43" t="n">
        <v>0.1877</v>
      </c>
      <c r="J414" s="8" t="s">
        <v>581</v>
      </c>
      <c r="K414" s="19" t="n">
        <f aca="false">IF(H414=0,"",G414/H414)</f>
        <v>1.78611550755671</v>
      </c>
    </row>
    <row r="415" customFormat="false" ht="15" hidden="false" customHeight="false" outlineLevel="0" collapsed="false">
      <c r="A415" s="8" t="s">
        <v>87</v>
      </c>
      <c r="B415" s="8" t="s">
        <v>59</v>
      </c>
      <c r="C415" s="8" t="s">
        <v>700</v>
      </c>
      <c r="D415" s="8" t="n">
        <v>3</v>
      </c>
      <c r="E415" s="8" t="s">
        <v>728</v>
      </c>
      <c r="F415" s="8" t="s">
        <v>726</v>
      </c>
      <c r="G415" s="56" t="n">
        <v>5438.54</v>
      </c>
      <c r="H415" s="56" t="n">
        <v>4777.98</v>
      </c>
      <c r="I415" s="43" t="n">
        <v>0.3977</v>
      </c>
      <c r="J415" s="8" t="s">
        <v>581</v>
      </c>
      <c r="K415" s="19" t="n">
        <f aca="false">IF(H415=0,"",G415/H415)</f>
        <v>1.13825089263664</v>
      </c>
    </row>
    <row r="416" customFormat="false" ht="15" hidden="false" customHeight="false" outlineLevel="0" collapsed="false">
      <c r="A416" s="8" t="s">
        <v>87</v>
      </c>
      <c r="B416" s="8" t="s">
        <v>59</v>
      </c>
      <c r="C416" s="8" t="s">
        <v>700</v>
      </c>
      <c r="D416" s="8" t="n">
        <v>3</v>
      </c>
      <c r="E416" s="8" t="s">
        <v>728</v>
      </c>
      <c r="F416" s="8" t="s">
        <v>727</v>
      </c>
      <c r="G416" s="56" t="n">
        <v>2311.92</v>
      </c>
      <c r="H416" s="56" t="n">
        <v>3972.47</v>
      </c>
      <c r="I416" s="43" t="n">
        <v>0.3306</v>
      </c>
      <c r="J416" s="8" t="s">
        <v>581</v>
      </c>
      <c r="K416" s="19" t="n">
        <f aca="false">IF(H416=0,"",G416/H416)</f>
        <v>0.581985515309115</v>
      </c>
    </row>
    <row r="417" customFormat="false" ht="15" hidden="false" customHeight="false" outlineLevel="0" collapsed="false">
      <c r="A417" s="8" t="s">
        <v>87</v>
      </c>
      <c r="B417" s="8" t="s">
        <v>59</v>
      </c>
      <c r="C417" s="8" t="s">
        <v>528</v>
      </c>
      <c r="D417" s="8" t="n">
        <v>2</v>
      </c>
      <c r="E417" s="8" t="s">
        <v>725</v>
      </c>
      <c r="F417" s="8" t="s">
        <v>726</v>
      </c>
      <c r="G417" s="56" t="n">
        <v>17046.43</v>
      </c>
      <c r="H417" s="56" t="n">
        <v>5251.08</v>
      </c>
      <c r="I417" s="43" t="n">
        <v>0.3214</v>
      </c>
      <c r="J417" s="8" t="s">
        <v>581</v>
      </c>
      <c r="K417" s="19" t="n">
        <f aca="false">IF(H417=0,"",G417/H417)</f>
        <v>3.24627124324901</v>
      </c>
    </row>
    <row r="418" customFormat="false" ht="15" hidden="false" customHeight="false" outlineLevel="0" collapsed="false">
      <c r="A418" s="8" t="s">
        <v>87</v>
      </c>
      <c r="B418" s="8" t="s">
        <v>59</v>
      </c>
      <c r="C418" s="8" t="s">
        <v>528</v>
      </c>
      <c r="D418" s="8" t="n">
        <v>2</v>
      </c>
      <c r="E418" s="8" t="s">
        <v>725</v>
      </c>
      <c r="F418" s="8" t="s">
        <v>727</v>
      </c>
      <c r="G418" s="56" t="n">
        <v>10904.54</v>
      </c>
      <c r="H418" s="56" t="n">
        <v>3814.28</v>
      </c>
      <c r="I418" s="43" t="n">
        <v>0.2813</v>
      </c>
      <c r="J418" s="8" t="s">
        <v>581</v>
      </c>
      <c r="K418" s="19" t="n">
        <f aca="false">IF(H418=0,"",G418/H418)</f>
        <v>2.85887244774899</v>
      </c>
    </row>
    <row r="419" customFormat="false" ht="15" hidden="false" customHeight="false" outlineLevel="0" collapsed="false">
      <c r="A419" s="8" t="s">
        <v>87</v>
      </c>
      <c r="B419" s="8" t="s">
        <v>59</v>
      </c>
      <c r="C419" s="8" t="s">
        <v>528</v>
      </c>
      <c r="D419" s="8" t="n">
        <v>2</v>
      </c>
      <c r="E419" s="8" t="s">
        <v>515</v>
      </c>
      <c r="F419" s="8" t="s">
        <v>726</v>
      </c>
      <c r="G419" s="56" t="n">
        <v>29294.15</v>
      </c>
      <c r="H419" s="56" t="n">
        <v>10116.05</v>
      </c>
      <c r="I419" s="43" t="n">
        <v>0.5289</v>
      </c>
      <c r="J419" s="8" t="s">
        <v>581</v>
      </c>
      <c r="K419" s="19" t="n">
        <f aca="false">IF(H419=0,"",G419/H419)</f>
        <v>2.89580913498846</v>
      </c>
    </row>
    <row r="420" customFormat="false" ht="15" hidden="false" customHeight="false" outlineLevel="0" collapsed="false">
      <c r="A420" s="8" t="s">
        <v>87</v>
      </c>
      <c r="B420" s="8" t="s">
        <v>59</v>
      </c>
      <c r="C420" s="8" t="s">
        <v>528</v>
      </c>
      <c r="D420" s="8" t="n">
        <v>2</v>
      </c>
      <c r="E420" s="8" t="s">
        <v>515</v>
      </c>
      <c r="F420" s="8" t="s">
        <v>727</v>
      </c>
      <c r="G420" s="56" t="n">
        <v>13318.21</v>
      </c>
      <c r="H420" s="56" t="n">
        <v>5126.37</v>
      </c>
      <c r="I420" s="43" t="n">
        <v>0.3468</v>
      </c>
      <c r="J420" s="8" t="s">
        <v>581</v>
      </c>
      <c r="K420" s="19" t="n">
        <f aca="false">IF(H420=0,"",G420/H420)</f>
        <v>2.59798063737108</v>
      </c>
    </row>
    <row r="421" customFormat="false" ht="15" hidden="false" customHeight="false" outlineLevel="0" collapsed="false">
      <c r="A421" s="8" t="s">
        <v>87</v>
      </c>
      <c r="B421" s="8" t="s">
        <v>59</v>
      </c>
      <c r="C421" s="8" t="s">
        <v>528</v>
      </c>
      <c r="D421" s="8" t="n">
        <v>2</v>
      </c>
      <c r="E421" s="8" t="s">
        <v>728</v>
      </c>
      <c r="F421" s="8" t="s">
        <v>726</v>
      </c>
      <c r="G421" s="56" t="n">
        <v>38800.88</v>
      </c>
      <c r="H421" s="56" t="n">
        <v>16917.87</v>
      </c>
      <c r="I421" s="43" t="n">
        <v>0.859</v>
      </c>
      <c r="J421" s="8" t="s">
        <v>581</v>
      </c>
      <c r="K421" s="19" t="n">
        <f aca="false">IF(H421=0,"",G421/H421)</f>
        <v>2.29348493634246</v>
      </c>
    </row>
    <row r="422" customFormat="false" ht="15" hidden="false" customHeight="false" outlineLevel="0" collapsed="false">
      <c r="A422" s="8" t="s">
        <v>87</v>
      </c>
      <c r="B422" s="8" t="s">
        <v>59</v>
      </c>
      <c r="C422" s="8" t="s">
        <v>528</v>
      </c>
      <c r="D422" s="8" t="n">
        <v>2</v>
      </c>
      <c r="E422" s="8" t="s">
        <v>728</v>
      </c>
      <c r="F422" s="8" t="s">
        <v>727</v>
      </c>
      <c r="G422" s="56" t="n">
        <v>25101</v>
      </c>
      <c r="H422" s="56" t="n">
        <v>9414</v>
      </c>
      <c r="I422" s="43" t="n">
        <v>0.478</v>
      </c>
      <c r="J422" s="8" t="s">
        <v>581</v>
      </c>
      <c r="K422" s="19" t="n">
        <f aca="false">IF(H422=0,"",G422/H422)</f>
        <v>2.66634799235182</v>
      </c>
    </row>
    <row r="423" customFormat="false" ht="15" hidden="false" customHeight="false" outlineLevel="0" collapsed="false">
      <c r="A423" s="8" t="s">
        <v>87</v>
      </c>
      <c r="B423" s="8" t="s">
        <v>59</v>
      </c>
      <c r="C423" s="8" t="s">
        <v>528</v>
      </c>
      <c r="D423" s="8" t="n">
        <v>3</v>
      </c>
      <c r="E423" s="8" t="s">
        <v>725</v>
      </c>
      <c r="F423" s="8" t="s">
        <v>726</v>
      </c>
      <c r="G423" s="56" t="n">
        <v>16382.68</v>
      </c>
      <c r="H423" s="56" t="n">
        <v>5251.08</v>
      </c>
      <c r="I423" s="43" t="n">
        <v>0.335</v>
      </c>
      <c r="J423" s="8" t="s">
        <v>581</v>
      </c>
      <c r="K423" s="19" t="n">
        <f aca="false">IF(H423=0,"",G423/H423)</f>
        <v>3.11986867463455</v>
      </c>
    </row>
    <row r="424" customFormat="false" ht="15" hidden="false" customHeight="false" outlineLevel="0" collapsed="false">
      <c r="A424" s="8" t="s">
        <v>87</v>
      </c>
      <c r="B424" s="8" t="s">
        <v>59</v>
      </c>
      <c r="C424" s="8" t="s">
        <v>528</v>
      </c>
      <c r="D424" s="8" t="n">
        <v>3</v>
      </c>
      <c r="E424" s="8" t="s">
        <v>725</v>
      </c>
      <c r="F424" s="8" t="s">
        <v>727</v>
      </c>
      <c r="G424" s="56" t="n">
        <v>11559.74</v>
      </c>
      <c r="H424" s="56" t="n">
        <v>3476.07</v>
      </c>
      <c r="I424" s="43" t="n">
        <v>0.2625</v>
      </c>
      <c r="J424" s="8" t="s">
        <v>581</v>
      </c>
      <c r="K424" s="19" t="n">
        <f aca="false">IF(H424=0,"",G424/H424)</f>
        <v>3.32551991185448</v>
      </c>
    </row>
    <row r="425" customFormat="false" ht="15" hidden="false" customHeight="false" outlineLevel="0" collapsed="false">
      <c r="A425" s="8" t="s">
        <v>87</v>
      </c>
      <c r="B425" s="8" t="s">
        <v>59</v>
      </c>
      <c r="C425" s="8" t="s">
        <v>528</v>
      </c>
      <c r="D425" s="8" t="n">
        <v>3</v>
      </c>
      <c r="E425" s="8" t="s">
        <v>515</v>
      </c>
      <c r="F425" s="8" t="s">
        <v>726</v>
      </c>
      <c r="G425" s="56" t="n">
        <v>25712</v>
      </c>
      <c r="H425" s="56" t="n">
        <v>9891.02</v>
      </c>
      <c r="I425" s="43" t="n">
        <v>0.5949</v>
      </c>
      <c r="J425" s="8" t="s">
        <v>581</v>
      </c>
      <c r="K425" s="19" t="n">
        <f aca="false">IF(H425=0,"",G425/H425)</f>
        <v>2.59952967439152</v>
      </c>
    </row>
    <row r="426" customFormat="false" ht="15" hidden="false" customHeight="false" outlineLevel="0" collapsed="false">
      <c r="A426" s="8" t="s">
        <v>87</v>
      </c>
      <c r="B426" s="8" t="s">
        <v>59</v>
      </c>
      <c r="C426" s="8" t="s">
        <v>528</v>
      </c>
      <c r="D426" s="8" t="n">
        <v>3</v>
      </c>
      <c r="E426" s="8" t="s">
        <v>515</v>
      </c>
      <c r="F426" s="8" t="s">
        <v>727</v>
      </c>
      <c r="G426" s="56" t="n">
        <v>15152.96</v>
      </c>
      <c r="H426" s="56" t="n">
        <v>5927.23</v>
      </c>
      <c r="I426" s="43" t="n">
        <v>0.3727</v>
      </c>
      <c r="J426" s="8" t="s">
        <v>581</v>
      </c>
      <c r="K426" s="19" t="n">
        <f aca="false">IF(H426=0,"",G426/H426)</f>
        <v>2.55649941034851</v>
      </c>
    </row>
    <row r="427" customFormat="false" ht="15" hidden="false" customHeight="false" outlineLevel="0" collapsed="false">
      <c r="A427" s="8" t="s">
        <v>87</v>
      </c>
      <c r="B427" s="8" t="s">
        <v>59</v>
      </c>
      <c r="C427" s="8" t="s">
        <v>528</v>
      </c>
      <c r="D427" s="8" t="n">
        <v>3</v>
      </c>
      <c r="E427" s="8" t="s">
        <v>728</v>
      </c>
      <c r="F427" s="8" t="s">
        <v>726</v>
      </c>
      <c r="G427" s="56" t="n">
        <v>31569.25</v>
      </c>
      <c r="H427" s="56" t="n">
        <v>14901.98</v>
      </c>
      <c r="I427" s="43" t="n">
        <v>0.8954</v>
      </c>
      <c r="J427" s="8" t="s">
        <v>581</v>
      </c>
      <c r="K427" s="19" t="n">
        <f aca="false">IF(H427=0,"",G427/H427)</f>
        <v>2.11846009724882</v>
      </c>
    </row>
    <row r="428" customFormat="false" ht="15" hidden="false" customHeight="false" outlineLevel="0" collapsed="false">
      <c r="A428" s="8" t="s">
        <v>87</v>
      </c>
      <c r="B428" s="8" t="s">
        <v>59</v>
      </c>
      <c r="C428" s="8" t="s">
        <v>528</v>
      </c>
      <c r="D428" s="8" t="n">
        <v>3</v>
      </c>
      <c r="E428" s="8" t="s">
        <v>728</v>
      </c>
      <c r="F428" s="8" t="s">
        <v>727</v>
      </c>
      <c r="G428" s="56" t="n">
        <v>17782.19</v>
      </c>
      <c r="H428" s="56" t="n">
        <v>6884.54</v>
      </c>
      <c r="I428" s="43" t="n">
        <v>0.4137</v>
      </c>
      <c r="J428" s="8" t="s">
        <v>581</v>
      </c>
      <c r="K428" s="19" t="n">
        <f aca="false">IF(H428=0,"",G428/H428)</f>
        <v>2.58291621517196</v>
      </c>
    </row>
    <row r="430" customFormat="false" ht="15" hidden="false" customHeight="false" outlineLevel="0" collapsed="false">
      <c r="A430" s="8" t="s">
        <v>109</v>
      </c>
      <c r="B430" s="8" t="s">
        <v>24</v>
      </c>
      <c r="C430" s="8" t="s">
        <v>700</v>
      </c>
      <c r="D430" s="8" t="n">
        <v>2</v>
      </c>
      <c r="E430" s="8" t="s">
        <v>725</v>
      </c>
      <c r="F430" s="8" t="s">
        <v>726</v>
      </c>
      <c r="G430" s="56" t="n">
        <v>4352.82</v>
      </c>
      <c r="H430" s="56" t="n">
        <v>1006.25</v>
      </c>
      <c r="I430" s="43" t="n">
        <v>0.0817</v>
      </c>
      <c r="J430" s="8" t="s">
        <v>581</v>
      </c>
      <c r="K430" s="19" t="n">
        <f aca="false">IF(H430=0,"",G430/H430)</f>
        <v>4.32578385093168</v>
      </c>
    </row>
    <row r="431" customFormat="false" ht="15" hidden="false" customHeight="false" outlineLevel="0" collapsed="false">
      <c r="A431" s="8" t="s">
        <v>109</v>
      </c>
      <c r="B431" s="8" t="s">
        <v>24</v>
      </c>
      <c r="C431" s="8" t="s">
        <v>700</v>
      </c>
      <c r="D431" s="8" t="n">
        <v>2</v>
      </c>
      <c r="E431" s="8" t="s">
        <v>725</v>
      </c>
      <c r="F431" s="8" t="s">
        <v>727</v>
      </c>
      <c r="G431" s="56" t="n">
        <v>3223.22</v>
      </c>
      <c r="H431" s="56" t="n">
        <v>728.48</v>
      </c>
      <c r="I431" s="43" t="n">
        <v>0.0712</v>
      </c>
      <c r="J431" s="8" t="s">
        <v>581</v>
      </c>
      <c r="K431" s="19" t="n">
        <f aca="false">IF(H431=0,"",G431/H431)</f>
        <v>4.42458269273007</v>
      </c>
    </row>
    <row r="432" customFormat="false" ht="15" hidden="false" customHeight="false" outlineLevel="0" collapsed="false">
      <c r="A432" s="8" t="s">
        <v>109</v>
      </c>
      <c r="B432" s="8" t="s">
        <v>24</v>
      </c>
      <c r="C432" s="8" t="s">
        <v>700</v>
      </c>
      <c r="D432" s="8" t="n">
        <v>2</v>
      </c>
      <c r="E432" s="8" t="s">
        <v>515</v>
      </c>
      <c r="F432" s="8" t="s">
        <v>726</v>
      </c>
      <c r="G432" s="56" t="n">
        <v>4449.32</v>
      </c>
      <c r="H432" s="56" t="n">
        <v>1139.06</v>
      </c>
      <c r="I432" s="43" t="n">
        <v>0.0919</v>
      </c>
      <c r="J432" s="8" t="s">
        <v>581</v>
      </c>
      <c r="K432" s="19" t="n">
        <f aca="false">IF(H432=0,"",G432/H432)</f>
        <v>3.90613312731551</v>
      </c>
    </row>
    <row r="433" customFormat="false" ht="15" hidden="false" customHeight="false" outlineLevel="0" collapsed="false">
      <c r="A433" s="8" t="s">
        <v>109</v>
      </c>
      <c r="B433" s="8" t="s">
        <v>24</v>
      </c>
      <c r="C433" s="8" t="s">
        <v>700</v>
      </c>
      <c r="D433" s="8" t="n">
        <v>2</v>
      </c>
      <c r="E433" s="8" t="s">
        <v>515</v>
      </c>
      <c r="F433" s="8" t="s">
        <v>727</v>
      </c>
      <c r="G433" s="56" t="n">
        <v>3508.43</v>
      </c>
      <c r="H433" s="56" t="n">
        <v>1139.06</v>
      </c>
      <c r="I433" s="43" t="n">
        <v>0.0919</v>
      </c>
      <c r="J433" s="8" t="s">
        <v>581</v>
      </c>
      <c r="K433" s="19" t="n">
        <f aca="false">IF(H433=0,"",G433/H433)</f>
        <v>3.08010991519323</v>
      </c>
    </row>
    <row r="434" customFormat="false" ht="15" hidden="false" customHeight="false" outlineLevel="0" collapsed="false">
      <c r="A434" s="8" t="s">
        <v>109</v>
      </c>
      <c r="B434" s="8" t="s">
        <v>24</v>
      </c>
      <c r="C434" s="8" t="s">
        <v>700</v>
      </c>
      <c r="D434" s="8" t="n">
        <v>2</v>
      </c>
      <c r="E434" s="8" t="s">
        <v>728</v>
      </c>
      <c r="F434" s="8" t="s">
        <v>726</v>
      </c>
      <c r="G434" s="56" t="n">
        <v>4523.07</v>
      </c>
      <c r="H434" s="56" t="n">
        <v>1139.06</v>
      </c>
      <c r="I434" s="43" t="n">
        <v>0.0919</v>
      </c>
      <c r="J434" s="8" t="s">
        <v>581</v>
      </c>
      <c r="K434" s="19" t="n">
        <f aca="false">IF(H434=0,"",G434/H434)</f>
        <v>3.97087949712921</v>
      </c>
    </row>
    <row r="435" customFormat="false" ht="15" hidden="false" customHeight="false" outlineLevel="0" collapsed="false">
      <c r="A435" s="8" t="s">
        <v>109</v>
      </c>
      <c r="B435" s="8" t="s">
        <v>24</v>
      </c>
      <c r="C435" s="8" t="s">
        <v>700</v>
      </c>
      <c r="D435" s="8" t="n">
        <v>2</v>
      </c>
      <c r="E435" s="8" t="s">
        <v>728</v>
      </c>
      <c r="F435" s="8" t="s">
        <v>727</v>
      </c>
      <c r="G435" s="56" t="n">
        <v>4523.07</v>
      </c>
      <c r="H435" s="56" t="n">
        <v>1139.06</v>
      </c>
      <c r="I435" s="43" t="n">
        <v>0.0919</v>
      </c>
      <c r="J435" s="8" t="s">
        <v>581</v>
      </c>
      <c r="K435" s="19" t="n">
        <f aca="false">IF(H435=0,"",G435/H435)</f>
        <v>3.97087949712921</v>
      </c>
    </row>
    <row r="436" customFormat="false" ht="15" hidden="false" customHeight="false" outlineLevel="0" collapsed="false">
      <c r="A436" s="8" t="s">
        <v>109</v>
      </c>
      <c r="B436" s="8" t="s">
        <v>24</v>
      </c>
      <c r="C436" s="8" t="s">
        <v>700</v>
      </c>
      <c r="D436" s="8" t="n">
        <v>3</v>
      </c>
      <c r="E436" s="8" t="s">
        <v>725</v>
      </c>
      <c r="F436" s="8" t="s">
        <v>726</v>
      </c>
      <c r="G436" s="56" t="n">
        <v>3675.78</v>
      </c>
      <c r="H436" s="56" t="n">
        <v>632.1</v>
      </c>
      <c r="I436" s="43" t="n">
        <v>0.0527</v>
      </c>
      <c r="J436" s="8" t="s">
        <v>581</v>
      </c>
      <c r="K436" s="19" t="n">
        <f aca="false">IF(H436=0,"",G436/H436)</f>
        <v>5.81518747033697</v>
      </c>
    </row>
    <row r="437" customFormat="false" ht="15" hidden="false" customHeight="false" outlineLevel="0" collapsed="false">
      <c r="A437" s="8" t="s">
        <v>109</v>
      </c>
      <c r="B437" s="8" t="s">
        <v>24</v>
      </c>
      <c r="C437" s="8" t="s">
        <v>700</v>
      </c>
      <c r="D437" s="8" t="n">
        <v>3</v>
      </c>
      <c r="E437" s="8" t="s">
        <v>725</v>
      </c>
      <c r="F437" s="8" t="s">
        <v>727</v>
      </c>
      <c r="G437" s="56" t="n">
        <v>3675.78</v>
      </c>
      <c r="H437" s="56" t="n">
        <v>632.1</v>
      </c>
      <c r="I437" s="43" t="n">
        <v>0.0527</v>
      </c>
      <c r="J437" s="8" t="s">
        <v>581</v>
      </c>
      <c r="K437" s="19" t="n">
        <f aca="false">IF(H437=0,"",G437/H437)</f>
        <v>5.81518747033697</v>
      </c>
    </row>
    <row r="438" customFormat="false" ht="15" hidden="false" customHeight="false" outlineLevel="0" collapsed="false">
      <c r="A438" s="8" t="s">
        <v>109</v>
      </c>
      <c r="B438" s="8" t="s">
        <v>24</v>
      </c>
      <c r="C438" s="8" t="s">
        <v>700</v>
      </c>
      <c r="D438" s="8" t="n">
        <v>3</v>
      </c>
      <c r="E438" s="8" t="s">
        <v>515</v>
      </c>
      <c r="F438" s="8" t="s">
        <v>726</v>
      </c>
      <c r="G438" s="56" t="n">
        <v>3675.78</v>
      </c>
      <c r="H438" s="56" t="n">
        <v>632.1</v>
      </c>
      <c r="I438" s="43" t="n">
        <v>0.0527</v>
      </c>
      <c r="J438" s="8" t="s">
        <v>581</v>
      </c>
      <c r="K438" s="19" t="n">
        <f aca="false">IF(H438=0,"",G438/H438)</f>
        <v>5.81518747033697</v>
      </c>
    </row>
    <row r="439" customFormat="false" ht="15" hidden="false" customHeight="false" outlineLevel="0" collapsed="false">
      <c r="A439" s="8" t="s">
        <v>109</v>
      </c>
      <c r="B439" s="8" t="s">
        <v>24</v>
      </c>
      <c r="C439" s="8" t="s">
        <v>700</v>
      </c>
      <c r="D439" s="8" t="n">
        <v>3</v>
      </c>
      <c r="E439" s="8" t="s">
        <v>515</v>
      </c>
      <c r="F439" s="8" t="s">
        <v>727</v>
      </c>
      <c r="G439" s="56" t="n">
        <v>3675.78</v>
      </c>
      <c r="H439" s="56" t="n">
        <v>632.1</v>
      </c>
      <c r="I439" s="43" t="n">
        <v>0.0527</v>
      </c>
      <c r="J439" s="8" t="s">
        <v>581</v>
      </c>
      <c r="K439" s="19" t="n">
        <f aca="false">IF(H439=0,"",G439/H439)</f>
        <v>5.81518747033697</v>
      </c>
    </row>
    <row r="440" customFormat="false" ht="15" hidden="false" customHeight="false" outlineLevel="0" collapsed="false">
      <c r="A440" s="8" t="s">
        <v>109</v>
      </c>
      <c r="B440" s="8" t="s">
        <v>24</v>
      </c>
      <c r="C440" s="8" t="s">
        <v>700</v>
      </c>
      <c r="D440" s="8" t="n">
        <v>3</v>
      </c>
      <c r="E440" s="8" t="s">
        <v>728</v>
      </c>
      <c r="F440" s="8" t="s">
        <v>726</v>
      </c>
      <c r="G440" s="56" t="n">
        <v>3675.78</v>
      </c>
      <c r="H440" s="56" t="n">
        <v>632.1</v>
      </c>
      <c r="I440" s="43" t="n">
        <v>0.0527</v>
      </c>
      <c r="J440" s="8" t="s">
        <v>581</v>
      </c>
      <c r="K440" s="19" t="n">
        <f aca="false">IF(H440=0,"",G440/H440)</f>
        <v>5.81518747033697</v>
      </c>
    </row>
    <row r="441" customFormat="false" ht="15" hidden="false" customHeight="false" outlineLevel="0" collapsed="false">
      <c r="A441" s="8" t="s">
        <v>109</v>
      </c>
      <c r="B441" s="8" t="s">
        <v>24</v>
      </c>
      <c r="C441" s="8" t="s">
        <v>700</v>
      </c>
      <c r="D441" s="8" t="n">
        <v>3</v>
      </c>
      <c r="E441" s="8" t="s">
        <v>728</v>
      </c>
      <c r="F441" s="8" t="s">
        <v>727</v>
      </c>
      <c r="G441" s="56" t="n">
        <v>3675.78</v>
      </c>
      <c r="H441" s="56" t="n">
        <v>632.1</v>
      </c>
      <c r="I441" s="43" t="n">
        <v>0.0527</v>
      </c>
      <c r="J441" s="8" t="s">
        <v>581</v>
      </c>
      <c r="K441" s="19" t="n">
        <f aca="false">IF(H441=0,"",G441/H441)</f>
        <v>5.81518747033697</v>
      </c>
    </row>
    <row r="442" customFormat="false" ht="15" hidden="false" customHeight="false" outlineLevel="0" collapsed="false">
      <c r="A442" s="8" t="s">
        <v>109</v>
      </c>
      <c r="B442" s="8" t="s">
        <v>24</v>
      </c>
      <c r="C442" s="8" t="s">
        <v>528</v>
      </c>
      <c r="D442" s="8" t="n">
        <v>2</v>
      </c>
      <c r="E442" s="8" t="s">
        <v>725</v>
      </c>
      <c r="F442" s="8" t="s">
        <v>726</v>
      </c>
      <c r="G442" s="56" t="n">
        <v>13506.07</v>
      </c>
      <c r="H442" s="56" t="n">
        <v>2000</v>
      </c>
      <c r="I442" s="43" t="n">
        <v>0.1195</v>
      </c>
      <c r="J442" s="8" t="s">
        <v>581</v>
      </c>
      <c r="K442" s="19" t="n">
        <f aca="false">IF(H442=0,"",G442/H442)</f>
        <v>6.753035</v>
      </c>
    </row>
    <row r="443" customFormat="false" ht="15" hidden="false" customHeight="false" outlineLevel="0" collapsed="false">
      <c r="A443" s="8" t="s">
        <v>109</v>
      </c>
      <c r="B443" s="8" t="s">
        <v>24</v>
      </c>
      <c r="C443" s="8" t="s">
        <v>528</v>
      </c>
      <c r="D443" s="8" t="n">
        <v>2</v>
      </c>
      <c r="E443" s="8" t="s">
        <v>725</v>
      </c>
      <c r="F443" s="8" t="s">
        <v>727</v>
      </c>
      <c r="G443" s="56" t="n">
        <v>7262.68</v>
      </c>
      <c r="H443" s="56" t="n">
        <v>1732.03</v>
      </c>
      <c r="I443" s="43" t="n">
        <v>0.1253</v>
      </c>
      <c r="J443" s="8" t="s">
        <v>581</v>
      </c>
      <c r="K443" s="19" t="n">
        <f aca="false">IF(H443=0,"",G443/H443)</f>
        <v>4.19316062654804</v>
      </c>
    </row>
    <row r="444" customFormat="false" ht="15" hidden="false" customHeight="false" outlineLevel="0" collapsed="false">
      <c r="A444" s="8" t="s">
        <v>109</v>
      </c>
      <c r="B444" s="8" t="s">
        <v>24</v>
      </c>
      <c r="C444" s="8" t="s">
        <v>528</v>
      </c>
      <c r="D444" s="8" t="n">
        <v>2</v>
      </c>
      <c r="E444" s="8" t="s">
        <v>515</v>
      </c>
      <c r="F444" s="8" t="s">
        <v>726</v>
      </c>
      <c r="G444" s="56" t="n">
        <v>21183.26</v>
      </c>
      <c r="H444" s="56" t="n">
        <v>3599.8</v>
      </c>
      <c r="I444" s="43" t="n">
        <v>0.1914</v>
      </c>
      <c r="J444" s="8" t="s">
        <v>581</v>
      </c>
      <c r="K444" s="19" t="n">
        <f aca="false">IF(H444=0,"",G444/H444)</f>
        <v>5.88456580921162</v>
      </c>
    </row>
    <row r="445" customFormat="false" ht="15" hidden="false" customHeight="false" outlineLevel="0" collapsed="false">
      <c r="A445" s="8" t="s">
        <v>109</v>
      </c>
      <c r="B445" s="8" t="s">
        <v>24</v>
      </c>
      <c r="C445" s="8" t="s">
        <v>528</v>
      </c>
      <c r="D445" s="8" t="n">
        <v>2</v>
      </c>
      <c r="E445" s="8" t="s">
        <v>515</v>
      </c>
      <c r="F445" s="8" t="s">
        <v>727</v>
      </c>
      <c r="G445" s="56" t="n">
        <v>18231.89</v>
      </c>
      <c r="H445" s="56" t="n">
        <v>2787.77</v>
      </c>
      <c r="I445" s="43" t="n">
        <v>0.1527</v>
      </c>
      <c r="J445" s="8" t="s">
        <v>581</v>
      </c>
      <c r="K445" s="19" t="n">
        <f aca="false">IF(H445=0,"",G445/H445)</f>
        <v>6.53995487432607</v>
      </c>
    </row>
    <row r="446" customFormat="false" ht="15" hidden="false" customHeight="false" outlineLevel="0" collapsed="false">
      <c r="A446" s="8" t="s">
        <v>109</v>
      </c>
      <c r="B446" s="8" t="s">
        <v>24</v>
      </c>
      <c r="C446" s="8" t="s">
        <v>528</v>
      </c>
      <c r="D446" s="8" t="n">
        <v>2</v>
      </c>
      <c r="E446" s="8" t="s">
        <v>728</v>
      </c>
      <c r="F446" s="8" t="s">
        <v>726</v>
      </c>
      <c r="G446" s="56" t="n">
        <v>25952.25</v>
      </c>
      <c r="H446" s="56" t="n">
        <v>5548.12</v>
      </c>
      <c r="I446" s="43" t="n">
        <v>0.2838</v>
      </c>
      <c r="J446" s="8" t="s">
        <v>581</v>
      </c>
      <c r="K446" s="19" t="n">
        <f aca="false">IF(H446=0,"",G446/H446)</f>
        <v>4.67766558762247</v>
      </c>
    </row>
    <row r="447" customFormat="false" ht="15" hidden="false" customHeight="false" outlineLevel="0" collapsed="false">
      <c r="A447" s="8" t="s">
        <v>109</v>
      </c>
      <c r="B447" s="8" t="s">
        <v>24</v>
      </c>
      <c r="C447" s="8" t="s">
        <v>528</v>
      </c>
      <c r="D447" s="8" t="n">
        <v>2</v>
      </c>
      <c r="E447" s="8" t="s">
        <v>728</v>
      </c>
      <c r="F447" s="8" t="s">
        <v>727</v>
      </c>
      <c r="G447" s="56" t="n">
        <v>23390.42</v>
      </c>
      <c r="H447" s="56" t="n">
        <v>3586.28</v>
      </c>
      <c r="I447" s="43" t="n">
        <v>0.1835</v>
      </c>
      <c r="J447" s="8" t="s">
        <v>581</v>
      </c>
      <c r="K447" s="19" t="n">
        <f aca="false">IF(H447=0,"",G447/H447)</f>
        <v>6.52219570139532</v>
      </c>
    </row>
    <row r="448" customFormat="false" ht="15" hidden="false" customHeight="false" outlineLevel="0" collapsed="false">
      <c r="A448" s="8" t="s">
        <v>109</v>
      </c>
      <c r="B448" s="8" t="s">
        <v>24</v>
      </c>
      <c r="C448" s="8" t="s">
        <v>528</v>
      </c>
      <c r="D448" s="8" t="n">
        <v>3</v>
      </c>
      <c r="E448" s="8" t="s">
        <v>725</v>
      </c>
      <c r="F448" s="8" t="s">
        <v>726</v>
      </c>
      <c r="G448" s="56" t="n">
        <v>12300.1</v>
      </c>
      <c r="H448" s="56" t="n">
        <v>2000</v>
      </c>
      <c r="I448" s="43" t="n">
        <v>0.1288</v>
      </c>
      <c r="J448" s="8" t="s">
        <v>581</v>
      </c>
      <c r="K448" s="19" t="n">
        <f aca="false">IF(H448=0,"",G448/H448)</f>
        <v>6.15005</v>
      </c>
    </row>
    <row r="449" customFormat="false" ht="15" hidden="false" customHeight="false" outlineLevel="0" collapsed="false">
      <c r="A449" s="8" t="s">
        <v>109</v>
      </c>
      <c r="B449" s="8" t="s">
        <v>24</v>
      </c>
      <c r="C449" s="8" t="s">
        <v>528</v>
      </c>
      <c r="D449" s="8" t="n">
        <v>3</v>
      </c>
      <c r="E449" s="8" t="s">
        <v>725</v>
      </c>
      <c r="F449" s="8" t="s">
        <v>727</v>
      </c>
      <c r="G449" s="56" t="n">
        <v>12300.1</v>
      </c>
      <c r="H449" s="56" t="n">
        <v>2000</v>
      </c>
      <c r="I449" s="43" t="n">
        <v>0.1288</v>
      </c>
      <c r="J449" s="8" t="s">
        <v>581</v>
      </c>
      <c r="K449" s="19" t="n">
        <f aca="false">IF(H449=0,"",G449/H449)</f>
        <v>6.15005</v>
      </c>
    </row>
    <row r="450" customFormat="false" ht="15" hidden="false" customHeight="false" outlineLevel="0" collapsed="false">
      <c r="A450" s="8" t="s">
        <v>109</v>
      </c>
      <c r="B450" s="8" t="s">
        <v>24</v>
      </c>
      <c r="C450" s="8" t="s">
        <v>528</v>
      </c>
      <c r="D450" s="8" t="n">
        <v>3</v>
      </c>
      <c r="E450" s="8" t="s">
        <v>515</v>
      </c>
      <c r="F450" s="8" t="s">
        <v>726</v>
      </c>
      <c r="G450" s="56" t="n">
        <v>17940.82</v>
      </c>
      <c r="H450" s="56" t="n">
        <v>3242.92</v>
      </c>
      <c r="I450" s="43" t="n">
        <v>0.1999</v>
      </c>
      <c r="J450" s="8" t="s">
        <v>581</v>
      </c>
      <c r="K450" s="19" t="n">
        <f aca="false">IF(H450=0,"",G450/H450)</f>
        <v>5.53230421965389</v>
      </c>
    </row>
    <row r="451" customFormat="false" ht="15" hidden="false" customHeight="false" outlineLevel="0" collapsed="false">
      <c r="A451" s="8" t="s">
        <v>109</v>
      </c>
      <c r="B451" s="8" t="s">
        <v>24</v>
      </c>
      <c r="C451" s="8" t="s">
        <v>528</v>
      </c>
      <c r="D451" s="8" t="n">
        <v>3</v>
      </c>
      <c r="E451" s="8" t="s">
        <v>515</v>
      </c>
      <c r="F451" s="8" t="s">
        <v>727</v>
      </c>
      <c r="G451" s="56" t="n">
        <v>15920.34</v>
      </c>
      <c r="H451" s="56" t="n">
        <v>2788.59</v>
      </c>
      <c r="I451" s="43" t="n">
        <v>0.1593</v>
      </c>
      <c r="J451" s="8" t="s">
        <v>581</v>
      </c>
      <c r="K451" s="19" t="n">
        <f aca="false">IF(H451=0,"",G451/H451)</f>
        <v>5.70910029800006</v>
      </c>
    </row>
    <row r="452" customFormat="false" ht="15" hidden="false" customHeight="false" outlineLevel="0" collapsed="false">
      <c r="A452" s="8" t="s">
        <v>109</v>
      </c>
      <c r="B452" s="8" t="s">
        <v>24</v>
      </c>
      <c r="C452" s="8" t="s">
        <v>528</v>
      </c>
      <c r="D452" s="8" t="n">
        <v>3</v>
      </c>
      <c r="E452" s="8" t="s">
        <v>728</v>
      </c>
      <c r="F452" s="8" t="s">
        <v>726</v>
      </c>
      <c r="G452" s="56" t="n">
        <v>19000.88</v>
      </c>
      <c r="H452" s="56" t="n">
        <v>4098.52</v>
      </c>
      <c r="I452" s="43" t="n">
        <v>0.2527</v>
      </c>
      <c r="J452" s="8" t="s">
        <v>581</v>
      </c>
      <c r="K452" s="19" t="n">
        <f aca="false">IF(H452=0,"",G452/H452)</f>
        <v>4.63603447097977</v>
      </c>
    </row>
    <row r="453" customFormat="false" ht="15" hidden="false" customHeight="false" outlineLevel="0" collapsed="false">
      <c r="A453" s="8" t="s">
        <v>109</v>
      </c>
      <c r="B453" s="8" t="s">
        <v>24</v>
      </c>
      <c r="C453" s="8" t="s">
        <v>528</v>
      </c>
      <c r="D453" s="8" t="n">
        <v>3</v>
      </c>
      <c r="E453" s="8" t="s">
        <v>728</v>
      </c>
      <c r="F453" s="8" t="s">
        <v>727</v>
      </c>
      <c r="G453" s="56" t="n">
        <v>16368.85</v>
      </c>
      <c r="H453" s="56" t="n">
        <v>3348.52</v>
      </c>
      <c r="I453" s="43" t="n">
        <v>0.2064</v>
      </c>
      <c r="J453" s="8" t="s">
        <v>581</v>
      </c>
      <c r="K453" s="19" t="n">
        <f aca="false">IF(H453=0,"",G453/H453)</f>
        <v>4.88838352466164</v>
      </c>
    </row>
    <row r="455" customFormat="false" ht="15" hidden="false" customHeight="false" outlineLevel="0" collapsed="false">
      <c r="A455" s="8" t="s">
        <v>109</v>
      </c>
      <c r="B455" s="8" t="s">
        <v>59</v>
      </c>
      <c r="C455" s="8" t="s">
        <v>700</v>
      </c>
      <c r="D455" s="8" t="n">
        <v>2</v>
      </c>
      <c r="E455" s="8" t="s">
        <v>725</v>
      </c>
      <c r="F455" s="8" t="s">
        <v>726</v>
      </c>
      <c r="G455" s="56" t="n">
        <v>1887.11</v>
      </c>
      <c r="H455" s="56" t="n">
        <v>470.38</v>
      </c>
      <c r="I455" s="43" t="n">
        <v>0.0388</v>
      </c>
      <c r="J455" s="8" t="s">
        <v>581</v>
      </c>
      <c r="K455" s="19" t="n">
        <f aca="false">IF(H455=0,"",G455/H455)</f>
        <v>4.01188400867384</v>
      </c>
    </row>
    <row r="456" customFormat="false" ht="15" hidden="false" customHeight="false" outlineLevel="0" collapsed="false">
      <c r="A456" s="8" t="s">
        <v>109</v>
      </c>
      <c r="B456" s="8" t="s">
        <v>59</v>
      </c>
      <c r="C456" s="8" t="s">
        <v>700</v>
      </c>
      <c r="D456" s="8" t="n">
        <v>2</v>
      </c>
      <c r="E456" s="8" t="s">
        <v>725</v>
      </c>
      <c r="F456" s="8" t="s">
        <v>727</v>
      </c>
      <c r="G456" s="56" t="n">
        <v>1887.11</v>
      </c>
      <c r="H456" s="56" t="n">
        <v>470.38</v>
      </c>
      <c r="I456" s="43" t="n">
        <v>0.0388</v>
      </c>
      <c r="J456" s="8" t="s">
        <v>581</v>
      </c>
      <c r="K456" s="19" t="n">
        <f aca="false">IF(H456=0,"",G456/H456)</f>
        <v>4.01188400867384</v>
      </c>
    </row>
    <row r="457" customFormat="false" ht="15" hidden="false" customHeight="false" outlineLevel="0" collapsed="false">
      <c r="A457" s="8" t="s">
        <v>109</v>
      </c>
      <c r="B457" s="8" t="s">
        <v>59</v>
      </c>
      <c r="C457" s="8" t="s">
        <v>700</v>
      </c>
      <c r="D457" s="8" t="n">
        <v>2</v>
      </c>
      <c r="E457" s="8" t="s">
        <v>515</v>
      </c>
      <c r="F457" s="8" t="s">
        <v>726</v>
      </c>
      <c r="G457" s="56" t="n">
        <v>1887.11</v>
      </c>
      <c r="H457" s="56" t="n">
        <v>470.38</v>
      </c>
      <c r="I457" s="43" t="n">
        <v>0.0388</v>
      </c>
      <c r="J457" s="8" t="s">
        <v>581</v>
      </c>
      <c r="K457" s="19" t="n">
        <f aca="false">IF(H457=0,"",G457/H457)</f>
        <v>4.01188400867384</v>
      </c>
    </row>
    <row r="458" customFormat="false" ht="15" hidden="false" customHeight="false" outlineLevel="0" collapsed="false">
      <c r="A458" s="8" t="s">
        <v>109</v>
      </c>
      <c r="B458" s="8" t="s">
        <v>59</v>
      </c>
      <c r="C458" s="8" t="s">
        <v>700</v>
      </c>
      <c r="D458" s="8" t="n">
        <v>2</v>
      </c>
      <c r="E458" s="8" t="s">
        <v>515</v>
      </c>
      <c r="F458" s="8" t="s">
        <v>727</v>
      </c>
      <c r="G458" s="56" t="n">
        <v>1887.11</v>
      </c>
      <c r="H458" s="56" t="n">
        <v>470.38</v>
      </c>
      <c r="I458" s="43" t="n">
        <v>0.0388</v>
      </c>
      <c r="J458" s="8" t="s">
        <v>581</v>
      </c>
      <c r="K458" s="19" t="n">
        <f aca="false">IF(H458=0,"",G458/H458)</f>
        <v>4.01188400867384</v>
      </c>
    </row>
    <row r="459" customFormat="false" ht="15" hidden="false" customHeight="false" outlineLevel="0" collapsed="false">
      <c r="A459" s="8" t="s">
        <v>109</v>
      </c>
      <c r="B459" s="8" t="s">
        <v>59</v>
      </c>
      <c r="C459" s="8" t="s">
        <v>700</v>
      </c>
      <c r="D459" s="8" t="n">
        <v>2</v>
      </c>
      <c r="E459" s="8" t="s">
        <v>728</v>
      </c>
      <c r="F459" s="8" t="s">
        <v>726</v>
      </c>
      <c r="G459" s="56" t="n">
        <v>1887.11</v>
      </c>
      <c r="H459" s="56" t="n">
        <v>470.38</v>
      </c>
      <c r="I459" s="43" t="n">
        <v>0.0388</v>
      </c>
      <c r="J459" s="8" t="s">
        <v>581</v>
      </c>
      <c r="K459" s="19" t="n">
        <f aca="false">IF(H459=0,"",G459/H459)</f>
        <v>4.01188400867384</v>
      </c>
    </row>
    <row r="460" customFormat="false" ht="15" hidden="false" customHeight="false" outlineLevel="0" collapsed="false">
      <c r="A460" s="8" t="s">
        <v>109</v>
      </c>
      <c r="B460" s="8" t="s">
        <v>59</v>
      </c>
      <c r="C460" s="8" t="s">
        <v>700</v>
      </c>
      <c r="D460" s="8" t="n">
        <v>2</v>
      </c>
      <c r="E460" s="8" t="s">
        <v>728</v>
      </c>
      <c r="F460" s="8" t="s">
        <v>727</v>
      </c>
      <c r="G460" s="56" t="n">
        <v>1887.11</v>
      </c>
      <c r="H460" s="56" t="n">
        <v>470.38</v>
      </c>
      <c r="I460" s="43" t="n">
        <v>0.0388</v>
      </c>
      <c r="J460" s="8" t="s">
        <v>581</v>
      </c>
      <c r="K460" s="19" t="n">
        <f aca="false">IF(H460=0,"",G460/H460)</f>
        <v>4.01188400867384</v>
      </c>
    </row>
    <row r="461" customFormat="false" ht="15" hidden="false" customHeight="false" outlineLevel="0" collapsed="false">
      <c r="A461" s="8" t="s">
        <v>109</v>
      </c>
      <c r="B461" s="8" t="s">
        <v>59</v>
      </c>
      <c r="C461" s="8" t="s">
        <v>700</v>
      </c>
      <c r="D461" s="8" t="n">
        <v>3</v>
      </c>
      <c r="E461" s="8" t="s">
        <v>725</v>
      </c>
      <c r="F461" s="8" t="s">
        <v>726</v>
      </c>
      <c r="G461" s="56" t="n">
        <v>1774.85</v>
      </c>
      <c r="H461" s="56" t="n">
        <v>347.6</v>
      </c>
      <c r="I461" s="43" t="n">
        <v>0.029</v>
      </c>
      <c r="J461" s="8" t="s">
        <v>581</v>
      </c>
      <c r="K461" s="19" t="n">
        <f aca="false">IF(H461=0,"",G461/H461)</f>
        <v>5.10601265822785</v>
      </c>
    </row>
    <row r="462" customFormat="false" ht="15" hidden="false" customHeight="false" outlineLevel="0" collapsed="false">
      <c r="A462" s="8" t="s">
        <v>109</v>
      </c>
      <c r="B462" s="8" t="s">
        <v>59</v>
      </c>
      <c r="C462" s="8" t="s">
        <v>700</v>
      </c>
      <c r="D462" s="8" t="n">
        <v>3</v>
      </c>
      <c r="E462" s="8" t="s">
        <v>725</v>
      </c>
      <c r="F462" s="8" t="s">
        <v>727</v>
      </c>
      <c r="G462" s="56" t="n">
        <v>1774.85</v>
      </c>
      <c r="H462" s="56" t="n">
        <v>347.6</v>
      </c>
      <c r="I462" s="43" t="n">
        <v>0.029</v>
      </c>
      <c r="J462" s="8" t="s">
        <v>581</v>
      </c>
      <c r="K462" s="19" t="n">
        <f aca="false">IF(H462=0,"",G462/H462)</f>
        <v>5.10601265822785</v>
      </c>
    </row>
    <row r="463" customFormat="false" ht="15" hidden="false" customHeight="false" outlineLevel="0" collapsed="false">
      <c r="A463" s="8" t="s">
        <v>109</v>
      </c>
      <c r="B463" s="8" t="s">
        <v>59</v>
      </c>
      <c r="C463" s="8" t="s">
        <v>700</v>
      </c>
      <c r="D463" s="8" t="n">
        <v>3</v>
      </c>
      <c r="E463" s="8" t="s">
        <v>515</v>
      </c>
      <c r="F463" s="8" t="s">
        <v>726</v>
      </c>
      <c r="G463" s="56" t="n">
        <v>1774.85</v>
      </c>
      <c r="H463" s="56" t="n">
        <v>347.6</v>
      </c>
      <c r="I463" s="43" t="n">
        <v>0.029</v>
      </c>
      <c r="J463" s="8" t="s">
        <v>581</v>
      </c>
      <c r="K463" s="19" t="n">
        <f aca="false">IF(H463=0,"",G463/H463)</f>
        <v>5.10601265822785</v>
      </c>
    </row>
    <row r="464" customFormat="false" ht="15" hidden="false" customHeight="false" outlineLevel="0" collapsed="false">
      <c r="A464" s="8" t="s">
        <v>109</v>
      </c>
      <c r="B464" s="8" t="s">
        <v>59</v>
      </c>
      <c r="C464" s="8" t="s">
        <v>700</v>
      </c>
      <c r="D464" s="8" t="n">
        <v>3</v>
      </c>
      <c r="E464" s="8" t="s">
        <v>515</v>
      </c>
      <c r="F464" s="8" t="s">
        <v>727</v>
      </c>
      <c r="G464" s="56" t="n">
        <v>1774.85</v>
      </c>
      <c r="H464" s="56" t="n">
        <v>347.6</v>
      </c>
      <c r="I464" s="43" t="n">
        <v>0.029</v>
      </c>
      <c r="J464" s="8" t="s">
        <v>581</v>
      </c>
      <c r="K464" s="19" t="n">
        <f aca="false">IF(H464=0,"",G464/H464)</f>
        <v>5.10601265822785</v>
      </c>
    </row>
    <row r="465" customFormat="false" ht="15" hidden="false" customHeight="false" outlineLevel="0" collapsed="false">
      <c r="A465" s="8" t="s">
        <v>109</v>
      </c>
      <c r="B465" s="8" t="s">
        <v>59</v>
      </c>
      <c r="C465" s="8" t="s">
        <v>700</v>
      </c>
      <c r="D465" s="8" t="n">
        <v>3</v>
      </c>
      <c r="E465" s="8" t="s">
        <v>728</v>
      </c>
      <c r="F465" s="8" t="s">
        <v>726</v>
      </c>
      <c r="G465" s="56" t="n">
        <v>1774.85</v>
      </c>
      <c r="H465" s="56" t="n">
        <v>347.6</v>
      </c>
      <c r="I465" s="43" t="n">
        <v>0.029</v>
      </c>
      <c r="J465" s="8" t="s">
        <v>581</v>
      </c>
      <c r="K465" s="19" t="n">
        <f aca="false">IF(H465=0,"",G465/H465)</f>
        <v>5.10601265822785</v>
      </c>
    </row>
    <row r="466" customFormat="false" ht="15" hidden="false" customHeight="false" outlineLevel="0" collapsed="false">
      <c r="A466" s="8" t="s">
        <v>109</v>
      </c>
      <c r="B466" s="8" t="s">
        <v>59</v>
      </c>
      <c r="C466" s="8" t="s">
        <v>700</v>
      </c>
      <c r="D466" s="8" t="n">
        <v>3</v>
      </c>
      <c r="E466" s="8" t="s">
        <v>728</v>
      </c>
      <c r="F466" s="8" t="s">
        <v>727</v>
      </c>
      <c r="G466" s="56" t="n">
        <v>1774.85</v>
      </c>
      <c r="H466" s="56" t="n">
        <v>347.6</v>
      </c>
      <c r="I466" s="43" t="n">
        <v>0.029</v>
      </c>
      <c r="J466" s="8" t="s">
        <v>581</v>
      </c>
      <c r="K466" s="19" t="n">
        <f aca="false">IF(H466=0,"",G466/H466)</f>
        <v>5.10601265822785</v>
      </c>
    </row>
    <row r="467" customFormat="false" ht="15" hidden="false" customHeight="false" outlineLevel="0" collapsed="false">
      <c r="A467" s="8" t="s">
        <v>109</v>
      </c>
      <c r="B467" s="8" t="s">
        <v>59</v>
      </c>
      <c r="C467" s="8" t="s">
        <v>528</v>
      </c>
      <c r="D467" s="8" t="n">
        <v>2</v>
      </c>
      <c r="E467" s="8" t="s">
        <v>725</v>
      </c>
      <c r="F467" s="8" t="s">
        <v>726</v>
      </c>
      <c r="G467" s="56" t="n">
        <v>5504.11</v>
      </c>
      <c r="H467" s="56" t="n">
        <v>1443.18</v>
      </c>
      <c r="I467" s="43" t="n">
        <v>0.0864</v>
      </c>
      <c r="J467" s="8" t="s">
        <v>581</v>
      </c>
      <c r="K467" s="19" t="n">
        <f aca="false">IF(H467=0,"",G467/H467)</f>
        <v>3.81387630094652</v>
      </c>
    </row>
    <row r="468" customFormat="false" ht="15" hidden="false" customHeight="false" outlineLevel="0" collapsed="false">
      <c r="A468" s="8" t="s">
        <v>109</v>
      </c>
      <c r="B468" s="8" t="s">
        <v>59</v>
      </c>
      <c r="C468" s="8" t="s">
        <v>528</v>
      </c>
      <c r="D468" s="8" t="n">
        <v>2</v>
      </c>
      <c r="E468" s="8" t="s">
        <v>725</v>
      </c>
      <c r="F468" s="8" t="s">
        <v>727</v>
      </c>
      <c r="G468" s="56" t="n">
        <v>4416.02</v>
      </c>
      <c r="H468" s="56" t="n">
        <v>1443.18</v>
      </c>
      <c r="I468" s="43" t="n">
        <v>0.0925</v>
      </c>
      <c r="J468" s="8" t="s">
        <v>581</v>
      </c>
      <c r="K468" s="19" t="n">
        <f aca="false">IF(H468=0,"",G468/H468)</f>
        <v>3.05992322510013</v>
      </c>
    </row>
    <row r="469" customFormat="false" ht="15" hidden="false" customHeight="false" outlineLevel="0" collapsed="false">
      <c r="A469" s="8" t="s">
        <v>109</v>
      </c>
      <c r="B469" s="8" t="s">
        <v>59</v>
      </c>
      <c r="C469" s="8" t="s">
        <v>528</v>
      </c>
      <c r="D469" s="8" t="n">
        <v>2</v>
      </c>
      <c r="E469" s="8" t="s">
        <v>515</v>
      </c>
      <c r="F469" s="8" t="s">
        <v>726</v>
      </c>
      <c r="G469" s="56" t="n">
        <v>5704.77</v>
      </c>
      <c r="H469" s="56" t="n">
        <v>2414.45</v>
      </c>
      <c r="I469" s="43" t="n">
        <v>0.1371</v>
      </c>
      <c r="J469" s="8" t="s">
        <v>581</v>
      </c>
      <c r="K469" s="19" t="n">
        <f aca="false">IF(H469=0,"",G469/H469)</f>
        <v>2.36276170556442</v>
      </c>
    </row>
    <row r="470" customFormat="false" ht="15" hidden="false" customHeight="false" outlineLevel="0" collapsed="false">
      <c r="A470" s="8" t="s">
        <v>109</v>
      </c>
      <c r="B470" s="8" t="s">
        <v>59</v>
      </c>
      <c r="C470" s="8" t="s">
        <v>528</v>
      </c>
      <c r="D470" s="8" t="n">
        <v>2</v>
      </c>
      <c r="E470" s="8" t="s">
        <v>515</v>
      </c>
      <c r="F470" s="8" t="s">
        <v>727</v>
      </c>
      <c r="G470" s="56" t="n">
        <v>6162.39</v>
      </c>
      <c r="H470" s="56" t="n">
        <v>1942.14</v>
      </c>
      <c r="I470" s="43" t="n">
        <v>0.1103</v>
      </c>
      <c r="J470" s="8" t="s">
        <v>581</v>
      </c>
      <c r="K470" s="19" t="n">
        <f aca="false">IF(H470=0,"",G470/H470)</f>
        <v>3.1729895888041</v>
      </c>
    </row>
    <row r="471" customFormat="false" ht="15" hidden="false" customHeight="false" outlineLevel="0" collapsed="false">
      <c r="A471" s="8" t="s">
        <v>109</v>
      </c>
      <c r="B471" s="8" t="s">
        <v>59</v>
      </c>
      <c r="C471" s="8" t="s">
        <v>528</v>
      </c>
      <c r="D471" s="8" t="n">
        <v>2</v>
      </c>
      <c r="E471" s="8" t="s">
        <v>728</v>
      </c>
      <c r="F471" s="8" t="s">
        <v>726</v>
      </c>
      <c r="G471" s="56" t="n">
        <v>5443.11</v>
      </c>
      <c r="H471" s="56" t="n">
        <v>3181.44</v>
      </c>
      <c r="I471" s="43" t="n">
        <v>0.1806</v>
      </c>
      <c r="J471" s="8" t="s">
        <v>581</v>
      </c>
      <c r="K471" s="19" t="n">
        <f aca="false">IF(H471=0,"",G471/H471)</f>
        <v>1.71089506638503</v>
      </c>
    </row>
    <row r="472" customFormat="false" ht="15" hidden="false" customHeight="false" outlineLevel="0" collapsed="false">
      <c r="A472" s="8" t="s">
        <v>109</v>
      </c>
      <c r="B472" s="8" t="s">
        <v>59</v>
      </c>
      <c r="C472" s="8" t="s">
        <v>528</v>
      </c>
      <c r="D472" s="8" t="n">
        <v>2</v>
      </c>
      <c r="E472" s="8" t="s">
        <v>728</v>
      </c>
      <c r="F472" s="8" t="s">
        <v>727</v>
      </c>
      <c r="G472" s="56" t="n">
        <v>5435.78</v>
      </c>
      <c r="H472" s="56" t="n">
        <v>2493.94</v>
      </c>
      <c r="I472" s="43" t="n">
        <v>0.1416</v>
      </c>
      <c r="J472" s="8" t="s">
        <v>581</v>
      </c>
      <c r="K472" s="19" t="n">
        <f aca="false">IF(H472=0,"",G472/H472)</f>
        <v>2.17959533910198</v>
      </c>
    </row>
    <row r="473" customFormat="false" ht="15" hidden="false" customHeight="false" outlineLevel="0" collapsed="false">
      <c r="A473" s="8" t="s">
        <v>109</v>
      </c>
      <c r="B473" s="8" t="s">
        <v>59</v>
      </c>
      <c r="C473" s="8" t="s">
        <v>528</v>
      </c>
      <c r="D473" s="8" t="n">
        <v>3</v>
      </c>
      <c r="E473" s="8" t="s">
        <v>725</v>
      </c>
      <c r="F473" s="8" t="s">
        <v>726</v>
      </c>
      <c r="G473" s="56" t="n">
        <v>4945.91</v>
      </c>
      <c r="H473" s="56" t="n">
        <v>1443.18</v>
      </c>
      <c r="I473" s="43" t="n">
        <v>0.0894</v>
      </c>
      <c r="J473" s="8" t="s">
        <v>581</v>
      </c>
      <c r="K473" s="19" t="n">
        <f aca="false">IF(H473=0,"",G473/H473)</f>
        <v>3.42709156169016</v>
      </c>
    </row>
    <row r="474" customFormat="false" ht="15" hidden="false" customHeight="false" outlineLevel="0" collapsed="false">
      <c r="A474" s="8" t="s">
        <v>109</v>
      </c>
      <c r="B474" s="8" t="s">
        <v>59</v>
      </c>
      <c r="C474" s="8" t="s">
        <v>528</v>
      </c>
      <c r="D474" s="8" t="n">
        <v>3</v>
      </c>
      <c r="E474" s="8" t="s">
        <v>725</v>
      </c>
      <c r="F474" s="8" t="s">
        <v>727</v>
      </c>
      <c r="G474" s="56" t="n">
        <v>4590.54</v>
      </c>
      <c r="H474" s="56" t="n">
        <v>1443.18</v>
      </c>
      <c r="I474" s="43" t="n">
        <v>0.0915</v>
      </c>
      <c r="J474" s="8" t="s">
        <v>581</v>
      </c>
      <c r="K474" s="19" t="n">
        <f aca="false">IF(H474=0,"",G474/H474)</f>
        <v>3.18085062154409</v>
      </c>
    </row>
    <row r="475" customFormat="false" ht="15" hidden="false" customHeight="false" outlineLevel="0" collapsed="false">
      <c r="A475" s="8" t="s">
        <v>109</v>
      </c>
      <c r="B475" s="8" t="s">
        <v>59</v>
      </c>
      <c r="C475" s="8" t="s">
        <v>528</v>
      </c>
      <c r="D475" s="8" t="n">
        <v>3</v>
      </c>
      <c r="E475" s="8" t="s">
        <v>515</v>
      </c>
      <c r="F475" s="8" t="s">
        <v>726</v>
      </c>
      <c r="G475" s="56" t="n">
        <v>4873.81</v>
      </c>
      <c r="H475" s="56" t="n">
        <v>2242.02</v>
      </c>
      <c r="I475" s="43" t="n">
        <v>0.135</v>
      </c>
      <c r="J475" s="8" t="s">
        <v>581</v>
      </c>
      <c r="K475" s="19" t="n">
        <f aca="false">IF(H475=0,"",G475/H475)</f>
        <v>2.17384769092158</v>
      </c>
    </row>
    <row r="476" customFormat="false" ht="15" hidden="false" customHeight="false" outlineLevel="0" collapsed="false">
      <c r="A476" s="8" t="s">
        <v>109</v>
      </c>
      <c r="B476" s="8" t="s">
        <v>59</v>
      </c>
      <c r="C476" s="8" t="s">
        <v>528</v>
      </c>
      <c r="D476" s="8" t="n">
        <v>3</v>
      </c>
      <c r="E476" s="8" t="s">
        <v>515</v>
      </c>
      <c r="F476" s="8" t="s">
        <v>727</v>
      </c>
      <c r="G476" s="56" t="n">
        <v>4871.68</v>
      </c>
      <c r="H476" s="56" t="n">
        <v>2042.02</v>
      </c>
      <c r="I476" s="43" t="n">
        <v>0.1229</v>
      </c>
      <c r="J476" s="8" t="s">
        <v>581</v>
      </c>
      <c r="K476" s="19" t="n">
        <f aca="false">IF(H476=0,"",G476/H476)</f>
        <v>2.38571610464148</v>
      </c>
    </row>
    <row r="477" customFormat="false" ht="15" hidden="false" customHeight="false" outlineLevel="0" collapsed="false">
      <c r="A477" s="8" t="s">
        <v>109</v>
      </c>
      <c r="B477" s="8" t="s">
        <v>59</v>
      </c>
      <c r="C477" s="8" t="s">
        <v>528</v>
      </c>
      <c r="D477" s="8" t="n">
        <v>3</v>
      </c>
      <c r="E477" s="8" t="s">
        <v>728</v>
      </c>
      <c r="F477" s="8" t="s">
        <v>726</v>
      </c>
      <c r="G477" s="56" t="n">
        <v>5082.19</v>
      </c>
      <c r="H477" s="56" t="n">
        <v>2356.91</v>
      </c>
      <c r="I477" s="43" t="n">
        <v>0.1419</v>
      </c>
      <c r="J477" s="8" t="s">
        <v>581</v>
      </c>
      <c r="K477" s="19" t="n">
        <f aca="false">IF(H477=0,"",G477/H477)</f>
        <v>2.15629362173354</v>
      </c>
    </row>
    <row r="478" customFormat="false" ht="15" hidden="false" customHeight="false" outlineLevel="0" collapsed="false">
      <c r="A478" s="8" t="s">
        <v>109</v>
      </c>
      <c r="B478" s="8" t="s">
        <v>59</v>
      </c>
      <c r="C478" s="8" t="s">
        <v>528</v>
      </c>
      <c r="D478" s="8" t="n">
        <v>3</v>
      </c>
      <c r="E478" s="8" t="s">
        <v>728</v>
      </c>
      <c r="F478" s="8" t="s">
        <v>727</v>
      </c>
      <c r="G478" s="56" t="n">
        <v>5082.19</v>
      </c>
      <c r="H478" s="56" t="n">
        <v>2356.91</v>
      </c>
      <c r="I478" s="43" t="n">
        <v>0.1419</v>
      </c>
      <c r="J478" s="8" t="s">
        <v>581</v>
      </c>
      <c r="K478" s="19" t="n">
        <f aca="false">IF(H478=0,"",G478/H478)</f>
        <v>2.15629362173354</v>
      </c>
    </row>
    <row r="481" customFormat="false" ht="15" hidden="false" customHeight="false" outlineLevel="0" collapsed="false">
      <c r="A481" s="6" t="s">
        <v>730</v>
      </c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customFormat="false" ht="42" hidden="false" customHeight="true" outlineLevel="0" collapsed="false">
      <c r="A482" s="7" t="s">
        <v>135</v>
      </c>
      <c r="B482" s="7" t="s">
        <v>689</v>
      </c>
      <c r="C482" s="7" t="s">
        <v>690</v>
      </c>
      <c r="D482" s="7" t="s">
        <v>731</v>
      </c>
      <c r="E482" s="7" t="s">
        <v>732</v>
      </c>
      <c r="F482" s="7" t="s">
        <v>733</v>
      </c>
      <c r="G482" s="7" t="s">
        <v>734</v>
      </c>
      <c r="H482" s="7" t="s">
        <v>735</v>
      </c>
      <c r="I482" s="7" t="s">
        <v>736</v>
      </c>
      <c r="J482" s="7" t="s">
        <v>737</v>
      </c>
    </row>
    <row r="483" customFormat="false" ht="15" hidden="false" customHeight="false" outlineLevel="0" collapsed="false">
      <c r="A483" s="5" t="s">
        <v>23</v>
      </c>
      <c r="B483" s="5" t="s">
        <v>698</v>
      </c>
      <c r="C483" s="5" t="s">
        <v>549</v>
      </c>
      <c r="D483" s="5" t="s">
        <v>549</v>
      </c>
      <c r="E483" s="62" t="n">
        <v>5441.57</v>
      </c>
      <c r="F483" s="42" t="n">
        <v>0.1332</v>
      </c>
      <c r="G483" s="62" t="n">
        <v>699.8</v>
      </c>
      <c r="H483" s="42" t="n">
        <v>0.2173</v>
      </c>
      <c r="I483" s="62" t="n">
        <v>-3625.58</v>
      </c>
      <c r="J483" s="42" t="n">
        <v>0.4314</v>
      </c>
    </row>
    <row r="484" customFormat="false" ht="15" hidden="false" customHeight="false" outlineLevel="0" collapsed="false">
      <c r="A484" s="8" t="s">
        <v>23</v>
      </c>
      <c r="B484" s="8" t="s">
        <v>528</v>
      </c>
      <c r="C484" s="8" t="n">
        <v>2</v>
      </c>
      <c r="D484" s="8" t="s">
        <v>738</v>
      </c>
      <c r="E484" s="56" t="n">
        <v>60097.8</v>
      </c>
      <c r="F484" s="43" t="n">
        <v>0.7043</v>
      </c>
      <c r="G484" s="52" t="s">
        <v>699</v>
      </c>
      <c r="H484" s="43" t="n">
        <v>1.0245</v>
      </c>
      <c r="I484" s="52" t="s">
        <v>699</v>
      </c>
      <c r="J484" s="43" t="n">
        <v>1.0286</v>
      </c>
    </row>
    <row r="485" customFormat="false" ht="15" hidden="false" customHeight="false" outlineLevel="0" collapsed="false">
      <c r="A485" s="8" t="s">
        <v>23</v>
      </c>
      <c r="B485" s="8" t="s">
        <v>528</v>
      </c>
      <c r="C485" s="8" t="n">
        <v>3</v>
      </c>
      <c r="D485" s="8" t="s">
        <v>738</v>
      </c>
      <c r="E485" s="56" t="n">
        <v>58981.63</v>
      </c>
      <c r="F485" s="43" t="n">
        <v>0.5892</v>
      </c>
      <c r="G485" s="52" t="s">
        <v>699</v>
      </c>
      <c r="H485" s="43" t="n">
        <v>1.0315</v>
      </c>
      <c r="I485" s="52" t="s">
        <v>699</v>
      </c>
      <c r="J485" s="43" t="n">
        <v>1.0183</v>
      </c>
    </row>
    <row r="486" customFormat="false" ht="15" hidden="false" customHeight="false" outlineLevel="0" collapsed="false">
      <c r="A486" s="8" t="s">
        <v>23</v>
      </c>
      <c r="B486" s="8" t="s">
        <v>528</v>
      </c>
      <c r="C486" s="8" t="n">
        <v>3</v>
      </c>
      <c r="D486" s="8" t="s">
        <v>739</v>
      </c>
      <c r="E486" s="56" t="n">
        <v>17859.4</v>
      </c>
      <c r="F486" s="43" t="n">
        <v>0.4614</v>
      </c>
      <c r="G486" s="56" t="n">
        <v>722.04</v>
      </c>
      <c r="H486" s="43" t="n">
        <v>0.5546</v>
      </c>
      <c r="I486" s="56" t="n">
        <v>-2886.17</v>
      </c>
      <c r="J486" s="43" t="n">
        <v>0.5466</v>
      </c>
    </row>
    <row r="487" customFormat="false" ht="15" hidden="false" customHeight="false" outlineLevel="0" collapsed="false">
      <c r="A487" s="8" t="s">
        <v>23</v>
      </c>
      <c r="B487" s="8" t="s">
        <v>700</v>
      </c>
      <c r="C487" s="8" t="n">
        <v>3</v>
      </c>
      <c r="D487" s="8" t="s">
        <v>738</v>
      </c>
      <c r="E487" s="56" t="n">
        <v>17975.08</v>
      </c>
      <c r="F487" s="43" t="n">
        <v>0.2549</v>
      </c>
      <c r="G487" s="56" t="n">
        <v>12138.48</v>
      </c>
      <c r="H487" s="43" t="n">
        <v>0.515</v>
      </c>
      <c r="I487" s="52" t="s">
        <v>699</v>
      </c>
      <c r="J487" s="43" t="n">
        <v>1.0366</v>
      </c>
    </row>
    <row r="488" customFormat="false" ht="15" hidden="false" customHeight="false" outlineLevel="0" collapsed="false">
      <c r="A488" s="8" t="s">
        <v>23</v>
      </c>
      <c r="B488" s="8" t="s">
        <v>700</v>
      </c>
      <c r="C488" s="8" t="n">
        <v>3</v>
      </c>
      <c r="D488" s="8" t="s">
        <v>739</v>
      </c>
      <c r="E488" s="56" t="n">
        <v>7904.97</v>
      </c>
      <c r="F488" s="43" t="n">
        <v>0.2991</v>
      </c>
      <c r="G488" s="56" t="n">
        <v>2542.74</v>
      </c>
      <c r="H488" s="43" t="n">
        <v>0.3131</v>
      </c>
      <c r="I488" s="56" t="n">
        <v>-3027.76</v>
      </c>
      <c r="J488" s="43" t="n">
        <v>0.554</v>
      </c>
    </row>
    <row r="490" customFormat="false" ht="15" hidden="false" customHeight="false" outlineLevel="0" collapsed="false">
      <c r="A490" s="5" t="s">
        <v>62</v>
      </c>
      <c r="B490" s="5" t="s">
        <v>698</v>
      </c>
      <c r="C490" s="5" t="s">
        <v>549</v>
      </c>
      <c r="D490" s="5" t="s">
        <v>549</v>
      </c>
      <c r="E490" s="62" t="n">
        <v>6136.32</v>
      </c>
      <c r="F490" s="42" t="n">
        <v>0.1725</v>
      </c>
      <c r="G490" s="62" t="n">
        <v>2462.16</v>
      </c>
      <c r="H490" s="42" t="n">
        <v>0.2347</v>
      </c>
      <c r="I490" s="62" t="n">
        <v>-888.11</v>
      </c>
      <c r="J490" s="42" t="n">
        <v>0.2958</v>
      </c>
    </row>
    <row r="491" customFormat="false" ht="15" hidden="false" customHeight="false" outlineLevel="0" collapsed="false">
      <c r="A491" s="8" t="s">
        <v>62</v>
      </c>
      <c r="B491" s="8" t="s">
        <v>528</v>
      </c>
      <c r="C491" s="8" t="n">
        <v>2</v>
      </c>
      <c r="D491" s="8" t="s">
        <v>738</v>
      </c>
      <c r="E491" s="52" t="s">
        <v>699</v>
      </c>
      <c r="F491" s="43" t="n">
        <v>1.0287</v>
      </c>
      <c r="G491" s="52" t="s">
        <v>699</v>
      </c>
      <c r="H491" s="43" t="n">
        <v>1.0104</v>
      </c>
      <c r="I491" s="52" t="s">
        <v>699</v>
      </c>
      <c r="J491" s="43" t="n">
        <v>1.0328</v>
      </c>
    </row>
    <row r="492" customFormat="false" ht="15" hidden="false" customHeight="false" outlineLevel="0" collapsed="false">
      <c r="A492" s="8" t="s">
        <v>62</v>
      </c>
      <c r="B492" s="8" t="s">
        <v>528</v>
      </c>
      <c r="C492" s="8" t="n">
        <v>3</v>
      </c>
      <c r="D492" s="8" t="s">
        <v>738</v>
      </c>
      <c r="E492" s="52" t="s">
        <v>699</v>
      </c>
      <c r="F492" s="43" t="n">
        <v>1.0228</v>
      </c>
      <c r="G492" s="52" t="s">
        <v>699</v>
      </c>
      <c r="H492" s="43" t="n">
        <v>1.0257</v>
      </c>
      <c r="I492" s="52" t="s">
        <v>699</v>
      </c>
      <c r="J492" s="43" t="n">
        <v>1.0168</v>
      </c>
    </row>
    <row r="493" customFormat="false" ht="15" hidden="false" customHeight="false" outlineLevel="0" collapsed="false">
      <c r="A493" s="8" t="s">
        <v>62</v>
      </c>
      <c r="B493" s="8" t="s">
        <v>528</v>
      </c>
      <c r="C493" s="8" t="n">
        <v>3</v>
      </c>
      <c r="D493" s="8" t="s">
        <v>739</v>
      </c>
      <c r="E493" s="56" t="n">
        <v>51480.28</v>
      </c>
      <c r="F493" s="43" t="n">
        <v>0.3588</v>
      </c>
      <c r="G493" s="56" t="n">
        <v>-670.79</v>
      </c>
      <c r="H493" s="43" t="n">
        <v>0.5784</v>
      </c>
      <c r="I493" s="56" t="n">
        <v>-4431.98</v>
      </c>
      <c r="J493" s="43" t="n">
        <v>0.5872</v>
      </c>
    </row>
    <row r="494" customFormat="false" ht="15" hidden="false" customHeight="false" outlineLevel="0" collapsed="false">
      <c r="A494" s="8" t="s">
        <v>62</v>
      </c>
      <c r="B494" s="8" t="s">
        <v>700</v>
      </c>
      <c r="C494" s="8" t="n">
        <v>3</v>
      </c>
      <c r="D494" s="8" t="s">
        <v>738</v>
      </c>
      <c r="E494" s="52" t="s">
        <v>699</v>
      </c>
      <c r="F494" s="43" t="n">
        <v>1.0406</v>
      </c>
      <c r="G494" s="52" t="s">
        <v>699</v>
      </c>
      <c r="H494" s="43" t="n">
        <v>1.0299</v>
      </c>
      <c r="I494" s="52" t="s">
        <v>699</v>
      </c>
      <c r="J494" s="43" t="n">
        <v>1.0124</v>
      </c>
    </row>
    <row r="495" customFormat="false" ht="15" hidden="false" customHeight="false" outlineLevel="0" collapsed="false">
      <c r="A495" s="8" t="s">
        <v>62</v>
      </c>
      <c r="B495" s="8" t="s">
        <v>700</v>
      </c>
      <c r="C495" s="8" t="n">
        <v>3</v>
      </c>
      <c r="D495" s="8" t="s">
        <v>739</v>
      </c>
      <c r="E495" s="56" t="n">
        <v>11813.99</v>
      </c>
      <c r="F495" s="43" t="n">
        <v>0.2584</v>
      </c>
      <c r="G495" s="56" t="n">
        <v>3273.02</v>
      </c>
      <c r="H495" s="43" t="n">
        <v>0.3078</v>
      </c>
      <c r="I495" s="56" t="n">
        <v>-281.07</v>
      </c>
      <c r="J495" s="43" t="n">
        <v>0.3932</v>
      </c>
    </row>
    <row r="497" customFormat="false" ht="15" hidden="false" customHeight="false" outlineLevel="0" collapsed="false">
      <c r="A497" s="5" t="s">
        <v>87</v>
      </c>
      <c r="B497" s="5" t="s">
        <v>698</v>
      </c>
      <c r="C497" s="5" t="s">
        <v>549</v>
      </c>
      <c r="D497" s="5" t="s">
        <v>549</v>
      </c>
      <c r="E497" s="62" t="n">
        <v>9076.9</v>
      </c>
      <c r="F497" s="42" t="n">
        <v>0.0876</v>
      </c>
      <c r="G497" s="62" t="n">
        <v>5424.23</v>
      </c>
      <c r="H497" s="42" t="n">
        <v>0.1126</v>
      </c>
      <c r="I497" s="62" t="n">
        <v>2096.69</v>
      </c>
      <c r="J497" s="42" t="n">
        <v>0.1532</v>
      </c>
    </row>
    <row r="498" customFormat="false" ht="15" hidden="false" customHeight="false" outlineLevel="0" collapsed="false">
      <c r="A498" s="8" t="s">
        <v>87</v>
      </c>
      <c r="B498" s="8" t="s">
        <v>528</v>
      </c>
      <c r="C498" s="8" t="n">
        <v>2</v>
      </c>
      <c r="D498" s="8" t="s">
        <v>738</v>
      </c>
      <c r="E498" s="56" t="n">
        <v>81503.48</v>
      </c>
      <c r="F498" s="43" t="n">
        <v>0.4551</v>
      </c>
      <c r="G498" s="56" t="n">
        <v>48427.45</v>
      </c>
      <c r="H498" s="43" t="n">
        <v>0.5671</v>
      </c>
      <c r="I498" s="52" t="s">
        <v>699</v>
      </c>
      <c r="J498" s="43" t="n">
        <v>1.0193</v>
      </c>
    </row>
    <row r="499" customFormat="false" ht="15" hidden="false" customHeight="false" outlineLevel="0" collapsed="false">
      <c r="A499" s="8" t="s">
        <v>87</v>
      </c>
      <c r="B499" s="8" t="s">
        <v>528</v>
      </c>
      <c r="C499" s="8" t="n">
        <v>3</v>
      </c>
      <c r="D499" s="8" t="s">
        <v>738</v>
      </c>
      <c r="E499" s="56" t="n">
        <v>83688.51</v>
      </c>
      <c r="F499" s="43" t="n">
        <v>0.3337</v>
      </c>
      <c r="G499" s="56" t="n">
        <v>49566.12</v>
      </c>
      <c r="H499" s="43" t="n">
        <v>0.5449</v>
      </c>
      <c r="I499" s="56" t="n">
        <v>20432.63</v>
      </c>
      <c r="J499" s="43" t="n">
        <v>0.8861</v>
      </c>
    </row>
    <row r="500" customFormat="false" ht="15" hidden="false" customHeight="false" outlineLevel="0" collapsed="false">
      <c r="A500" s="8" t="s">
        <v>87</v>
      </c>
      <c r="B500" s="8" t="s">
        <v>528</v>
      </c>
      <c r="C500" s="8" t="n">
        <v>3</v>
      </c>
      <c r="D500" s="8" t="s">
        <v>739</v>
      </c>
      <c r="E500" s="56" t="n">
        <v>67852.71</v>
      </c>
      <c r="F500" s="43" t="n">
        <v>0.3608</v>
      </c>
      <c r="G500" s="56" t="n">
        <v>29707.84</v>
      </c>
      <c r="H500" s="43" t="n">
        <v>0.3581</v>
      </c>
      <c r="I500" s="56" t="n">
        <v>279.55</v>
      </c>
      <c r="J500" s="43" t="n">
        <v>0.4803</v>
      </c>
    </row>
    <row r="501" customFormat="false" ht="15" hidden="false" customHeight="false" outlineLevel="0" collapsed="false">
      <c r="A501" s="8" t="s">
        <v>87</v>
      </c>
      <c r="B501" s="8" t="s">
        <v>700</v>
      </c>
      <c r="C501" s="8" t="n">
        <v>3</v>
      </c>
      <c r="D501" s="8" t="s">
        <v>738</v>
      </c>
      <c r="E501" s="56" t="n">
        <v>15106.13</v>
      </c>
      <c r="F501" s="43" t="n">
        <v>0.453</v>
      </c>
      <c r="G501" s="56" t="n">
        <v>11503.02</v>
      </c>
      <c r="H501" s="43" t="n">
        <v>0.5132</v>
      </c>
      <c r="I501" s="56" t="n">
        <v>8412.23</v>
      </c>
      <c r="J501" s="43" t="n">
        <v>0.5748</v>
      </c>
    </row>
    <row r="502" customFormat="false" ht="15" hidden="false" customHeight="false" outlineLevel="0" collapsed="false">
      <c r="A502" s="8" t="s">
        <v>87</v>
      </c>
      <c r="B502" s="8" t="s">
        <v>700</v>
      </c>
      <c r="C502" s="8" t="n">
        <v>3</v>
      </c>
      <c r="D502" s="8" t="s">
        <v>739</v>
      </c>
      <c r="E502" s="56" t="n">
        <v>12478.75</v>
      </c>
      <c r="F502" s="43" t="n">
        <v>0.1757</v>
      </c>
      <c r="G502" s="56" t="n">
        <v>8938.67</v>
      </c>
      <c r="H502" s="43" t="n">
        <v>0.1918</v>
      </c>
      <c r="I502" s="56" t="n">
        <v>5683.82</v>
      </c>
      <c r="J502" s="43" t="n">
        <v>0.208</v>
      </c>
    </row>
    <row r="504" customFormat="false" ht="15" hidden="false" customHeight="false" outlineLevel="0" collapsed="false">
      <c r="A504" s="5" t="s">
        <v>109</v>
      </c>
      <c r="B504" s="5" t="s">
        <v>698</v>
      </c>
      <c r="C504" s="5" t="s">
        <v>549</v>
      </c>
      <c r="D504" s="5" t="s">
        <v>549</v>
      </c>
      <c r="E504" s="62" t="n">
        <v>3087.46</v>
      </c>
      <c r="F504" s="42" t="n">
        <v>0.0344</v>
      </c>
      <c r="G504" s="62" t="n">
        <v>2506.99</v>
      </c>
      <c r="H504" s="42" t="n">
        <v>0.035</v>
      </c>
      <c r="I504" s="62" t="n">
        <v>1978.49</v>
      </c>
      <c r="J504" s="42" t="n">
        <v>0.0363</v>
      </c>
    </row>
    <row r="505" customFormat="false" ht="15" hidden="false" customHeight="false" outlineLevel="0" collapsed="false">
      <c r="A505" s="8" t="s">
        <v>109</v>
      </c>
      <c r="B505" s="8" t="s">
        <v>528</v>
      </c>
      <c r="C505" s="8" t="n">
        <v>2</v>
      </c>
      <c r="D505" s="8" t="s">
        <v>738</v>
      </c>
      <c r="E505" s="56" t="n">
        <v>21183.26</v>
      </c>
      <c r="F505" s="43" t="n">
        <v>0.1914</v>
      </c>
      <c r="G505" s="56" t="n">
        <v>16090.13</v>
      </c>
      <c r="H505" s="43" t="n">
        <v>0.2135</v>
      </c>
      <c r="I505" s="56" t="n">
        <v>12216.31</v>
      </c>
      <c r="J505" s="43" t="n">
        <v>0.2263</v>
      </c>
    </row>
    <row r="506" customFormat="false" ht="15" hidden="false" customHeight="false" outlineLevel="0" collapsed="false">
      <c r="A506" s="8" t="s">
        <v>109</v>
      </c>
      <c r="B506" s="8" t="s">
        <v>528</v>
      </c>
      <c r="C506" s="8" t="n">
        <v>3</v>
      </c>
      <c r="D506" s="8" t="s">
        <v>738</v>
      </c>
      <c r="E506" s="56" t="n">
        <v>17940.82</v>
      </c>
      <c r="F506" s="43" t="n">
        <v>0.1999</v>
      </c>
      <c r="G506" s="56" t="n">
        <v>13562.81</v>
      </c>
      <c r="H506" s="43" t="n">
        <v>0.2075</v>
      </c>
      <c r="I506" s="56" t="n">
        <v>10169.53</v>
      </c>
      <c r="J506" s="43" t="n">
        <v>0.2048</v>
      </c>
    </row>
    <row r="507" customFormat="false" ht="15" hidden="false" customHeight="false" outlineLevel="0" collapsed="false">
      <c r="A507" s="8" t="s">
        <v>109</v>
      </c>
      <c r="B507" s="8" t="s">
        <v>528</v>
      </c>
      <c r="C507" s="8" t="n">
        <v>3</v>
      </c>
      <c r="D507" s="8" t="s">
        <v>739</v>
      </c>
      <c r="E507" s="56" t="n">
        <v>15920.34</v>
      </c>
      <c r="F507" s="43" t="n">
        <v>0.1593</v>
      </c>
      <c r="G507" s="56" t="n">
        <v>11241.5</v>
      </c>
      <c r="H507" s="43" t="n">
        <v>0.1659</v>
      </c>
      <c r="I507" s="56" t="n">
        <v>7476.63</v>
      </c>
      <c r="J507" s="43" t="n">
        <v>0.1515</v>
      </c>
    </row>
    <row r="508" customFormat="false" ht="15" hidden="false" customHeight="false" outlineLevel="0" collapsed="false">
      <c r="A508" s="8" t="s">
        <v>109</v>
      </c>
      <c r="B508" s="8" t="s">
        <v>700</v>
      </c>
      <c r="C508" s="8" t="n">
        <v>3</v>
      </c>
      <c r="D508" s="8" t="s">
        <v>738</v>
      </c>
      <c r="E508" s="56" t="n">
        <v>3675.78</v>
      </c>
      <c r="F508" s="43" t="n">
        <v>0.0527</v>
      </c>
      <c r="G508" s="56" t="n">
        <v>3090.49</v>
      </c>
      <c r="H508" s="43" t="n">
        <v>0.054</v>
      </c>
      <c r="I508" s="56" t="n">
        <v>2556.51</v>
      </c>
      <c r="J508" s="43" t="n">
        <v>0.0554</v>
      </c>
    </row>
    <row r="509" customFormat="false" ht="15" hidden="false" customHeight="false" outlineLevel="0" collapsed="false">
      <c r="A509" s="8" t="s">
        <v>109</v>
      </c>
      <c r="B509" s="8" t="s">
        <v>700</v>
      </c>
      <c r="C509" s="8" t="n">
        <v>3</v>
      </c>
      <c r="D509" s="8" t="s">
        <v>739</v>
      </c>
      <c r="E509" s="56" t="n">
        <v>3675.78</v>
      </c>
      <c r="F509" s="43" t="n">
        <v>0.0527</v>
      </c>
      <c r="G509" s="56" t="n">
        <v>3090.49</v>
      </c>
      <c r="H509" s="43" t="n">
        <v>0.054</v>
      </c>
      <c r="I509" s="56" t="n">
        <v>2556.51</v>
      </c>
      <c r="J509" s="43" t="n">
        <v>0.0554</v>
      </c>
    </row>
  </sheetData>
  <mergeCells count="4">
    <mergeCell ref="A2:Q2"/>
    <mergeCell ref="A11:J11"/>
    <mergeCell ref="A278:L278"/>
    <mergeCell ref="A481:L4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30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9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740</v>
      </c>
    </row>
    <row r="2" customFormat="false" ht="15" hidden="false" customHeight="false" outlineLevel="0" collapsed="false">
      <c r="A2" s="47" t="s">
        <v>741</v>
      </c>
      <c r="B2" s="47"/>
      <c r="C2" s="47"/>
      <c r="D2" s="47"/>
      <c r="E2" s="47"/>
      <c r="F2" s="47"/>
      <c r="G2" s="47"/>
      <c r="H2" s="47"/>
      <c r="I2" s="47"/>
      <c r="J2" s="47"/>
    </row>
    <row r="4" customFormat="false" ht="54" hidden="false" customHeight="true" outlineLevel="0" collapsed="false">
      <c r="A4" s="7" t="s">
        <v>135</v>
      </c>
      <c r="B4" s="7" t="s">
        <v>136</v>
      </c>
      <c r="C4" s="7" t="s">
        <v>742</v>
      </c>
      <c r="D4" s="7" t="s">
        <v>743</v>
      </c>
      <c r="E4" s="7" t="s">
        <v>744</v>
      </c>
      <c r="F4" s="7" t="s">
        <v>745</v>
      </c>
      <c r="G4" s="7" t="s">
        <v>746</v>
      </c>
      <c r="H4" s="7" t="s">
        <v>747</v>
      </c>
      <c r="I4" s="7" t="s">
        <v>748</v>
      </c>
      <c r="J4" s="7" t="s">
        <v>749</v>
      </c>
      <c r="K4" s="7" t="s">
        <v>748</v>
      </c>
      <c r="L4" s="7" t="s">
        <v>750</v>
      </c>
      <c r="M4" s="7" t="s">
        <v>748</v>
      </c>
    </row>
    <row r="5" customFormat="false" ht="15" hidden="false" customHeight="false" outlineLevel="0" collapsed="false">
      <c r="A5" s="8" t="s">
        <v>23</v>
      </c>
      <c r="B5" s="8" t="s">
        <v>24</v>
      </c>
      <c r="C5" s="26" t="n">
        <v>55</v>
      </c>
      <c r="D5" s="26" t="n">
        <v>34</v>
      </c>
      <c r="E5" s="28" t="n">
        <f aca="false">IF(C5=0,"",D5/C5)</f>
        <v>0.618181818181818</v>
      </c>
      <c r="F5" s="40" t="n">
        <v>0.0394</v>
      </c>
      <c r="G5" s="40" t="n">
        <v>0.0573</v>
      </c>
      <c r="H5" s="9" t="s">
        <v>260</v>
      </c>
      <c r="I5" s="40" t="n">
        <v>-0.1225</v>
      </c>
      <c r="J5" s="9" t="s">
        <v>256</v>
      </c>
      <c r="K5" s="40" t="n">
        <v>-0.1022</v>
      </c>
      <c r="L5" s="9" t="s">
        <v>751</v>
      </c>
      <c r="M5" s="40" t="n">
        <v>-0.0987</v>
      </c>
    </row>
    <row r="6" customFormat="false" ht="15" hidden="false" customHeight="false" outlineLevel="0" collapsed="false">
      <c r="A6" s="8" t="s">
        <v>23</v>
      </c>
      <c r="B6" s="8" t="s">
        <v>59</v>
      </c>
      <c r="C6" s="26" t="n">
        <v>55</v>
      </c>
      <c r="D6" s="26" t="n">
        <v>34</v>
      </c>
      <c r="E6" s="28" t="n">
        <f aca="false">IF(C6=0,"",D6/C6)</f>
        <v>0.618181818181818</v>
      </c>
      <c r="F6" s="40" t="n">
        <v>0.0343</v>
      </c>
      <c r="G6" s="40" t="n">
        <v>0.0516</v>
      </c>
      <c r="H6" s="9" t="s">
        <v>260</v>
      </c>
      <c r="I6" s="40" t="n">
        <v>-0.1222</v>
      </c>
      <c r="J6" s="9" t="s">
        <v>751</v>
      </c>
      <c r="K6" s="40" t="n">
        <v>-0.1166</v>
      </c>
      <c r="L6" s="9" t="s">
        <v>256</v>
      </c>
      <c r="M6" s="40" t="n">
        <v>-0.106</v>
      </c>
    </row>
    <row r="8" customFormat="false" ht="15" hidden="false" customHeight="false" outlineLevel="0" collapsed="false">
      <c r="A8" s="8" t="s">
        <v>62</v>
      </c>
      <c r="B8" s="8" t="s">
        <v>24</v>
      </c>
      <c r="C8" s="26" t="n">
        <v>100</v>
      </c>
      <c r="D8" s="26" t="n">
        <v>94</v>
      </c>
      <c r="E8" s="28" t="n">
        <f aca="false">IF(C8=0,"",D8/C8)</f>
        <v>0.94</v>
      </c>
      <c r="F8" s="40" t="n">
        <v>0.0872</v>
      </c>
      <c r="G8" s="40" t="n">
        <v>0.0872</v>
      </c>
      <c r="H8" s="9" t="s">
        <v>248</v>
      </c>
      <c r="I8" s="40" t="n">
        <v>-0.0197</v>
      </c>
      <c r="J8" s="9" t="s">
        <v>249</v>
      </c>
      <c r="K8" s="40" t="n">
        <v>-0.0179</v>
      </c>
      <c r="L8" s="9" t="s">
        <v>272</v>
      </c>
      <c r="M8" s="40" t="n">
        <v>-0.0132</v>
      </c>
    </row>
    <row r="9" customFormat="false" ht="15" hidden="false" customHeight="false" outlineLevel="0" collapsed="false">
      <c r="A9" s="8" t="s">
        <v>62</v>
      </c>
      <c r="B9" s="8" t="s">
        <v>59</v>
      </c>
      <c r="C9" s="26" t="n">
        <v>100</v>
      </c>
      <c r="D9" s="26" t="n">
        <v>92</v>
      </c>
      <c r="E9" s="28" t="n">
        <f aca="false">IF(C9=0,"",D9/C9)</f>
        <v>0.92</v>
      </c>
      <c r="F9" s="40" t="n">
        <v>0.045</v>
      </c>
      <c r="G9" s="40" t="n">
        <v>0.045</v>
      </c>
      <c r="H9" s="9" t="s">
        <v>249</v>
      </c>
      <c r="I9" s="40" t="n">
        <v>-0.0348</v>
      </c>
      <c r="J9" s="9" t="s">
        <v>248</v>
      </c>
      <c r="K9" s="40" t="n">
        <v>-0.0317</v>
      </c>
      <c r="L9" s="9" t="s">
        <v>752</v>
      </c>
      <c r="M9" s="40" t="n">
        <v>-0.0082</v>
      </c>
    </row>
    <row r="11" customFormat="false" ht="15" hidden="false" customHeight="false" outlineLevel="0" collapsed="false">
      <c r="A11" s="8" t="s">
        <v>87</v>
      </c>
      <c r="B11" s="8" t="s">
        <v>24</v>
      </c>
      <c r="C11" s="26" t="n">
        <v>166</v>
      </c>
      <c r="D11" s="26" t="n">
        <v>145</v>
      </c>
      <c r="E11" s="28" t="n">
        <f aca="false">IF(C11=0,"",D11/C11)</f>
        <v>0.873493975903614</v>
      </c>
      <c r="F11" s="40" t="n">
        <v>0.1118</v>
      </c>
      <c r="G11" s="40" t="n">
        <v>0.1338</v>
      </c>
      <c r="H11" s="9" t="s">
        <v>385</v>
      </c>
      <c r="I11" s="40" t="n">
        <v>-0.0932</v>
      </c>
      <c r="J11" s="9" t="s">
        <v>382</v>
      </c>
      <c r="K11" s="40" t="n">
        <v>-0.0687</v>
      </c>
      <c r="L11" s="9" t="s">
        <v>751</v>
      </c>
      <c r="M11" s="40" t="n">
        <v>-0.0485</v>
      </c>
    </row>
    <row r="12" customFormat="false" ht="15" hidden="false" customHeight="false" outlineLevel="0" collapsed="false">
      <c r="A12" s="8" t="s">
        <v>87</v>
      </c>
      <c r="B12" s="8" t="s">
        <v>59</v>
      </c>
      <c r="C12" s="26" t="n">
        <v>163</v>
      </c>
      <c r="D12" s="26" t="n">
        <v>124</v>
      </c>
      <c r="E12" s="28" t="n">
        <f aca="false">IF(C12=0,"",D12/C12)</f>
        <v>0.760736196319019</v>
      </c>
      <c r="F12" s="40" t="n">
        <v>0.0512</v>
      </c>
      <c r="G12" s="40" t="n">
        <v>0.0664</v>
      </c>
      <c r="H12" s="9" t="s">
        <v>385</v>
      </c>
      <c r="I12" s="40" t="n">
        <v>-0.1117</v>
      </c>
      <c r="J12" s="9" t="s">
        <v>382</v>
      </c>
      <c r="K12" s="40" t="n">
        <v>-0.0742</v>
      </c>
      <c r="L12" s="9" t="s">
        <v>259</v>
      </c>
      <c r="M12" s="40" t="n">
        <v>-0.0479</v>
      </c>
    </row>
    <row r="14" customFormat="false" ht="15" hidden="false" customHeight="false" outlineLevel="0" collapsed="false">
      <c r="A14" s="8" t="s">
        <v>109</v>
      </c>
      <c r="B14" s="8" t="s">
        <v>24</v>
      </c>
      <c r="C14" s="26" t="n">
        <v>164</v>
      </c>
      <c r="D14" s="26" t="n">
        <v>143</v>
      </c>
      <c r="E14" s="28" t="n">
        <f aca="false">IF(C14=0,"",D14/C14)</f>
        <v>0.871951219512195</v>
      </c>
      <c r="F14" s="40" t="n">
        <v>0.2679</v>
      </c>
      <c r="G14" s="40" t="n">
        <v>0.3371</v>
      </c>
      <c r="H14" s="9" t="s">
        <v>753</v>
      </c>
      <c r="I14" s="40" t="n">
        <v>-0.1807</v>
      </c>
      <c r="J14" s="9" t="s">
        <v>243</v>
      </c>
      <c r="K14" s="40" t="n">
        <v>-0.0927</v>
      </c>
      <c r="L14" s="9" t="s">
        <v>385</v>
      </c>
      <c r="M14" s="40" t="n">
        <v>-0.0803</v>
      </c>
    </row>
    <row r="15" customFormat="false" ht="15" hidden="false" customHeight="false" outlineLevel="0" collapsed="false">
      <c r="A15" s="8" t="s">
        <v>109</v>
      </c>
      <c r="B15" s="8" t="s">
        <v>59</v>
      </c>
      <c r="C15" s="26" t="n">
        <v>163</v>
      </c>
      <c r="D15" s="26" t="n">
        <v>154</v>
      </c>
      <c r="E15" s="28" t="n">
        <f aca="false">IF(C15=0,"",D15/C15)</f>
        <v>0.94478527607362</v>
      </c>
      <c r="F15" s="40" t="n">
        <v>0.1578</v>
      </c>
      <c r="G15" s="40" t="n">
        <v>0.1765</v>
      </c>
      <c r="H15" s="9" t="s">
        <v>385</v>
      </c>
      <c r="I15" s="40" t="n">
        <v>-0.0448</v>
      </c>
      <c r="J15" s="9" t="s">
        <v>242</v>
      </c>
      <c r="K15" s="40" t="n">
        <v>-0.0195</v>
      </c>
      <c r="L15" s="9" t="s">
        <v>243</v>
      </c>
      <c r="M15" s="40" t="n">
        <v>-0.0018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7"/>
    <col collapsed="false" customWidth="true" hidden="false" outlineLevel="0" max="17" min="16" style="0" width="9"/>
  </cols>
  <sheetData>
    <row r="1" customFormat="false" ht="15" hidden="false" customHeight="false" outlineLevel="0" collapsed="false">
      <c r="A1" s="3" t="s">
        <v>754</v>
      </c>
    </row>
    <row r="2" customFormat="false" ht="15" hidden="false" customHeight="false" outlineLevel="0" collapsed="false">
      <c r="A2" s="47" t="s">
        <v>755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4" customFormat="false" ht="15" hidden="false" customHeight="false" outlineLevel="0" collapsed="false">
      <c r="A4" s="6" t="s">
        <v>756</v>
      </c>
      <c r="B4" s="6" t="s">
        <v>23</v>
      </c>
      <c r="C4" s="6"/>
      <c r="D4" s="6"/>
      <c r="E4" s="6"/>
      <c r="F4" s="6" t="s">
        <v>62</v>
      </c>
      <c r="G4" s="6"/>
      <c r="H4" s="6"/>
      <c r="I4" s="6"/>
      <c r="J4" s="6" t="s">
        <v>87</v>
      </c>
      <c r="K4" s="6"/>
      <c r="L4" s="6"/>
      <c r="M4" s="6"/>
      <c r="N4" s="6" t="s">
        <v>109</v>
      </c>
      <c r="O4" s="6"/>
      <c r="P4" s="6"/>
      <c r="Q4" s="6"/>
    </row>
    <row r="5" customFormat="false" ht="42" hidden="false" customHeight="true" outlineLevel="0" collapsed="false">
      <c r="A5" s="7" t="s">
        <v>756</v>
      </c>
      <c r="B5" s="7" t="s">
        <v>138</v>
      </c>
      <c r="C5" s="7" t="s">
        <v>744</v>
      </c>
      <c r="D5" s="7" t="s">
        <v>757</v>
      </c>
      <c r="E5" s="7" t="s">
        <v>54</v>
      </c>
      <c r="F5" s="7" t="s">
        <v>138</v>
      </c>
      <c r="G5" s="7" t="s">
        <v>744</v>
      </c>
      <c r="H5" s="7" t="s">
        <v>757</v>
      </c>
      <c r="I5" s="7" t="s">
        <v>54</v>
      </c>
      <c r="J5" s="7" t="s">
        <v>138</v>
      </c>
      <c r="K5" s="7" t="s">
        <v>744</v>
      </c>
      <c r="L5" s="7" t="s">
        <v>757</v>
      </c>
      <c r="M5" s="7" t="s">
        <v>54</v>
      </c>
      <c r="N5" s="7" t="s">
        <v>138</v>
      </c>
      <c r="O5" s="7" t="s">
        <v>744</v>
      </c>
      <c r="P5" s="7" t="s">
        <v>757</v>
      </c>
      <c r="Q5" s="7" t="s">
        <v>54</v>
      </c>
    </row>
    <row r="6" customFormat="false" ht="15" hidden="false" customHeight="false" outlineLevel="0" collapsed="false">
      <c r="A6" s="10" t="s">
        <v>758</v>
      </c>
      <c r="B6" s="26" t="n">
        <v>0</v>
      </c>
      <c r="C6" s="28" t="n">
        <f aca="false">IF(SUM(B$6:B$29)=0,"",B6/SUM(B$6:B$29))</f>
        <v>0</v>
      </c>
      <c r="D6" s="27"/>
      <c r="E6" s="40"/>
      <c r="F6" s="26" t="n">
        <v>73</v>
      </c>
      <c r="G6" s="28" t="n">
        <f aca="false">IF(SUM(F$6:F$29)=0,"",F6/SUM(F$6:F$29))</f>
        <v>0.0104915205518827</v>
      </c>
      <c r="H6" s="27" t="n">
        <v>0.0678</v>
      </c>
      <c r="I6" s="45" t="n">
        <v>-0.2048</v>
      </c>
      <c r="J6" s="26" t="n">
        <v>90</v>
      </c>
      <c r="K6" s="28" t="n">
        <f aca="false">IF(SUM(J$6:J$29)=0,"",J6/SUM(J$6:J$29))</f>
        <v>0.0284001262227832</v>
      </c>
      <c r="L6" s="27" t="n">
        <v>0.039</v>
      </c>
      <c r="M6" s="45" t="n">
        <v>-0.0056</v>
      </c>
      <c r="N6" s="26" t="n">
        <v>26</v>
      </c>
      <c r="O6" s="28" t="n">
        <f aca="false">IF(SUM(N$6:N$29)=0,"",N6/SUM(N$6:N$29))</f>
        <v>0.0294117647058824</v>
      </c>
      <c r="P6" s="27" t="n">
        <v>0.0152</v>
      </c>
      <c r="Q6" s="44" t="n">
        <v>0.2541</v>
      </c>
    </row>
    <row r="7" customFormat="false" ht="15" hidden="false" customHeight="false" outlineLevel="0" collapsed="false">
      <c r="A7" s="10" t="s">
        <v>759</v>
      </c>
      <c r="B7" s="26" t="n">
        <v>0</v>
      </c>
      <c r="C7" s="28" t="n">
        <f aca="false">IF(SUM(B$6:B$29)=0,"",B7/SUM(B$6:B$29))</f>
        <v>0</v>
      </c>
      <c r="D7" s="27"/>
      <c r="E7" s="40"/>
      <c r="F7" s="26" t="n">
        <v>59</v>
      </c>
      <c r="G7" s="28" t="n">
        <f aca="false">IF(SUM(F$6:F$29)=0,"",F7/SUM(F$6:F$29))</f>
        <v>0.00847944811727508</v>
      </c>
      <c r="H7" s="27" t="n">
        <v>0.0938</v>
      </c>
      <c r="I7" s="44" t="n">
        <v>0.1265</v>
      </c>
      <c r="J7" s="26" t="n">
        <v>70</v>
      </c>
      <c r="K7" s="28" t="n">
        <f aca="false">IF(SUM(J$6:J$29)=0,"",J7/SUM(J$6:J$29))</f>
        <v>0.0220889870621647</v>
      </c>
      <c r="L7" s="27" t="n">
        <v>0.0316</v>
      </c>
      <c r="M7" s="44" t="n">
        <v>0.2113</v>
      </c>
      <c r="N7" s="26" t="n">
        <v>18</v>
      </c>
      <c r="O7" s="28" t="n">
        <f aca="false">IF(SUM(N$6:N$29)=0,"",N7/SUM(N$6:N$29))</f>
        <v>0.0203619909502262</v>
      </c>
      <c r="P7" s="27" t="n">
        <v>0.0188</v>
      </c>
      <c r="Q7" s="45" t="n">
        <v>-0.0188</v>
      </c>
    </row>
    <row r="8" customFormat="false" ht="15" hidden="false" customHeight="false" outlineLevel="0" collapsed="false">
      <c r="A8" s="10" t="s">
        <v>760</v>
      </c>
      <c r="B8" s="26" t="n">
        <v>0</v>
      </c>
      <c r="C8" s="28" t="n">
        <f aca="false">IF(SUM(B$6:B$29)=0,"",B8/SUM(B$6:B$29))</f>
        <v>0</v>
      </c>
      <c r="D8" s="27"/>
      <c r="E8" s="40"/>
      <c r="F8" s="26" t="n">
        <v>30</v>
      </c>
      <c r="G8" s="28" t="n">
        <f aca="false">IF(SUM(F$6:F$29)=0,"",F8/SUM(F$6:F$29))</f>
        <v>0.00431158378844496</v>
      </c>
      <c r="H8" s="27" t="n">
        <v>0.1647</v>
      </c>
      <c r="I8" s="45" t="n">
        <v>-0.1647</v>
      </c>
      <c r="J8" s="26" t="n">
        <v>28</v>
      </c>
      <c r="K8" s="28" t="n">
        <f aca="false">IF(SUM(J$6:J$29)=0,"",J8/SUM(J$6:J$29))</f>
        <v>0.00883559482486589</v>
      </c>
      <c r="L8" s="27" t="n">
        <v>0.0544</v>
      </c>
      <c r="M8" s="45" t="n">
        <v>-0.3044</v>
      </c>
      <c r="N8" s="26" t="n">
        <v>5</v>
      </c>
      <c r="O8" s="28" t="n">
        <f aca="false">IF(SUM(N$6:N$29)=0,"",N8/SUM(N$6:N$29))</f>
        <v>0.00565610859728507</v>
      </c>
      <c r="P8" s="27" t="n">
        <v>0.0161</v>
      </c>
      <c r="Q8" s="44" t="n">
        <v>0.1839</v>
      </c>
    </row>
    <row r="9" customFormat="false" ht="15" hidden="false" customHeight="false" outlineLevel="0" collapsed="false">
      <c r="A9" s="10" t="s">
        <v>761</v>
      </c>
      <c r="B9" s="26" t="n">
        <v>692</v>
      </c>
      <c r="C9" s="28" t="n">
        <f aca="false">IF(SUM(B$6:B$29)=0,"",B9/SUM(B$6:B$29))</f>
        <v>0.0931986531986532</v>
      </c>
      <c r="D9" s="27" t="n">
        <v>0.5541</v>
      </c>
      <c r="E9" s="45" t="n">
        <v>-0.739</v>
      </c>
      <c r="F9" s="26" t="n">
        <v>96</v>
      </c>
      <c r="G9" s="28" t="n">
        <f aca="false">IF(SUM(F$6:F$29)=0,"",F9/SUM(F$6:F$29))</f>
        <v>0.0137970681230239</v>
      </c>
      <c r="H9" s="27" t="n">
        <v>0.1462</v>
      </c>
      <c r="I9" s="45" t="n">
        <v>-0.3962</v>
      </c>
      <c r="J9" s="26" t="n">
        <v>38</v>
      </c>
      <c r="K9" s="28" t="n">
        <f aca="false">IF(SUM(J$6:J$29)=0,"",J9/SUM(J$6:J$29))</f>
        <v>0.0119911644051751</v>
      </c>
      <c r="L9" s="27" t="n">
        <v>0.0746</v>
      </c>
      <c r="M9" s="44" t="n">
        <v>0.1096</v>
      </c>
      <c r="N9" s="26" t="n">
        <v>9</v>
      </c>
      <c r="O9" s="28" t="n">
        <f aca="false">IF(SUM(N$6:N$29)=0,"",N9/SUM(N$6:N$29))</f>
        <v>0.0101809954751131</v>
      </c>
      <c r="P9" s="27" t="n">
        <v>0.0242</v>
      </c>
      <c r="Q9" s="45" t="n">
        <v>-0.3576</v>
      </c>
    </row>
    <row r="10" customFormat="false" ht="15" hidden="false" customHeight="false" outlineLevel="0" collapsed="false">
      <c r="A10" s="10" t="s">
        <v>762</v>
      </c>
      <c r="B10" s="26" t="n">
        <v>1558</v>
      </c>
      <c r="C10" s="28" t="n">
        <f aca="false">IF(SUM(B$6:B$29)=0,"",B10/SUM(B$6:B$29))</f>
        <v>0.20983164983165</v>
      </c>
      <c r="D10" s="27" t="n">
        <v>0.5815</v>
      </c>
      <c r="E10" s="45" t="n">
        <v>-0.6707</v>
      </c>
      <c r="F10" s="26" t="n">
        <v>283</v>
      </c>
      <c r="G10" s="28" t="n">
        <f aca="false">IF(SUM(F$6:F$29)=0,"",F10/SUM(F$6:F$29))</f>
        <v>0.0406726070709974</v>
      </c>
      <c r="H10" s="27" t="n">
        <v>0.2008</v>
      </c>
      <c r="I10" s="45" t="n">
        <v>-0.2785</v>
      </c>
      <c r="J10" s="26" t="n">
        <v>39</v>
      </c>
      <c r="K10" s="28" t="n">
        <f aca="false">IF(SUM(J$6:J$29)=0,"",J10/SUM(J$6:J$29))</f>
        <v>0.0123067213632061</v>
      </c>
      <c r="L10" s="27" t="n">
        <v>0.0517</v>
      </c>
      <c r="M10" s="44" t="n">
        <v>0.179</v>
      </c>
      <c r="N10" s="26" t="n">
        <v>14</v>
      </c>
      <c r="O10" s="28" t="n">
        <f aca="false">IF(SUM(N$6:N$29)=0,"",N10/SUM(N$6:N$29))</f>
        <v>0.0158371040723982</v>
      </c>
      <c r="P10" s="27" t="n">
        <v>0.0196</v>
      </c>
      <c r="Q10" s="45" t="n">
        <v>-0.1625</v>
      </c>
    </row>
    <row r="11" customFormat="false" ht="15" hidden="false" customHeight="false" outlineLevel="0" collapsed="false">
      <c r="A11" s="10" t="s">
        <v>763</v>
      </c>
      <c r="B11" s="26" t="n">
        <v>2161</v>
      </c>
      <c r="C11" s="28" t="n">
        <f aca="false">IF(SUM(B$6:B$29)=0,"",B11/SUM(B$6:B$29))</f>
        <v>0.291043771043771</v>
      </c>
      <c r="D11" s="27" t="n">
        <v>0.4262</v>
      </c>
      <c r="E11" s="45" t="n">
        <v>-0.4892</v>
      </c>
      <c r="F11" s="26" t="n">
        <v>567</v>
      </c>
      <c r="G11" s="28" t="n">
        <f aca="false">IF(SUM(F$6:F$29)=0,"",F11/SUM(F$6:F$29))</f>
        <v>0.0814889336016097</v>
      </c>
      <c r="H11" s="27" t="n">
        <v>0.205</v>
      </c>
      <c r="I11" s="45" t="n">
        <v>-0.2103</v>
      </c>
      <c r="J11" s="26" t="n">
        <v>122</v>
      </c>
      <c r="K11" s="28" t="n">
        <f aca="false">IF(SUM(J$6:J$29)=0,"",J11/SUM(J$6:J$29))</f>
        <v>0.0384979488797728</v>
      </c>
      <c r="L11" s="27" t="n">
        <v>0.0771</v>
      </c>
      <c r="M11" s="45" t="n">
        <v>-0.241</v>
      </c>
      <c r="N11" s="26" t="n">
        <v>14</v>
      </c>
      <c r="O11" s="28" t="n">
        <f aca="false">IF(SUM(N$6:N$29)=0,"",N11/SUM(N$6:N$29))</f>
        <v>0.0158371040723982</v>
      </c>
      <c r="P11" s="27" t="n">
        <v>0.0115</v>
      </c>
      <c r="Q11" s="44" t="n">
        <v>0.4885</v>
      </c>
    </row>
    <row r="12" customFormat="false" ht="15" hidden="false" customHeight="false" outlineLevel="0" collapsed="false">
      <c r="A12" s="10" t="s">
        <v>764</v>
      </c>
      <c r="B12" s="26" t="n">
        <v>1657</v>
      </c>
      <c r="C12" s="28" t="n">
        <f aca="false">IF(SUM(B$6:B$29)=0,"",B12/SUM(B$6:B$29))</f>
        <v>0.223164983164983</v>
      </c>
      <c r="D12" s="27" t="n">
        <v>0.2773</v>
      </c>
      <c r="E12" s="45" t="n">
        <v>-0.2815</v>
      </c>
      <c r="F12" s="26" t="n">
        <v>697</v>
      </c>
      <c r="G12" s="28" t="n">
        <f aca="false">IF(SUM(F$6:F$29)=0,"",F12/SUM(F$6:F$29))</f>
        <v>0.100172463351538</v>
      </c>
      <c r="H12" s="27" t="n">
        <v>0.1422</v>
      </c>
      <c r="I12" s="45" t="n">
        <v>-0.1006</v>
      </c>
      <c r="J12" s="26" t="n">
        <v>215</v>
      </c>
      <c r="K12" s="28" t="n">
        <f aca="false">IF(SUM(J$6:J$29)=0,"",J12/SUM(J$6:J$29))</f>
        <v>0.0678447459766488</v>
      </c>
      <c r="L12" s="27" t="n">
        <v>0.0853</v>
      </c>
      <c r="M12" s="44" t="n">
        <v>0.0728</v>
      </c>
      <c r="N12" s="26" t="n">
        <v>30</v>
      </c>
      <c r="O12" s="28" t="n">
        <f aca="false">IF(SUM(N$6:N$29)=0,"",N12/SUM(N$6:N$29))</f>
        <v>0.0339366515837104</v>
      </c>
      <c r="P12" s="27" t="n">
        <v>0.0245</v>
      </c>
      <c r="Q12" s="44" t="n">
        <v>0.2755</v>
      </c>
    </row>
    <row r="13" customFormat="false" ht="15" hidden="false" customHeight="false" outlineLevel="0" collapsed="false">
      <c r="A13" s="10" t="s">
        <v>765</v>
      </c>
      <c r="B13" s="26" t="n">
        <v>721</v>
      </c>
      <c r="C13" s="28" t="n">
        <f aca="false">IF(SUM(B$6:B$29)=0,"",B13/SUM(B$6:B$29))</f>
        <v>0.0971043771043771</v>
      </c>
      <c r="D13" s="27" t="n">
        <v>0.227</v>
      </c>
      <c r="E13" s="45" t="n">
        <v>-0.22</v>
      </c>
      <c r="F13" s="26" t="n">
        <v>511</v>
      </c>
      <c r="G13" s="28" t="n">
        <f aca="false">IF(SUM(F$6:F$29)=0,"",F13/SUM(F$6:F$29))</f>
        <v>0.0734406438631791</v>
      </c>
      <c r="H13" s="27" t="n">
        <v>0.1137</v>
      </c>
      <c r="I13" s="45" t="n">
        <v>-0.1098</v>
      </c>
      <c r="J13" s="26" t="n">
        <v>219</v>
      </c>
      <c r="K13" s="28" t="n">
        <f aca="false">IF(SUM(J$6:J$29)=0,"",J13/SUM(J$6:J$29))</f>
        <v>0.0691069738087725</v>
      </c>
      <c r="L13" s="27" t="n">
        <v>0.0629</v>
      </c>
      <c r="M13" s="45" t="n">
        <v>-0.1177</v>
      </c>
      <c r="N13" s="26" t="n">
        <v>51</v>
      </c>
      <c r="O13" s="28" t="n">
        <f aca="false">IF(SUM(N$6:N$29)=0,"",N13/SUM(N$6:N$29))</f>
        <v>0.0576923076923077</v>
      </c>
      <c r="P13" s="27" t="n">
        <v>0.0265</v>
      </c>
      <c r="Q13" s="45" t="n">
        <v>-0.4971</v>
      </c>
    </row>
    <row r="14" customFormat="false" ht="15" hidden="false" customHeight="false" outlineLevel="0" collapsed="false">
      <c r="A14" s="10" t="s">
        <v>766</v>
      </c>
      <c r="B14" s="26" t="n">
        <v>376</v>
      </c>
      <c r="C14" s="28" t="n">
        <f aca="false">IF(SUM(B$6:B$29)=0,"",B14/SUM(B$6:B$29))</f>
        <v>0.0506397306397306</v>
      </c>
      <c r="D14" s="27" t="n">
        <v>0.259</v>
      </c>
      <c r="E14" s="45" t="n">
        <v>-0.3015</v>
      </c>
      <c r="F14" s="26" t="n">
        <v>401</v>
      </c>
      <c r="G14" s="28" t="n">
        <f aca="false">IF(SUM(F$6:F$29)=0,"",F14/SUM(F$6:F$29))</f>
        <v>0.0576315033055476</v>
      </c>
      <c r="H14" s="27" t="n">
        <v>0.1105</v>
      </c>
      <c r="I14" s="45" t="n">
        <v>-0.0033</v>
      </c>
      <c r="J14" s="26" t="n">
        <v>133</v>
      </c>
      <c r="K14" s="28" t="n">
        <f aca="false">IF(SUM(J$6:J$29)=0,"",J14/SUM(J$6:J$29))</f>
        <v>0.041969075418113</v>
      </c>
      <c r="L14" s="27" t="n">
        <v>0.0712</v>
      </c>
      <c r="M14" s="45" t="n">
        <v>-0.0561</v>
      </c>
      <c r="N14" s="26" t="n">
        <v>46</v>
      </c>
      <c r="O14" s="28" t="n">
        <f aca="false">IF(SUM(N$6:N$29)=0,"",N14/SUM(N$6:N$29))</f>
        <v>0.0520361990950226</v>
      </c>
      <c r="P14" s="27" t="n">
        <v>0.0271</v>
      </c>
      <c r="Q14" s="45" t="n">
        <v>-0.3097</v>
      </c>
    </row>
    <row r="15" customFormat="false" ht="15" hidden="false" customHeight="false" outlineLevel="0" collapsed="false">
      <c r="A15" s="10" t="s">
        <v>767</v>
      </c>
      <c r="B15" s="26" t="n">
        <v>139</v>
      </c>
      <c r="C15" s="28" t="n">
        <f aca="false">IF(SUM(B$6:B$29)=0,"",B15/SUM(B$6:B$29))</f>
        <v>0.0187205387205387</v>
      </c>
      <c r="D15" s="27" t="n">
        <v>0.2952</v>
      </c>
      <c r="E15" s="45" t="n">
        <v>-0.3023</v>
      </c>
      <c r="F15" s="26" t="n">
        <v>298</v>
      </c>
      <c r="G15" s="28" t="n">
        <f aca="false">IF(SUM(F$6:F$29)=0,"",F15/SUM(F$6:F$29))</f>
        <v>0.0428283989652199</v>
      </c>
      <c r="H15" s="27" t="n">
        <v>0.1182</v>
      </c>
      <c r="I15" s="45" t="n">
        <v>-0.041</v>
      </c>
      <c r="J15" s="26" t="n">
        <v>107</v>
      </c>
      <c r="K15" s="28" t="n">
        <f aca="false">IF(SUM(J$6:J$29)=0,"",J15/SUM(J$6:J$29))</f>
        <v>0.0337645945093089</v>
      </c>
      <c r="L15" s="27" t="n">
        <v>0.0664</v>
      </c>
      <c r="M15" s="45" t="n">
        <v>-0.0851</v>
      </c>
      <c r="N15" s="26" t="n">
        <v>25</v>
      </c>
      <c r="O15" s="28" t="n">
        <f aca="false">IF(SUM(N$6:N$29)=0,"",N15/SUM(N$6:N$29))</f>
        <v>0.0282805429864253</v>
      </c>
      <c r="P15" s="27" t="n">
        <v>0.0333</v>
      </c>
      <c r="Q15" s="44" t="n">
        <v>0.4067</v>
      </c>
    </row>
    <row r="16" customFormat="false" ht="15" hidden="false" customHeight="false" outlineLevel="0" collapsed="false">
      <c r="A16" s="10" t="s">
        <v>768</v>
      </c>
      <c r="B16" s="26" t="n">
        <v>65</v>
      </c>
      <c r="C16" s="28" t="n">
        <f aca="false">IF(SUM(B$6:B$29)=0,"",B16/SUM(B$6:B$29))</f>
        <v>0.00875420875420875</v>
      </c>
      <c r="D16" s="27" t="n">
        <v>0.3683</v>
      </c>
      <c r="E16" s="45" t="n">
        <v>-0.1222</v>
      </c>
      <c r="F16" s="26" t="n">
        <v>312</v>
      </c>
      <c r="G16" s="28" t="n">
        <f aca="false">IF(SUM(F$6:F$29)=0,"",F16/SUM(F$6:F$29))</f>
        <v>0.0448404713998275</v>
      </c>
      <c r="H16" s="27" t="n">
        <v>0.1397</v>
      </c>
      <c r="I16" s="45" t="n">
        <v>-0.0724</v>
      </c>
      <c r="J16" s="26" t="n">
        <v>96</v>
      </c>
      <c r="K16" s="28" t="n">
        <f aca="false">IF(SUM(J$6:J$29)=0,"",J16/SUM(J$6:J$29))</f>
        <v>0.0302934679709688</v>
      </c>
      <c r="L16" s="27" t="n">
        <v>0.0688</v>
      </c>
      <c r="M16" s="45" t="n">
        <v>-0.0688</v>
      </c>
      <c r="N16" s="26" t="n">
        <v>33</v>
      </c>
      <c r="O16" s="28" t="n">
        <f aca="false">IF(SUM(N$6:N$29)=0,"",N16/SUM(N$6:N$29))</f>
        <v>0.0373303167420815</v>
      </c>
      <c r="P16" s="27" t="n">
        <v>0.0199</v>
      </c>
      <c r="Q16" s="45" t="n">
        <v>-0.1108</v>
      </c>
    </row>
    <row r="17" customFormat="false" ht="15" hidden="false" customHeight="false" outlineLevel="0" collapsed="false">
      <c r="A17" s="10" t="s">
        <v>769</v>
      </c>
      <c r="B17" s="26" t="n">
        <v>33</v>
      </c>
      <c r="C17" s="28" t="n">
        <f aca="false">IF(SUM(B$6:B$29)=0,"",B17/SUM(B$6:B$29))</f>
        <v>0.00444444444444444</v>
      </c>
      <c r="D17" s="27" t="n">
        <v>0.1977</v>
      </c>
      <c r="E17" s="45" t="n">
        <v>-0.1068</v>
      </c>
      <c r="F17" s="26" t="n">
        <v>486</v>
      </c>
      <c r="G17" s="28" t="n">
        <f aca="false">IF(SUM(F$6:F$29)=0,"",F17/SUM(F$6:F$29))</f>
        <v>0.0698476573728083</v>
      </c>
      <c r="H17" s="27" t="n">
        <v>0.104</v>
      </c>
      <c r="I17" s="45" t="n">
        <v>-0.1101</v>
      </c>
      <c r="J17" s="26" t="n">
        <v>179</v>
      </c>
      <c r="K17" s="28" t="n">
        <f aca="false">IF(SUM(J$6:J$29)=0,"",J17/SUM(J$6:J$29))</f>
        <v>0.0564846954875355</v>
      </c>
      <c r="L17" s="27" t="n">
        <v>0.0578</v>
      </c>
      <c r="M17" s="45" t="n">
        <v>-0.0689</v>
      </c>
      <c r="N17" s="26" t="n">
        <v>58</v>
      </c>
      <c r="O17" s="28" t="n">
        <f aca="false">IF(SUM(N$6:N$29)=0,"",N17/SUM(N$6:N$29))</f>
        <v>0.0656108597285068</v>
      </c>
      <c r="P17" s="27" t="n">
        <v>0.0224</v>
      </c>
      <c r="Q17" s="44" t="n">
        <v>0.0121</v>
      </c>
    </row>
    <row r="18" customFormat="false" ht="15" hidden="false" customHeight="false" outlineLevel="0" collapsed="false">
      <c r="A18" s="10" t="s">
        <v>770</v>
      </c>
      <c r="B18" s="26" t="n">
        <v>10</v>
      </c>
      <c r="C18" s="28" t="n">
        <f aca="false">IF(SUM(B$6:B$29)=0,"",B18/SUM(B$6:B$29))</f>
        <v>0.00134680134680135</v>
      </c>
      <c r="D18" s="27" t="n">
        <v>0.1408</v>
      </c>
      <c r="E18" s="45" t="n">
        <v>-0.5408</v>
      </c>
      <c r="F18" s="26" t="n">
        <v>446</v>
      </c>
      <c r="G18" s="28" t="n">
        <f aca="false">IF(SUM(F$6:F$29)=0,"",F18/SUM(F$6:F$29))</f>
        <v>0.064098878988215</v>
      </c>
      <c r="H18" s="27" t="n">
        <v>0.0875</v>
      </c>
      <c r="I18" s="45" t="n">
        <v>-0.1055</v>
      </c>
      <c r="J18" s="26" t="n">
        <v>170</v>
      </c>
      <c r="K18" s="28" t="n">
        <f aca="false">IF(SUM(J$6:J$29)=0,"",J18/SUM(J$6:J$29))</f>
        <v>0.0536446828652572</v>
      </c>
      <c r="L18" s="27" t="n">
        <v>0.054</v>
      </c>
      <c r="M18" s="45" t="n">
        <v>-0.0129</v>
      </c>
      <c r="N18" s="26" t="n">
        <v>43</v>
      </c>
      <c r="O18" s="28" t="n">
        <f aca="false">IF(SUM(N$6:N$29)=0,"",N18/SUM(N$6:N$29))</f>
        <v>0.0486425339366516</v>
      </c>
      <c r="P18" s="27" t="n">
        <v>0.0203</v>
      </c>
      <c r="Q18" s="44" t="n">
        <v>0.2356</v>
      </c>
    </row>
    <row r="19" customFormat="false" ht="15" hidden="false" customHeight="false" outlineLevel="0" collapsed="false">
      <c r="A19" s="10" t="s">
        <v>771</v>
      </c>
      <c r="B19" s="26" t="n">
        <v>8</v>
      </c>
      <c r="C19" s="28" t="n">
        <f aca="false">IF(SUM(B$6:B$29)=0,"",B19/SUM(B$6:B$29))</f>
        <v>0.00107744107744108</v>
      </c>
      <c r="D19" s="27" t="n">
        <v>0.1106</v>
      </c>
      <c r="E19" s="44" t="n">
        <v>0.7644</v>
      </c>
      <c r="F19" s="26" t="n">
        <v>438</v>
      </c>
      <c r="G19" s="28" t="n">
        <f aca="false">IF(SUM(F$6:F$29)=0,"",F19/SUM(F$6:F$29))</f>
        <v>0.0629491233112964</v>
      </c>
      <c r="H19" s="27" t="n">
        <v>0.0743</v>
      </c>
      <c r="I19" s="45" t="n">
        <v>-0.0674</v>
      </c>
      <c r="J19" s="26" t="n">
        <v>168</v>
      </c>
      <c r="K19" s="28" t="n">
        <f aca="false">IF(SUM(J$6:J$29)=0,"",J19/SUM(J$6:J$29))</f>
        <v>0.0530135689491953</v>
      </c>
      <c r="L19" s="27" t="n">
        <v>0.051</v>
      </c>
      <c r="M19" s="45" t="n">
        <v>-0.0332</v>
      </c>
      <c r="N19" s="26" t="n">
        <v>45</v>
      </c>
      <c r="O19" s="28" t="n">
        <f aca="false">IF(SUM(N$6:N$29)=0,"",N19/SUM(N$6:N$29))</f>
        <v>0.0509049773755656</v>
      </c>
      <c r="P19" s="27" t="n">
        <v>0.0283</v>
      </c>
      <c r="Q19" s="45" t="n">
        <v>-0.1616</v>
      </c>
    </row>
    <row r="20" customFormat="false" ht="15" hidden="false" customHeight="false" outlineLevel="0" collapsed="false">
      <c r="A20" s="10" t="s">
        <v>772</v>
      </c>
      <c r="B20" s="26" t="n">
        <v>3</v>
      </c>
      <c r="C20" s="28" t="n">
        <f aca="false">IF(SUM(B$6:B$29)=0,"",B20/SUM(B$6:B$29))</f>
        <v>0.000404040404040404</v>
      </c>
      <c r="D20" s="27" t="n">
        <v>0.0647</v>
      </c>
      <c r="E20" s="45" t="n">
        <v>-1.0647</v>
      </c>
      <c r="F20" s="26" t="n">
        <v>339</v>
      </c>
      <c r="G20" s="28" t="n">
        <f aca="false">IF(SUM(F$6:F$29)=0,"",F20/SUM(F$6:F$29))</f>
        <v>0.048720896809428</v>
      </c>
      <c r="H20" s="27" t="n">
        <v>0.07</v>
      </c>
      <c r="I20" s="45" t="n">
        <v>-0.0258</v>
      </c>
      <c r="J20" s="26" t="n">
        <v>151</v>
      </c>
      <c r="K20" s="28" t="n">
        <f aca="false">IF(SUM(J$6:J$29)=0,"",J20/SUM(J$6:J$29))</f>
        <v>0.0476491006626696</v>
      </c>
      <c r="L20" s="27" t="n">
        <v>0.0477</v>
      </c>
      <c r="M20" s="45" t="n">
        <v>-0.1139</v>
      </c>
      <c r="N20" s="26" t="n">
        <v>35</v>
      </c>
      <c r="O20" s="28" t="n">
        <f aca="false">IF(SUM(N$6:N$29)=0,"",N20/SUM(N$6:N$29))</f>
        <v>0.0395927601809955</v>
      </c>
      <c r="P20" s="27" t="n">
        <v>0.0178</v>
      </c>
      <c r="Q20" s="44" t="n">
        <v>0.1822</v>
      </c>
    </row>
    <row r="21" customFormat="false" ht="15" hidden="false" customHeight="false" outlineLevel="0" collapsed="false">
      <c r="A21" s="10" t="s">
        <v>773</v>
      </c>
      <c r="B21" s="26" t="n">
        <v>2</v>
      </c>
      <c r="C21" s="28" t="n">
        <f aca="false">IF(SUM(B$6:B$29)=0,"",B21/SUM(B$6:B$29))</f>
        <v>0.000269360269360269</v>
      </c>
      <c r="D21" s="27" t="n">
        <v>0.1123</v>
      </c>
      <c r="E21" s="44" t="n">
        <v>0.3877</v>
      </c>
      <c r="F21" s="26" t="n">
        <v>276</v>
      </c>
      <c r="G21" s="28" t="n">
        <f aca="false">IF(SUM(F$6:F$29)=0,"",F21/SUM(F$6:F$29))</f>
        <v>0.0396665708536936</v>
      </c>
      <c r="H21" s="27" t="n">
        <v>0.0741</v>
      </c>
      <c r="I21" s="45" t="n">
        <v>-0.2698</v>
      </c>
      <c r="J21" s="26" t="n">
        <v>130</v>
      </c>
      <c r="K21" s="28" t="n">
        <f aca="false">IF(SUM(J$6:J$29)=0,"",J21/SUM(J$6:J$29))</f>
        <v>0.0410224045440202</v>
      </c>
      <c r="L21" s="27" t="n">
        <v>0.0461</v>
      </c>
      <c r="M21" s="45" t="n">
        <v>-0.1923</v>
      </c>
      <c r="N21" s="26" t="n">
        <v>41</v>
      </c>
      <c r="O21" s="28" t="n">
        <f aca="false">IF(SUM(N$6:N$29)=0,"",N21/SUM(N$6:N$29))</f>
        <v>0.0463800904977376</v>
      </c>
      <c r="P21" s="27" t="n">
        <v>0.0232</v>
      </c>
      <c r="Q21" s="45" t="n">
        <v>-0.4378</v>
      </c>
    </row>
    <row r="22" customFormat="false" ht="15" hidden="false" customHeight="false" outlineLevel="0" collapsed="false">
      <c r="A22" s="10" t="s">
        <v>774</v>
      </c>
      <c r="B22" s="26" t="n">
        <v>0</v>
      </c>
      <c r="C22" s="28" t="n">
        <f aca="false">IF(SUM(B$6:B$29)=0,"",B22/SUM(B$6:B$29))</f>
        <v>0</v>
      </c>
      <c r="D22" s="27"/>
      <c r="E22" s="40"/>
      <c r="F22" s="26" t="n">
        <v>256</v>
      </c>
      <c r="G22" s="28" t="n">
        <f aca="false">IF(SUM(F$6:F$29)=0,"",F22/SUM(F$6:F$29))</f>
        <v>0.036792181661397</v>
      </c>
      <c r="H22" s="27" t="n">
        <v>0.0837</v>
      </c>
      <c r="I22" s="45" t="n">
        <v>-0.2634</v>
      </c>
      <c r="J22" s="26" t="n">
        <v>123</v>
      </c>
      <c r="K22" s="28" t="n">
        <f aca="false">IF(SUM(J$6:J$29)=0,"",J22/SUM(J$6:J$29))</f>
        <v>0.0388135058378037</v>
      </c>
      <c r="L22" s="27" t="n">
        <v>0.0495</v>
      </c>
      <c r="M22" s="45" t="n">
        <v>-0.2447</v>
      </c>
      <c r="N22" s="26" t="n">
        <v>37</v>
      </c>
      <c r="O22" s="28" t="n">
        <f aca="false">IF(SUM(N$6:N$29)=0,"",N22/SUM(N$6:N$29))</f>
        <v>0.0418552036199095</v>
      </c>
      <c r="P22" s="27" t="n">
        <v>0.0246</v>
      </c>
      <c r="Q22" s="45" t="n">
        <v>-0.3759</v>
      </c>
    </row>
    <row r="23" customFormat="false" ht="15" hidden="false" customHeight="false" outlineLevel="0" collapsed="false">
      <c r="A23" s="10" t="s">
        <v>775</v>
      </c>
      <c r="B23" s="26" t="n">
        <v>0</v>
      </c>
      <c r="C23" s="28" t="n">
        <f aca="false">IF(SUM(B$6:B$29)=0,"",B23/SUM(B$6:B$29))</f>
        <v>0</v>
      </c>
      <c r="D23" s="27"/>
      <c r="E23" s="40"/>
      <c r="F23" s="26" t="n">
        <v>304</v>
      </c>
      <c r="G23" s="28" t="n">
        <f aca="false">IF(SUM(F$6:F$29)=0,"",F23/SUM(F$6:F$29))</f>
        <v>0.0436907157229089</v>
      </c>
      <c r="H23" s="27" t="n">
        <v>0.0771</v>
      </c>
      <c r="I23" s="45" t="n">
        <v>-0.2087</v>
      </c>
      <c r="J23" s="26" t="n">
        <v>164</v>
      </c>
      <c r="K23" s="28" t="n">
        <f aca="false">IF(SUM(J$6:J$29)=0,"",J23/SUM(J$6:J$29))</f>
        <v>0.0517513411170716</v>
      </c>
      <c r="L23" s="27" t="n">
        <v>0.0495</v>
      </c>
      <c r="M23" s="44" t="n">
        <v>0.1212</v>
      </c>
      <c r="N23" s="26" t="n">
        <v>58</v>
      </c>
      <c r="O23" s="28" t="n">
        <f aca="false">IF(SUM(N$6:N$29)=0,"",N23/SUM(N$6:N$29))</f>
        <v>0.0656108597285068</v>
      </c>
      <c r="P23" s="27" t="n">
        <v>0.023</v>
      </c>
      <c r="Q23" s="44" t="n">
        <v>0.2184</v>
      </c>
    </row>
    <row r="24" customFormat="false" ht="15" hidden="false" customHeight="false" outlineLevel="0" collapsed="false">
      <c r="A24" s="10" t="s">
        <v>776</v>
      </c>
      <c r="B24" s="26" t="n">
        <v>0</v>
      </c>
      <c r="C24" s="28" t="n">
        <f aca="false">IF(SUM(B$6:B$29)=0,"",B24/SUM(B$6:B$29))</f>
        <v>0</v>
      </c>
      <c r="D24" s="27"/>
      <c r="E24" s="40"/>
      <c r="F24" s="26" t="n">
        <v>289</v>
      </c>
      <c r="G24" s="28" t="n">
        <f aca="false">IF(SUM(F$6:F$29)=0,"",F24/SUM(F$6:F$29))</f>
        <v>0.0415349238286864</v>
      </c>
      <c r="H24" s="27" t="n">
        <v>0.0559</v>
      </c>
      <c r="I24" s="44" t="n">
        <v>0.0029</v>
      </c>
      <c r="J24" s="26" t="n">
        <v>190</v>
      </c>
      <c r="K24" s="28" t="n">
        <f aca="false">IF(SUM(J$6:J$29)=0,"",J24/SUM(J$6:J$29))</f>
        <v>0.0599558220258757</v>
      </c>
      <c r="L24" s="27" t="n">
        <v>0.0411</v>
      </c>
      <c r="M24" s="45" t="n">
        <v>-0.0463</v>
      </c>
      <c r="N24" s="26" t="n">
        <v>71</v>
      </c>
      <c r="O24" s="28" t="n">
        <f aca="false">IF(SUM(N$6:N$29)=0,"",N24/SUM(N$6:N$29))</f>
        <v>0.080316742081448</v>
      </c>
      <c r="P24" s="27" t="n">
        <v>0.023</v>
      </c>
      <c r="Q24" s="44" t="n">
        <v>0.1601</v>
      </c>
    </row>
    <row r="25" customFormat="false" ht="15" hidden="false" customHeight="false" outlineLevel="0" collapsed="false">
      <c r="A25" s="10" t="s">
        <v>777</v>
      </c>
      <c r="B25" s="26" t="n">
        <v>0</v>
      </c>
      <c r="C25" s="28" t="n">
        <f aca="false">IF(SUM(B$6:B$29)=0,"",B25/SUM(B$6:B$29))</f>
        <v>0</v>
      </c>
      <c r="D25" s="27"/>
      <c r="E25" s="40"/>
      <c r="F25" s="26" t="n">
        <v>294</v>
      </c>
      <c r="G25" s="28" t="n">
        <f aca="false">IF(SUM(F$6:F$29)=0,"",F25/SUM(F$6:F$29))</f>
        <v>0.0422535211267606</v>
      </c>
      <c r="H25" s="27" t="n">
        <v>0.0438</v>
      </c>
      <c r="I25" s="45" t="n">
        <v>-0.003</v>
      </c>
      <c r="J25" s="26" t="n">
        <v>244</v>
      </c>
      <c r="K25" s="28" t="n">
        <f aca="false">IF(SUM(J$6:J$29)=0,"",J25/SUM(J$6:J$29))</f>
        <v>0.0769958977595456</v>
      </c>
      <c r="L25" s="27" t="n">
        <v>0.0316</v>
      </c>
      <c r="M25" s="45" t="n">
        <v>-0.0357</v>
      </c>
      <c r="N25" s="26" t="n">
        <v>73</v>
      </c>
      <c r="O25" s="28" t="n">
        <f aca="false">IF(SUM(N$6:N$29)=0,"",N25/SUM(N$6:N$29))</f>
        <v>0.082579185520362</v>
      </c>
      <c r="P25" s="27" t="n">
        <v>0.0195</v>
      </c>
      <c r="Q25" s="45" t="n">
        <v>-0.2798</v>
      </c>
    </row>
    <row r="26" customFormat="false" ht="15" hidden="false" customHeight="false" outlineLevel="0" collapsed="false">
      <c r="A26" s="10" t="s">
        <v>778</v>
      </c>
      <c r="B26" s="26" t="n">
        <v>0</v>
      </c>
      <c r="C26" s="28" t="n">
        <f aca="false">IF(SUM(B$6:B$29)=0,"",B26/SUM(B$6:B$29))</f>
        <v>0</v>
      </c>
      <c r="D26" s="27"/>
      <c r="E26" s="40"/>
      <c r="F26" s="26" t="n">
        <v>196</v>
      </c>
      <c r="G26" s="28" t="n">
        <f aca="false">IF(SUM(F$6:F$29)=0,"",F26/SUM(F$6:F$29))</f>
        <v>0.028169014084507</v>
      </c>
      <c r="H26" s="27" t="n">
        <v>0.0405</v>
      </c>
      <c r="I26" s="44" t="n">
        <v>0.0462</v>
      </c>
      <c r="J26" s="26" t="n">
        <v>193</v>
      </c>
      <c r="K26" s="28" t="n">
        <f aca="false">IF(SUM(J$6:J$29)=0,"",J26/SUM(J$6:J$29))</f>
        <v>0.0609024928999684</v>
      </c>
      <c r="L26" s="27" t="n">
        <v>0.0275</v>
      </c>
      <c r="M26" s="44" t="n">
        <v>0.0917</v>
      </c>
      <c r="N26" s="26" t="n">
        <v>63</v>
      </c>
      <c r="O26" s="28" t="n">
        <f aca="false">IF(SUM(N$6:N$29)=0,"",N26/SUM(N$6:N$29))</f>
        <v>0.0712669683257919</v>
      </c>
      <c r="P26" s="27" t="n">
        <v>0.0191</v>
      </c>
      <c r="Q26" s="45" t="n">
        <v>-0.0191</v>
      </c>
    </row>
    <row r="27" customFormat="false" ht="15" hidden="false" customHeight="false" outlineLevel="0" collapsed="false">
      <c r="A27" s="10" t="s">
        <v>779</v>
      </c>
      <c r="B27" s="26" t="n">
        <v>0</v>
      </c>
      <c r="C27" s="28" t="n">
        <f aca="false">IF(SUM(B$6:B$29)=0,"",B27/SUM(B$6:B$29))</f>
        <v>0</v>
      </c>
      <c r="D27" s="27"/>
      <c r="E27" s="40"/>
      <c r="F27" s="26" t="n">
        <v>134</v>
      </c>
      <c r="G27" s="28" t="n">
        <f aca="false">IF(SUM(F$6:F$29)=0,"",F27/SUM(F$6:F$29))</f>
        <v>0.0192584075883875</v>
      </c>
      <c r="H27" s="27" t="n">
        <v>0.0459</v>
      </c>
      <c r="I27" s="44" t="n">
        <v>0.0063</v>
      </c>
      <c r="J27" s="26" t="n">
        <v>134</v>
      </c>
      <c r="K27" s="28" t="n">
        <f aca="false">IF(SUM(J$6:J$29)=0,"",J27/SUM(J$6:J$29))</f>
        <v>0.0422846323761439</v>
      </c>
      <c r="L27" s="27" t="n">
        <v>0.0267</v>
      </c>
      <c r="M27" s="45" t="n">
        <v>-0.3103</v>
      </c>
      <c r="N27" s="26" t="n">
        <v>36</v>
      </c>
      <c r="O27" s="28" t="n">
        <f aca="false">IF(SUM(N$6:N$29)=0,"",N27/SUM(N$6:N$29))</f>
        <v>0.0407239819004525</v>
      </c>
      <c r="P27" s="27" t="n">
        <v>0.0197</v>
      </c>
      <c r="Q27" s="44" t="n">
        <v>0.1469</v>
      </c>
    </row>
    <row r="28" customFormat="false" ht="15" hidden="false" customHeight="false" outlineLevel="0" collapsed="false">
      <c r="A28" s="10" t="s">
        <v>780</v>
      </c>
      <c r="B28" s="26" t="n">
        <v>0</v>
      </c>
      <c r="C28" s="28" t="n">
        <f aca="false">IF(SUM(B$6:B$29)=0,"",B28/SUM(B$6:B$29))</f>
        <v>0</v>
      </c>
      <c r="D28" s="27"/>
      <c r="E28" s="40"/>
      <c r="F28" s="26" t="n">
        <v>82</v>
      </c>
      <c r="G28" s="28" t="n">
        <f aca="false">IF(SUM(F$6:F$29)=0,"",F28/SUM(F$6:F$29))</f>
        <v>0.0117849956884162</v>
      </c>
      <c r="H28" s="27" t="n">
        <v>0.0549</v>
      </c>
      <c r="I28" s="45" t="n">
        <v>-0.1037</v>
      </c>
      <c r="J28" s="26" t="n">
        <v>97</v>
      </c>
      <c r="K28" s="28" t="n">
        <f aca="false">IF(SUM(J$6:J$29)=0,"",J28/SUM(J$6:J$29))</f>
        <v>0.0306090249289997</v>
      </c>
      <c r="L28" s="27" t="n">
        <v>0.0252</v>
      </c>
      <c r="M28" s="45" t="n">
        <v>-0.0665</v>
      </c>
      <c r="N28" s="26" t="n">
        <v>30</v>
      </c>
      <c r="O28" s="28" t="n">
        <f aca="false">IF(SUM(N$6:N$29)=0,"",N28/SUM(N$6:N$29))</f>
        <v>0.0339366515837104</v>
      </c>
      <c r="P28" s="27" t="n">
        <v>0.0158</v>
      </c>
      <c r="Q28" s="45" t="n">
        <v>-0.0158</v>
      </c>
    </row>
    <row r="29" customFormat="false" ht="15" hidden="false" customHeight="false" outlineLevel="0" collapsed="false">
      <c r="A29" s="10" t="s">
        <v>781</v>
      </c>
      <c r="B29" s="26" t="n">
        <v>0</v>
      </c>
      <c r="C29" s="28" t="n">
        <f aca="false">IF(SUM(B$6:B$29)=0,"",B29/SUM(B$6:B$29))</f>
        <v>0</v>
      </c>
      <c r="D29" s="27"/>
      <c r="E29" s="40"/>
      <c r="F29" s="26" t="n">
        <v>91</v>
      </c>
      <c r="G29" s="28" t="n">
        <f aca="false">IF(SUM(F$6:F$29)=0,"",F29/SUM(F$6:F$29))</f>
        <v>0.0130784708249497</v>
      </c>
      <c r="H29" s="27" t="n">
        <v>0.0711</v>
      </c>
      <c r="I29" s="45" t="n">
        <v>-0.1151</v>
      </c>
      <c r="J29" s="26" t="n">
        <v>69</v>
      </c>
      <c r="K29" s="28" t="n">
        <f aca="false">IF(SUM(J$6:J$29)=0,"",J29/SUM(J$6:J$29))</f>
        <v>0.0217734301041338</v>
      </c>
      <c r="L29" s="27" t="n">
        <v>0.0282</v>
      </c>
      <c r="M29" s="45" t="n">
        <v>-0.1151</v>
      </c>
      <c r="N29" s="26" t="n">
        <v>23</v>
      </c>
      <c r="O29" s="28" t="n">
        <f aca="false">IF(SUM(N$6:N$29)=0,"",N29/SUM(N$6:N$29))</f>
        <v>0.0260180995475113</v>
      </c>
      <c r="P29" s="27" t="n">
        <v>0.0187</v>
      </c>
      <c r="Q29" s="45" t="n">
        <v>-0.3665</v>
      </c>
    </row>
    <row r="30" customFormat="false" ht="15" hidden="false" customHeight="false" outlineLevel="0" collapsed="false">
      <c r="A30" s="5" t="s">
        <v>782</v>
      </c>
      <c r="B30" s="5" t="n">
        <f aca="false">SUM(B6:B29)</f>
        <v>7425</v>
      </c>
      <c r="C30" s="66"/>
      <c r="D30" s="66"/>
      <c r="E30" s="66"/>
      <c r="F30" s="5" t="n">
        <f aca="false">SUM(F6:F29)</f>
        <v>6958</v>
      </c>
      <c r="G30" s="66"/>
      <c r="H30" s="66"/>
      <c r="I30" s="66"/>
      <c r="J30" s="5" t="n">
        <f aca="false">SUM(J6:J29)</f>
        <v>3169</v>
      </c>
      <c r="K30" s="66"/>
      <c r="L30" s="66"/>
      <c r="M30" s="66"/>
      <c r="N30" s="5" t="n">
        <f aca="false">SUM(N6:N29)</f>
        <v>884</v>
      </c>
      <c r="O30" s="66"/>
      <c r="P30" s="66"/>
      <c r="Q30" s="66"/>
    </row>
  </sheetData>
  <mergeCells count="5">
    <mergeCell ref="A2:Q2"/>
    <mergeCell ref="B4:E4"/>
    <mergeCell ref="F4:I4"/>
    <mergeCell ref="J4:M4"/>
    <mergeCell ref="N4:Q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9"/>
  </cols>
  <sheetData>
    <row r="1" customFormat="false" ht="15" hidden="false" customHeight="false" outlineLevel="0" collapsed="false">
      <c r="A1" s="3" t="s">
        <v>783</v>
      </c>
    </row>
    <row r="2" customFormat="false" ht="15" hidden="false" customHeight="false" outlineLevel="0" collapsed="false">
      <c r="A2" s="47" t="s">
        <v>784</v>
      </c>
      <c r="B2" s="47"/>
      <c r="C2" s="47"/>
      <c r="D2" s="47"/>
      <c r="E2" s="47"/>
      <c r="F2" s="47"/>
      <c r="G2" s="47"/>
      <c r="H2" s="47"/>
      <c r="I2" s="47"/>
      <c r="J2" s="47"/>
    </row>
    <row r="4" customFormat="false" ht="15" hidden="false" customHeight="false" outlineLevel="0" collapsed="false">
      <c r="A4" s="10" t="s">
        <v>785</v>
      </c>
    </row>
    <row r="5" customFormat="false" ht="15" hidden="false" customHeight="false" outlineLevel="0" collapsed="false">
      <c r="A5" s="6" t="s">
        <v>786</v>
      </c>
      <c r="B5" s="67" t="n">
        <v>0.3</v>
      </c>
      <c r="C5" s="67" t="n">
        <v>0.33</v>
      </c>
      <c r="D5" s="67" t="n">
        <v>0.36</v>
      </c>
      <c r="E5" s="67" t="n">
        <v>0.4</v>
      </c>
      <c r="F5" s="67" t="n">
        <v>0.45</v>
      </c>
      <c r="G5" s="67" t="n">
        <v>0.5</v>
      </c>
      <c r="H5" s="67" t="n">
        <v>0.55</v>
      </c>
      <c r="I5" s="67" t="n">
        <v>0.6</v>
      </c>
      <c r="J5" s="67" t="n">
        <v>0.65</v>
      </c>
      <c r="K5" s="67" t="n">
        <v>0.7</v>
      </c>
    </row>
    <row r="6" customFormat="false" ht="15" hidden="false" customHeight="false" outlineLevel="0" collapsed="false">
      <c r="A6" s="68" t="n">
        <v>100</v>
      </c>
      <c r="B6" s="65" t="n">
        <f aca="false">LN($A6*B$5)/LN(1/(1-B$5))+0.5772/LN(1/(1-B$5))-0.5</f>
        <v>10.6541263250203</v>
      </c>
      <c r="C6" s="65" t="n">
        <f aca="false">LN($A6*C$5)/LN(1/(1-C$5))+0.5772/LN(1/(1-C$5))-0.5</f>
        <v>9.67212423677297</v>
      </c>
      <c r="D6" s="65" t="n">
        <f aca="false">LN($A6*D$5)/LN(1/(1-D$5))+0.5772/LN(1/(1-D$5))-0.5</f>
        <v>8.82296477749737</v>
      </c>
      <c r="E6" s="65" t="n">
        <f aca="false">LN($A6*E$5)/LN(1/(1-E$5))+0.5772/LN(1/(1-E$5))-0.5</f>
        <v>7.85134193673148</v>
      </c>
      <c r="F6" s="65" t="n">
        <f aca="false">LN($A6*F$5)/LN(1/(1-F$5))+0.5772/LN(1/(1-F$5))-0.5</f>
        <v>6.83287247900256</v>
      </c>
      <c r="G6" s="65" t="n">
        <f aca="false">LN($A6*G$5)/LN(1/(1-G$5))+0.5772/LN(1/(1-G$5))-0.5</f>
        <v>5.97657976737583</v>
      </c>
      <c r="H6" s="65" t="n">
        <f aca="false">LN($A6*H$5)/LN(1/(1-H$5))+0.5772/LN(1/(1-H$5))-0.5</f>
        <v>5.24137632855346</v>
      </c>
      <c r="I6" s="65" t="n">
        <f aca="false">LN($A6*I$5)/LN(1/(1-I$5))+0.5772/LN(1/(1-I$5))-0.5</f>
        <v>4.59832130754728</v>
      </c>
      <c r="J6" s="65" t="n">
        <f aca="false">LN($A6*J$5)/LN(1/(1-J$5))+0.5772/LN(1/(1-J$5))-0.5</f>
        <v>4.02608795243734</v>
      </c>
      <c r="K6" s="65" t="n">
        <f aca="false">LN($A6*K$5)/LN(1/(1-K$5))+0.5772/LN(1/(1-K$5))-0.5</f>
        <v>3.50814306162929</v>
      </c>
    </row>
    <row r="7" customFormat="false" ht="15" hidden="false" customHeight="false" outlineLevel="0" collapsed="false">
      <c r="A7" s="68" t="n">
        <v>250</v>
      </c>
      <c r="B7" s="65" t="n">
        <f aca="false">LN($A7*B$5)/LN(1/(1-B$5))+0.5772/LN(1/(1-B$5))-0.5</f>
        <v>13.2231061410837</v>
      </c>
      <c r="C7" s="65" t="n">
        <f aca="false">LN($A7*C$5)/LN(1/(1-C$5))+0.5772/LN(1/(1-C$5))-0.5</f>
        <v>11.9601193913079</v>
      </c>
      <c r="D7" s="65" t="n">
        <f aca="false">LN($A7*D$5)/LN(1/(1-D$5))+0.5772/LN(1/(1-D$5))-0.5</f>
        <v>10.8761066372501</v>
      </c>
      <c r="E7" s="65" t="n">
        <f aca="false">LN($A7*E$5)/LN(1/(1-E$5))+0.5772/LN(1/(1-E$5))-0.5</f>
        <v>9.64508659096188</v>
      </c>
      <c r="F7" s="65" t="n">
        <f aca="false">LN($A7*F$5)/LN(1/(1-F$5))+0.5772/LN(1/(1-F$5))-0.5</f>
        <v>8.36554899570533</v>
      </c>
      <c r="G7" s="65" t="n">
        <f aca="false">LN($A7*G$5)/LN(1/(1-G$5))+0.5772/LN(1/(1-G$5))-0.5</f>
        <v>7.2985078622632</v>
      </c>
      <c r="H7" s="65" t="n">
        <f aca="false">LN($A7*H$5)/LN(1/(1-H$5))+0.5772/LN(1/(1-H$5))-0.5</f>
        <v>6.38888027399353</v>
      </c>
      <c r="I7" s="65" t="n">
        <f aca="false">LN($A7*I$5)/LN(1/(1-I$5))+0.5772/LN(1/(1-I$5))-0.5</f>
        <v>5.59832130754728</v>
      </c>
      <c r="J7" s="65" t="n">
        <f aca="false">LN($A7*J$5)/LN(1/(1-J$5))+0.5772/LN(1/(1-J$5))-0.5</f>
        <v>4.89889365017562</v>
      </c>
      <c r="K7" s="65" t="n">
        <f aca="false">LN($A7*K$5)/LN(1/(1-K$5))+0.5772/LN(1/(1-K$5))-0.5</f>
        <v>4.2691990660356</v>
      </c>
    </row>
    <row r="8" customFormat="false" ht="15" hidden="false" customHeight="false" outlineLevel="0" collapsed="false">
      <c r="A8" s="68" t="n">
        <v>500</v>
      </c>
      <c r="B8" s="65" t="n">
        <f aca="false">LN($A8*B$5)/LN(1/(1-B$5))+0.5772/LN(1/(1-B$5))-0.5</f>
        <v>15.1664643509585</v>
      </c>
      <c r="C8" s="65" t="n">
        <f aca="false">LN($A8*C$5)/LN(1/(1-C$5))+0.5772/LN(1/(1-C$5))-0.5</f>
        <v>13.6909209102285</v>
      </c>
      <c r="D8" s="65" t="n">
        <f aca="false">LN($A8*D$5)/LN(1/(1-D$5))+0.5772/LN(1/(1-D$5))-0.5</f>
        <v>12.4292484970028</v>
      </c>
      <c r="E8" s="65" t="n">
        <f aca="false">LN($A8*E$5)/LN(1/(1-E$5))+0.5772/LN(1/(1-E$5))-0.5</f>
        <v>11.0020020398186</v>
      </c>
      <c r="F8" s="65" t="n">
        <f aca="false">LN($A8*F$5)/LN(1/(1-F$5))+0.5772/LN(1/(1-F$5))-0.5</f>
        <v>9.52497402239966</v>
      </c>
      <c r="G8" s="65" t="n">
        <f aca="false">LN($A8*G$5)/LN(1/(1-G$5))+0.5772/LN(1/(1-G$5))-0.5</f>
        <v>8.2985078622632</v>
      </c>
      <c r="H8" s="65" t="n">
        <f aca="false">LN($A8*H$5)/LN(1/(1-H$5))+0.5772/LN(1/(1-H$5))-0.5</f>
        <v>7.25693349858125</v>
      </c>
      <c r="I8" s="65" t="n">
        <f aca="false">LN($A8*I$5)/LN(1/(1-I$5))+0.5772/LN(1/(1-I$5))-0.5</f>
        <v>6.35479210491331</v>
      </c>
      <c r="J8" s="65" t="n">
        <f aca="false">LN($A8*J$5)/LN(1/(1-J$5))+0.5772/LN(1/(1-J$5))-0.5</f>
        <v>5.55914567228932</v>
      </c>
      <c r="K8" s="65" t="n">
        <f aca="false">LN($A8*K$5)/LN(1/(1-K$5))+0.5772/LN(1/(1-K$5))-0.5</f>
        <v>4.84491570852904</v>
      </c>
    </row>
    <row r="9" customFormat="false" ht="15" hidden="false" customHeight="false" outlineLevel="0" collapsed="false">
      <c r="A9" s="68" t="n">
        <v>1000</v>
      </c>
      <c r="B9" s="65" t="n">
        <f aca="false">LN($A9*B$5)/LN(1/(1-B$5))+0.5772/LN(1/(1-B$5))-0.5</f>
        <v>17.1098225608332</v>
      </c>
      <c r="C9" s="65" t="n">
        <f aca="false">LN($A9*C$5)/LN(1/(1-C$5))+0.5772/LN(1/(1-C$5))-0.5</f>
        <v>15.4217224291492</v>
      </c>
      <c r="D9" s="65" t="n">
        <f aca="false">LN($A9*D$5)/LN(1/(1-D$5))+0.5772/LN(1/(1-D$5))-0.5</f>
        <v>13.9823903567555</v>
      </c>
      <c r="E9" s="65" t="n">
        <f aca="false">LN($A9*E$5)/LN(1/(1-E$5))+0.5772/LN(1/(1-E$5))-0.5</f>
        <v>12.3589174886753</v>
      </c>
      <c r="F9" s="65" t="n">
        <f aca="false">LN($A9*F$5)/LN(1/(1-F$5))+0.5772/LN(1/(1-F$5))-0.5</f>
        <v>10.684399049094</v>
      </c>
      <c r="G9" s="65" t="n">
        <f aca="false">LN($A9*G$5)/LN(1/(1-G$5))+0.5772/LN(1/(1-G$5))-0.5</f>
        <v>9.2985078622632</v>
      </c>
      <c r="H9" s="65" t="n">
        <f aca="false">LN($A9*H$5)/LN(1/(1-H$5))+0.5772/LN(1/(1-H$5))-0.5</f>
        <v>8.12498672316896</v>
      </c>
      <c r="I9" s="65" t="n">
        <f aca="false">LN($A9*I$5)/LN(1/(1-I$5))+0.5772/LN(1/(1-I$5))-0.5</f>
        <v>7.11126290227934</v>
      </c>
      <c r="J9" s="65" t="n">
        <f aca="false">LN($A9*J$5)/LN(1/(1-J$5))+0.5772/LN(1/(1-J$5))-0.5</f>
        <v>6.21939769440301</v>
      </c>
      <c r="K9" s="65" t="n">
        <f aca="false">LN($A9*K$5)/LN(1/(1-K$5))+0.5772/LN(1/(1-K$5))-0.5</f>
        <v>5.42063235102249</v>
      </c>
    </row>
    <row r="10" customFormat="false" ht="15" hidden="false" customHeight="false" outlineLevel="0" collapsed="false">
      <c r="A10" s="68" t="n">
        <v>2000</v>
      </c>
      <c r="B10" s="65" t="n">
        <f aca="false">LN($A10*B$5)/LN(1/(1-B$5))+0.5772/LN(1/(1-B$5))-0.5</f>
        <v>19.0531807707079</v>
      </c>
      <c r="C10" s="65" t="n">
        <f aca="false">LN($A10*C$5)/LN(1/(1-C$5))+0.5772/LN(1/(1-C$5))-0.5</f>
        <v>17.1525239480698</v>
      </c>
      <c r="D10" s="65" t="n">
        <f aca="false">LN($A10*D$5)/LN(1/(1-D$5))+0.5772/LN(1/(1-D$5))-0.5</f>
        <v>15.5355322165082</v>
      </c>
      <c r="E10" s="65" t="n">
        <f aca="false">LN($A10*E$5)/LN(1/(1-E$5))+0.5772/LN(1/(1-E$5))-0.5</f>
        <v>13.7158329375321</v>
      </c>
      <c r="F10" s="65" t="n">
        <f aca="false">LN($A10*F$5)/LN(1/(1-F$5))+0.5772/LN(1/(1-F$5))-0.5</f>
        <v>11.8438240757883</v>
      </c>
      <c r="G10" s="65" t="n">
        <f aca="false">LN($A10*G$5)/LN(1/(1-G$5))+0.5772/LN(1/(1-G$5))-0.5</f>
        <v>10.2985078622632</v>
      </c>
      <c r="H10" s="65" t="n">
        <f aca="false">LN($A10*H$5)/LN(1/(1-H$5))+0.5772/LN(1/(1-H$5))-0.5</f>
        <v>8.99303994775668</v>
      </c>
      <c r="I10" s="65" t="n">
        <f aca="false">LN($A10*I$5)/LN(1/(1-I$5))+0.5772/LN(1/(1-I$5))-0.5</f>
        <v>7.86773369964537</v>
      </c>
      <c r="J10" s="65" t="n">
        <f aca="false">LN($A10*J$5)/LN(1/(1-J$5))+0.5772/LN(1/(1-J$5))-0.5</f>
        <v>6.8796497165167</v>
      </c>
      <c r="K10" s="65" t="n">
        <f aca="false">LN($A10*K$5)/LN(1/(1-K$5))+0.5772/LN(1/(1-K$5))-0.5</f>
        <v>5.99634899351593</v>
      </c>
    </row>
    <row r="11" customFormat="false" ht="15" hidden="false" customHeight="false" outlineLevel="0" collapsed="false">
      <c r="A11" s="68" t="n">
        <v>3500</v>
      </c>
      <c r="B11" s="65" t="n">
        <f aca="false">LN($A11*B$5)/LN(1/(1-B$5))+0.5772/LN(1/(1-B$5))-0.5</f>
        <v>20.6221605867713</v>
      </c>
      <c r="C11" s="65" t="n">
        <f aca="false">LN($A11*C$5)/LN(1/(1-C$5))+0.5772/LN(1/(1-C$5))-0.5</f>
        <v>18.5498950734752</v>
      </c>
      <c r="D11" s="65" t="n">
        <f aca="false">LN($A11*D$5)/LN(1/(1-D$5))+0.5772/LN(1/(1-D$5))-0.5</f>
        <v>16.7894689416332</v>
      </c>
      <c r="E11" s="65" t="n">
        <f aca="false">LN($A11*E$5)/LN(1/(1-E$5))+0.5772/LN(1/(1-E$5))-0.5</f>
        <v>14.8113453039825</v>
      </c>
      <c r="F11" s="65" t="n">
        <f aca="false">LN($A11*F$5)/LN(1/(1-F$5))+0.5772/LN(1/(1-F$5))-0.5</f>
        <v>12.7798915778468</v>
      </c>
      <c r="G11" s="65" t="n">
        <f aca="false">LN($A11*G$5)/LN(1/(1-G$5))+0.5772/LN(1/(1-G$5))-0.5</f>
        <v>11.1058627843208</v>
      </c>
      <c r="H11" s="65" t="n">
        <f aca="false">LN($A11*H$5)/LN(1/(1-H$5))+0.5772/LN(1/(1-H$5))-0.5</f>
        <v>9.69386699123555</v>
      </c>
      <c r="I11" s="65" t="n">
        <f aca="false">LN($A11*I$5)/LN(1/(1-I$5))+0.5772/LN(1/(1-I$5))-0.5</f>
        <v>8.47847412129168</v>
      </c>
      <c r="J11" s="65" t="n">
        <f aca="false">LN($A11*J$5)/LN(1/(1-J$5))+0.5772/LN(1/(1-J$5))-0.5</f>
        <v>7.41270743636868</v>
      </c>
      <c r="K11" s="65" t="n">
        <f aca="false">LN($A11*K$5)/LN(1/(1-K$5))+0.5772/LN(1/(1-K$5))-0.5</f>
        <v>6.4611566585435</v>
      </c>
    </row>
    <row r="12" customFormat="false" ht="15" hidden="false" customHeight="false" outlineLevel="0" collapsed="false">
      <c r="A12" s="68" t="n">
        <v>7000</v>
      </c>
      <c r="B12" s="65" t="n">
        <f aca="false">LN($A12*B$5)/LN(1/(1-B$5))+0.5772/LN(1/(1-B$5))-0.5</f>
        <v>22.5655187966461</v>
      </c>
      <c r="C12" s="65" t="n">
        <f aca="false">LN($A12*C$5)/LN(1/(1-C$5))+0.5772/LN(1/(1-C$5))-0.5</f>
        <v>20.2806965923958</v>
      </c>
      <c r="D12" s="65" t="n">
        <f aca="false">LN($A12*D$5)/LN(1/(1-D$5))+0.5772/LN(1/(1-D$5))-0.5</f>
        <v>18.3426108013859</v>
      </c>
      <c r="E12" s="65" t="n">
        <f aca="false">LN($A12*E$5)/LN(1/(1-E$5))+0.5772/LN(1/(1-E$5))-0.5</f>
        <v>16.1682607528393</v>
      </c>
      <c r="F12" s="65" t="n">
        <f aca="false">LN($A12*F$5)/LN(1/(1-F$5))+0.5772/LN(1/(1-F$5))-0.5</f>
        <v>13.9393166045411</v>
      </c>
      <c r="G12" s="65" t="n">
        <f aca="false">LN($A12*G$5)/LN(1/(1-G$5))+0.5772/LN(1/(1-G$5))-0.5</f>
        <v>12.1058627843208</v>
      </c>
      <c r="H12" s="65" t="n">
        <f aca="false">LN($A12*H$5)/LN(1/(1-H$5))+0.5772/LN(1/(1-H$5))-0.5</f>
        <v>10.5619202158233</v>
      </c>
      <c r="I12" s="65" t="n">
        <f aca="false">LN($A12*I$5)/LN(1/(1-I$5))+0.5772/LN(1/(1-I$5))-0.5</f>
        <v>9.23494491865771</v>
      </c>
      <c r="J12" s="65" t="n">
        <f aca="false">LN($A12*J$5)/LN(1/(1-J$5))+0.5772/LN(1/(1-J$5))-0.5</f>
        <v>8.07295945848237</v>
      </c>
      <c r="K12" s="65" t="n">
        <f aca="false">LN($A12*K$5)/LN(1/(1-K$5))+0.5772/LN(1/(1-K$5))-0.5</f>
        <v>7.03687330103694</v>
      </c>
    </row>
    <row r="14" customFormat="false" ht="15" hidden="false" customHeight="false" outlineLevel="0" collapsed="false">
      <c r="A14" s="10" t="s">
        <v>787</v>
      </c>
    </row>
    <row r="15" customFormat="false" ht="15" hidden="false" customHeight="false" outlineLevel="0" collapsed="false">
      <c r="A15" s="6" t="s">
        <v>786</v>
      </c>
      <c r="B15" s="69" t="n">
        <f aca="false">B5</f>
        <v>0.3</v>
      </c>
      <c r="C15" s="69" t="n">
        <f aca="false">C5</f>
        <v>0.33</v>
      </c>
      <c r="D15" s="69" t="n">
        <f aca="false">D5</f>
        <v>0.36</v>
      </c>
      <c r="E15" s="69" t="n">
        <f aca="false">E5</f>
        <v>0.4</v>
      </c>
      <c r="F15" s="69" t="n">
        <f aca="false">F5</f>
        <v>0.45</v>
      </c>
      <c r="G15" s="69" t="n">
        <f aca="false">G5</f>
        <v>0.5</v>
      </c>
      <c r="H15" s="69" t="n">
        <f aca="false">H5</f>
        <v>0.55</v>
      </c>
      <c r="I15" s="69" t="n">
        <f aca="false">I5</f>
        <v>0.6</v>
      </c>
      <c r="J15" s="69" t="n">
        <f aca="false">J5</f>
        <v>0.65</v>
      </c>
      <c r="K15" s="69" t="n">
        <f aca="false">K5</f>
        <v>0.7</v>
      </c>
    </row>
    <row r="16" customFormat="false" ht="15" hidden="false" customHeight="false" outlineLevel="0" collapsed="false">
      <c r="A16" s="70" t="n">
        <f aca="false">A6</f>
        <v>100</v>
      </c>
      <c r="B16" s="65" t="n">
        <f aca="false">LN($A16*(1-B$15))/LN(1/B$15)+0.5772/LN(1/B$15)-0.5</f>
        <v>3.50814306162929</v>
      </c>
      <c r="C16" s="65" t="n">
        <f aca="false">LN($A16*(1-C$15))/LN(1/C$15)+0.5772/LN(1/C$15)-0.5</f>
        <v>3.81320810643757</v>
      </c>
      <c r="D16" s="65" t="n">
        <f aca="false">LN($A16*(1-D$15))/LN(1/D$15)+0.5772/LN(1/D$15)-0.5</f>
        <v>4.13571409010727</v>
      </c>
      <c r="E16" s="65" t="n">
        <f aca="false">LN($A16*(1-E$15))/LN(1/E$15)+0.5772/LN(1/E$15)-0.5</f>
        <v>4.59832130754728</v>
      </c>
      <c r="F16" s="65" t="n">
        <f aca="false">LN($A16*(1-F$15))/LN(1/F$15)+0.5772/LN(1/F$15)-0.5</f>
        <v>5.24137632855346</v>
      </c>
      <c r="G16" s="65" t="n">
        <f aca="false">LN($A16*(1-G$15))/LN(1/G$15)+0.5772/LN(1/G$15)-0.5</f>
        <v>5.97657976737583</v>
      </c>
      <c r="H16" s="65" t="n">
        <f aca="false">LN($A16*(1-H$15))/LN(1/H$15)+0.5772/LN(1/H$15)-0.5</f>
        <v>6.83287247900256</v>
      </c>
      <c r="I16" s="65" t="n">
        <f aca="false">LN($A16*(1-I$15))/LN(1/I$15)+0.5772/LN(1/I$15)-0.5</f>
        <v>7.85134193673148</v>
      </c>
      <c r="J16" s="65" t="n">
        <f aca="false">LN($A16*(1-J$15))/LN(1/J$15)+0.5772/LN(1/J$15)-0.5</f>
        <v>9.09311037441998</v>
      </c>
      <c r="K16" s="65" t="n">
        <f aca="false">LN($A16*(1-K$15))/LN(1/K$15)+0.5772/LN(1/K$15)-0.5</f>
        <v>10.6541263250203</v>
      </c>
    </row>
    <row r="17" customFormat="false" ht="15" hidden="false" customHeight="false" outlineLevel="0" collapsed="false">
      <c r="A17" s="70" t="n">
        <f aca="false">A7</f>
        <v>250</v>
      </c>
      <c r="B17" s="65" t="n">
        <f aca="false">LN($A17*(1-B$15))/LN(1/B$15)+0.5772/LN(1/B$15)-0.5</f>
        <v>4.2691990660356</v>
      </c>
      <c r="C17" s="65" t="n">
        <f aca="false">LN($A17*(1-C$15))/LN(1/C$15)+0.5772/LN(1/C$15)-0.5</f>
        <v>4.639691034253</v>
      </c>
      <c r="D17" s="65" t="n">
        <f aca="false">LN($A17*(1-D$15))/LN(1/D$15)+0.5772/LN(1/D$15)-0.5</f>
        <v>5.03258641722247</v>
      </c>
      <c r="E17" s="65" t="n">
        <f aca="false">LN($A17*(1-E$15))/LN(1/E$15)+0.5772/LN(1/E$15)-0.5</f>
        <v>5.59832130754728</v>
      </c>
      <c r="F17" s="65" t="n">
        <f aca="false">LN($A17*(1-F$15))/LN(1/F$15)+0.5772/LN(1/F$15)-0.5</f>
        <v>6.38888027399353</v>
      </c>
      <c r="G17" s="65" t="n">
        <f aca="false">LN($A17*(1-G$15))/LN(1/G$15)+0.5772/LN(1/G$15)-0.5</f>
        <v>7.2985078622632</v>
      </c>
      <c r="H17" s="65" t="n">
        <f aca="false">LN($A17*(1-H$15))/LN(1/H$15)+0.5772/LN(1/H$15)-0.5</f>
        <v>8.36554899570533</v>
      </c>
      <c r="I17" s="65" t="n">
        <f aca="false">LN($A17*(1-I$15))/LN(1/I$15)+0.5772/LN(1/I$15)-0.5</f>
        <v>9.64508659096188</v>
      </c>
      <c r="J17" s="65" t="n">
        <f aca="false">LN($A17*(1-J$15))/LN(1/J$15)+0.5772/LN(1/J$15)-0.5</f>
        <v>11.2201462842598</v>
      </c>
      <c r="K17" s="65" t="n">
        <f aca="false">LN($A17*(1-K$15))/LN(1/K$15)+0.5772/LN(1/K$15)-0.5</f>
        <v>13.2231061410837</v>
      </c>
    </row>
    <row r="18" customFormat="false" ht="15" hidden="false" customHeight="false" outlineLevel="0" collapsed="false">
      <c r="A18" s="70" t="n">
        <f aca="false">A8</f>
        <v>500</v>
      </c>
      <c r="B18" s="65" t="n">
        <f aca="false">LN($A18*(1-B$15))/LN(1/B$15)+0.5772/LN(1/B$15)-0.5</f>
        <v>4.84491570852904</v>
      </c>
      <c r="C18" s="65" t="n">
        <f aca="false">LN($A18*(1-C$15))/LN(1/C$15)+0.5772/LN(1/C$15)-0.5</f>
        <v>5.26490123366694</v>
      </c>
      <c r="D18" s="65" t="n">
        <f aca="false">LN($A18*(1-D$15))/LN(1/D$15)+0.5772/LN(1/D$15)-0.5</f>
        <v>5.71104414165083</v>
      </c>
      <c r="E18" s="65" t="n">
        <f aca="false">LN($A18*(1-E$15))/LN(1/E$15)+0.5772/LN(1/E$15)-0.5</f>
        <v>6.35479210491331</v>
      </c>
      <c r="F18" s="65" t="n">
        <f aca="false">LN($A18*(1-F$15))/LN(1/F$15)+0.5772/LN(1/F$15)-0.5</f>
        <v>7.25693349858125</v>
      </c>
      <c r="G18" s="65" t="n">
        <f aca="false">LN($A18*(1-G$15))/LN(1/G$15)+0.5772/LN(1/G$15)-0.5</f>
        <v>8.2985078622632</v>
      </c>
      <c r="H18" s="65" t="n">
        <f aca="false">LN($A18*(1-H$15))/LN(1/H$15)+0.5772/LN(1/H$15)-0.5</f>
        <v>9.52497402239966</v>
      </c>
      <c r="I18" s="65" t="n">
        <f aca="false">LN($A18*(1-I$15))/LN(1/I$15)+0.5772/LN(1/I$15)-0.5</f>
        <v>11.0020020398186</v>
      </c>
      <c r="J18" s="65" t="n">
        <f aca="false">LN($A18*(1-J$15))/LN(1/J$15)+0.5772/LN(1/J$15)-0.5</f>
        <v>12.8291868350025</v>
      </c>
      <c r="K18" s="65" t="n">
        <f aca="false">LN($A18*(1-K$15))/LN(1/K$15)+0.5772/LN(1/K$15)-0.5</f>
        <v>15.1664643509585</v>
      </c>
    </row>
    <row r="19" customFormat="false" ht="15" hidden="false" customHeight="false" outlineLevel="0" collapsed="false">
      <c r="A19" s="70" t="n">
        <f aca="false">A9</f>
        <v>1000</v>
      </c>
      <c r="B19" s="65" t="n">
        <f aca="false">LN($A19*(1-B$15))/LN(1/B$15)+0.5772/LN(1/B$15)-0.5</f>
        <v>5.42063235102249</v>
      </c>
      <c r="C19" s="65" t="n">
        <f aca="false">LN($A19*(1-C$15))/LN(1/C$15)+0.5772/LN(1/C$15)-0.5</f>
        <v>5.89011143308089</v>
      </c>
      <c r="D19" s="65" t="n">
        <f aca="false">LN($A19*(1-D$15))/LN(1/D$15)+0.5772/LN(1/D$15)-0.5</f>
        <v>6.38950186607919</v>
      </c>
      <c r="E19" s="65" t="n">
        <f aca="false">LN($A19*(1-E$15))/LN(1/E$15)+0.5772/LN(1/E$15)-0.5</f>
        <v>7.11126290227934</v>
      </c>
      <c r="F19" s="65" t="n">
        <f aca="false">LN($A19*(1-F$15))/LN(1/F$15)+0.5772/LN(1/F$15)-0.5</f>
        <v>8.12498672316896</v>
      </c>
      <c r="G19" s="65" t="n">
        <f aca="false">LN($A19*(1-G$15))/LN(1/G$15)+0.5772/LN(1/G$15)-0.5</f>
        <v>9.2985078622632</v>
      </c>
      <c r="H19" s="65" t="n">
        <f aca="false">LN($A19*(1-H$15))/LN(1/H$15)+0.5772/LN(1/H$15)-0.5</f>
        <v>10.684399049094</v>
      </c>
      <c r="I19" s="65" t="n">
        <f aca="false">LN($A19*(1-I$15))/LN(1/I$15)+0.5772/LN(1/I$15)-0.5</f>
        <v>12.3589174886753</v>
      </c>
      <c r="J19" s="65" t="n">
        <f aca="false">LN($A19*(1-J$15))/LN(1/J$15)+0.5772/LN(1/J$15)-0.5</f>
        <v>14.4382273857452</v>
      </c>
      <c r="K19" s="65" t="n">
        <f aca="false">LN($A19*(1-K$15))/LN(1/K$15)+0.5772/LN(1/K$15)-0.5</f>
        <v>17.1098225608332</v>
      </c>
    </row>
    <row r="20" customFormat="false" ht="15" hidden="false" customHeight="false" outlineLevel="0" collapsed="false">
      <c r="A20" s="70" t="n">
        <f aca="false">A10</f>
        <v>2000</v>
      </c>
      <c r="B20" s="65" t="n">
        <f aca="false">LN($A20*(1-B$15))/LN(1/B$15)+0.5772/LN(1/B$15)-0.5</f>
        <v>5.99634899351593</v>
      </c>
      <c r="C20" s="65" t="n">
        <f aca="false">LN($A20*(1-C$15))/LN(1/C$15)+0.5772/LN(1/C$15)-0.5</f>
        <v>6.51532163249483</v>
      </c>
      <c r="D20" s="65" t="n">
        <f aca="false">LN($A20*(1-D$15))/LN(1/D$15)+0.5772/LN(1/D$15)-0.5</f>
        <v>7.06795959050755</v>
      </c>
      <c r="E20" s="65" t="n">
        <f aca="false">LN($A20*(1-E$15))/LN(1/E$15)+0.5772/LN(1/E$15)-0.5</f>
        <v>7.86773369964537</v>
      </c>
      <c r="F20" s="65" t="n">
        <f aca="false">LN($A20*(1-F$15))/LN(1/F$15)+0.5772/LN(1/F$15)-0.5</f>
        <v>8.99303994775668</v>
      </c>
      <c r="G20" s="65" t="n">
        <f aca="false">LN($A20*(1-G$15))/LN(1/G$15)+0.5772/LN(1/G$15)-0.5</f>
        <v>10.2985078622632</v>
      </c>
      <c r="H20" s="65" t="n">
        <f aca="false">LN($A20*(1-H$15))/LN(1/H$15)+0.5772/LN(1/H$15)-0.5</f>
        <v>11.8438240757883</v>
      </c>
      <c r="I20" s="65" t="n">
        <f aca="false">LN($A20*(1-I$15))/LN(1/I$15)+0.5772/LN(1/I$15)-0.5</f>
        <v>13.7158329375321</v>
      </c>
      <c r="J20" s="65" t="n">
        <f aca="false">LN($A20*(1-J$15))/LN(1/J$15)+0.5772/LN(1/J$15)-0.5</f>
        <v>16.0472679364879</v>
      </c>
      <c r="K20" s="65" t="n">
        <f aca="false">LN($A20*(1-K$15))/LN(1/K$15)+0.5772/LN(1/K$15)-0.5</f>
        <v>19.0531807707079</v>
      </c>
    </row>
    <row r="21" customFormat="false" ht="15" hidden="false" customHeight="false" outlineLevel="0" collapsed="false">
      <c r="A21" s="70" t="n">
        <f aca="false">A11</f>
        <v>3500</v>
      </c>
      <c r="B21" s="65" t="n">
        <f aca="false">LN($A21*(1-B$15))/LN(1/B$15)+0.5772/LN(1/B$15)-0.5</f>
        <v>6.46115665854349</v>
      </c>
      <c r="C21" s="65" t="n">
        <f aca="false">LN($A21*(1-C$15))/LN(1/C$15)+0.5772/LN(1/C$15)-0.5</f>
        <v>7.0200881643123</v>
      </c>
      <c r="D21" s="65" t="n">
        <f aca="false">LN($A21*(1-D$15))/LN(1/D$15)+0.5772/LN(1/D$15)-0.5</f>
        <v>7.61571577373279</v>
      </c>
      <c r="E21" s="65" t="n">
        <f aca="false">LN($A21*(1-E$15))/LN(1/E$15)+0.5772/LN(1/E$15)-0.5</f>
        <v>8.47847412129168</v>
      </c>
      <c r="F21" s="65" t="n">
        <f aca="false">LN($A21*(1-F$15))/LN(1/F$15)+0.5772/LN(1/F$15)-0.5</f>
        <v>9.69386699123555</v>
      </c>
      <c r="G21" s="65" t="n">
        <f aca="false">LN($A21*(1-G$15))/LN(1/G$15)+0.5772/LN(1/G$15)-0.5</f>
        <v>11.1058627843208</v>
      </c>
      <c r="H21" s="65" t="n">
        <f aca="false">LN($A21*(1-H$15))/LN(1/H$15)+0.5772/LN(1/H$15)-0.5</f>
        <v>12.7798915778468</v>
      </c>
      <c r="I21" s="65" t="n">
        <f aca="false">LN($A21*(1-I$15))/LN(1/I$15)+0.5772/LN(1/I$15)-0.5</f>
        <v>14.8113453039825</v>
      </c>
      <c r="J21" s="65" t="n">
        <f aca="false">LN($A21*(1-J$15))/LN(1/J$15)+0.5772/LN(1/J$15)-0.5</f>
        <v>17.3463347449202</v>
      </c>
      <c r="K21" s="65" t="n">
        <f aca="false">LN($A21*(1-K$15))/LN(1/K$15)+0.5772/LN(1/K$15)-0.5</f>
        <v>20.6221605867713</v>
      </c>
    </row>
    <row r="22" customFormat="false" ht="15" hidden="false" customHeight="false" outlineLevel="0" collapsed="false">
      <c r="A22" s="70" t="n">
        <f aca="false">A12</f>
        <v>7000</v>
      </c>
      <c r="B22" s="65" t="n">
        <f aca="false">LN($A22*(1-B$15))/LN(1/B$15)+0.5772/LN(1/B$15)-0.5</f>
        <v>7.03687330103694</v>
      </c>
      <c r="C22" s="65" t="n">
        <f aca="false">LN($A22*(1-C$15))/LN(1/C$15)+0.5772/LN(1/C$15)-0.5</f>
        <v>7.64529836372625</v>
      </c>
      <c r="D22" s="65" t="n">
        <f aca="false">LN($A22*(1-D$15))/LN(1/D$15)+0.5772/LN(1/D$15)-0.5</f>
        <v>8.29417349816116</v>
      </c>
      <c r="E22" s="65" t="n">
        <f aca="false">LN($A22*(1-E$15))/LN(1/E$15)+0.5772/LN(1/E$15)-0.5</f>
        <v>9.23494491865771</v>
      </c>
      <c r="F22" s="65" t="n">
        <f aca="false">LN($A22*(1-F$15))/LN(1/F$15)+0.5772/LN(1/F$15)-0.5</f>
        <v>10.5619202158233</v>
      </c>
      <c r="G22" s="65" t="n">
        <f aca="false">LN($A22*(1-G$15))/LN(1/G$15)+0.5772/LN(1/G$15)-0.5</f>
        <v>12.1058627843208</v>
      </c>
      <c r="H22" s="65" t="n">
        <f aca="false">LN($A22*(1-H$15))/LN(1/H$15)+0.5772/LN(1/H$15)-0.5</f>
        <v>13.9393166045411</v>
      </c>
      <c r="I22" s="65" t="n">
        <f aca="false">LN($A22*(1-I$15))/LN(1/I$15)+0.5772/LN(1/I$15)-0.5</f>
        <v>16.1682607528393</v>
      </c>
      <c r="J22" s="65" t="n">
        <f aca="false">LN($A22*(1-J$15))/LN(1/J$15)+0.5772/LN(1/J$15)-0.5</f>
        <v>18.9553752956629</v>
      </c>
      <c r="K22" s="65" t="n">
        <f aca="false">LN($A22*(1-K$15))/LN(1/K$15)+0.5772/LN(1/K$15)-0.5</f>
        <v>22.5655187966461</v>
      </c>
    </row>
    <row r="24" customFormat="false" ht="15" hidden="false" customHeight="false" outlineLevel="0" collapsed="false">
      <c r="A24" s="61" t="s">
        <v>788</v>
      </c>
    </row>
    <row r="25" customFormat="false" ht="15" hidden="false" customHeight="false" outlineLevel="0" collapsed="false">
      <c r="A25" s="61" t="s">
        <v>789</v>
      </c>
    </row>
    <row r="26" customFormat="false" ht="15" hidden="false" customHeight="false" outlineLevel="0" collapsed="false">
      <c r="A26" s="61" t="s">
        <v>790</v>
      </c>
    </row>
    <row r="27" customFormat="false" ht="15" hidden="false" customHeight="false" outlineLevel="0" collapsed="false">
      <c r="A27" s="61" t="s">
        <v>791</v>
      </c>
    </row>
    <row r="29" customFormat="false" ht="15" hidden="false" customHeight="false" outlineLevel="0" collapsed="false">
      <c r="A29" s="6" t="s">
        <v>792</v>
      </c>
      <c r="B29" s="6"/>
      <c r="C29" s="6"/>
      <c r="D29" s="6"/>
      <c r="E29" s="6"/>
      <c r="F29" s="6"/>
      <c r="G29" s="6"/>
      <c r="H29" s="6"/>
      <c r="I29" s="6"/>
      <c r="J29" s="6"/>
    </row>
    <row r="30" customFormat="false" ht="30" hidden="false" customHeight="true" outlineLevel="0" collapsed="false">
      <c r="A30" s="7" t="s">
        <v>135</v>
      </c>
      <c r="B30" s="7" t="s">
        <v>138</v>
      </c>
      <c r="C30" s="7" t="s">
        <v>793</v>
      </c>
      <c r="D30" s="7" t="s">
        <v>794</v>
      </c>
      <c r="E30" s="7" t="s">
        <v>795</v>
      </c>
      <c r="F30" s="7" t="s">
        <v>796</v>
      </c>
      <c r="G30" s="7" t="s">
        <v>797</v>
      </c>
      <c r="H30" s="7" t="s">
        <v>798</v>
      </c>
      <c r="I30" s="7" t="s">
        <v>799</v>
      </c>
    </row>
    <row r="31" customFormat="false" ht="15" hidden="false" customHeight="false" outlineLevel="0" collapsed="false">
      <c r="A31" s="8" t="s">
        <v>23</v>
      </c>
      <c r="B31" s="26" t="n">
        <v>7425</v>
      </c>
      <c r="C31" s="43" t="n">
        <v>0.684713804713805</v>
      </c>
      <c r="D31" s="43" t="n">
        <v>0.671688637790333</v>
      </c>
      <c r="E31" s="43" t="n">
        <v>0.703738317757009</v>
      </c>
      <c r="F31" s="43" t="n">
        <v>0.695883134130146</v>
      </c>
      <c r="G31" s="43" t="n">
        <v>0.690839694656489</v>
      </c>
      <c r="H31" s="43" t="n">
        <v>0.6832895888014</v>
      </c>
      <c r="I31" s="26" t="n">
        <v>1143</v>
      </c>
    </row>
    <row r="32" customFormat="false" ht="15" hidden="false" customHeight="false" outlineLevel="0" collapsed="false">
      <c r="A32" s="8" t="s">
        <v>62</v>
      </c>
      <c r="B32" s="26" t="n">
        <v>6958</v>
      </c>
      <c r="C32" s="43" t="n">
        <v>0.667433170451279</v>
      </c>
      <c r="D32" s="43" t="n">
        <v>0.66023166023166</v>
      </c>
      <c r="E32" s="43" t="n">
        <v>0.674463937621832</v>
      </c>
      <c r="F32" s="43" t="n">
        <v>0.658465991316932</v>
      </c>
      <c r="G32" s="43" t="n">
        <v>0.646153846153846</v>
      </c>
      <c r="H32" s="43" t="n">
        <v>0.679389312977099</v>
      </c>
      <c r="I32" s="26" t="n">
        <v>917</v>
      </c>
    </row>
    <row r="33" customFormat="false" ht="15" hidden="false" customHeight="false" outlineLevel="0" collapsed="false">
      <c r="A33" s="8" t="s">
        <v>87</v>
      </c>
      <c r="B33" s="26" t="n">
        <v>3169</v>
      </c>
      <c r="C33" s="43" t="n">
        <v>0.668034080151467</v>
      </c>
      <c r="D33" s="43" t="n">
        <v>0.655898876404494</v>
      </c>
      <c r="E33" s="43" t="n">
        <v>0.691648822269807</v>
      </c>
      <c r="F33" s="43" t="n">
        <v>0.673913043478261</v>
      </c>
      <c r="G33" s="43" t="n">
        <v>0.663594470046083</v>
      </c>
      <c r="H33" s="43" t="n">
        <v>0.638190954773869</v>
      </c>
      <c r="I33" s="26" t="n">
        <v>398</v>
      </c>
    </row>
    <row r="34" customFormat="false" ht="15" hidden="false" customHeight="false" outlineLevel="0" collapsed="false">
      <c r="A34" s="8" t="s">
        <v>109</v>
      </c>
      <c r="B34" s="26" t="n">
        <v>884</v>
      </c>
      <c r="C34" s="43" t="n">
        <v>0.67420814479638</v>
      </c>
      <c r="D34" s="43" t="n">
        <v>0.678947368421053</v>
      </c>
      <c r="E34" s="43" t="n">
        <v>0.705426356589147</v>
      </c>
      <c r="F34" s="43" t="n">
        <v>0.637362637362637</v>
      </c>
      <c r="G34" s="43" t="n">
        <v>0.666666666666667</v>
      </c>
      <c r="H34" s="43" t="n">
        <v>0.703125</v>
      </c>
      <c r="I34" s="26" t="n">
        <v>128</v>
      </c>
    </row>
    <row r="35" customFormat="false" ht="15" hidden="false" customHeight="false" outlineLevel="0" collapsed="false">
      <c r="A35" s="17" t="s">
        <v>800</v>
      </c>
    </row>
  </sheetData>
  <mergeCells count="2">
    <mergeCell ref="A2:J2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2026-10-24T08:18:36Z</dcterms:created>
  <dc:creator>openpyxl</dc:creator>
  <dc:description/>
  <dc:language>en-US</dc:language>
  <cp:lastModifiedBy/>
  <dcterms:modified xsi:type="dcterms:W3CDTF">2026-10-24T08:18:52Z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